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" sheetId="1" r:id="rId5"/>
    <sheet state="visible" name="user_state" sheetId="2" r:id="rId6"/>
    <sheet state="visible" name="log" sheetId="3" r:id="rId7"/>
    <sheet state="visible" name="stat_log" sheetId="4" r:id="rId8"/>
    <sheet state="visible" name="stat_daily" sheetId="5" r:id="rId9"/>
    <sheet state="visible" name="stat_funnel" sheetId="6" r:id="rId10"/>
    <sheet state="visible" name="stat_actions" sheetId="7" r:id="rId11"/>
  </sheets>
  <definedNames/>
  <calcPr/>
</workbook>
</file>

<file path=xl/sharedStrings.xml><?xml version="1.0" encoding="utf-8"?>
<sst xmlns="http://schemas.openxmlformats.org/spreadsheetml/2006/main" count="12155" uniqueCount="306">
  <si>
    <t>booking_id</t>
  </si>
  <si>
    <t>user_id</t>
  </si>
  <si>
    <t>display_name</t>
  </si>
  <si>
    <t>field_no</t>
  </si>
  <si>
    <t>date</t>
  </si>
  <si>
    <t>time_from</t>
  </si>
  <si>
    <t>time_to</t>
  </si>
  <si>
    <t>duration_h</t>
  </si>
  <si>
    <t>crosses_18</t>
  </si>
  <si>
    <t>price_total_thb</t>
  </si>
  <si>
    <t>status</t>
  </si>
  <si>
    <t>hold_expires_at</t>
  </si>
  <si>
    <t>created_at</t>
  </si>
  <si>
    <t>updated_at</t>
  </si>
  <si>
    <t>confirmed_by</t>
  </si>
  <si>
    <t>cancelled_by</t>
  </si>
  <si>
    <t>cancel_reason</t>
  </si>
  <si>
    <t>paid_at</t>
  </si>
  <si>
    <t>version</t>
  </si>
  <si>
    <t>start_ts</t>
  </si>
  <si>
    <t>end_ts</t>
  </si>
  <si>
    <t>timeout_notified</t>
  </si>
  <si>
    <t>notes</t>
  </si>
  <si>
    <t>admin_note</t>
  </si>
  <si>
    <t>BK001</t>
  </si>
  <si>
    <t>U2025102998427bb1d2b645e6a3aaadd6</t>
  </si>
  <si>
    <t>win</t>
  </si>
  <si>
    <t>CONFIRMED</t>
  </si>
  <si>
    <t>2025-11-01T11:10:00+07:00</t>
  </si>
  <si>
    <t>2025-11-01T08:54:52+0700</t>
  </si>
  <si>
    <t>2025-11-01T20:00:00+07:00</t>
  </si>
  <si>
    <t>2025-11-01T21:00:00+07:00</t>
  </si>
  <si>
    <t>2025-12-10</t>
  </si>
  <si>
    <t>18:00</t>
  </si>
  <si>
    <t>1</t>
  </si>
  <si>
    <t>5</t>
  </si>
  <si>
    <t>2025-12-10 10:28:55</t>
  </si>
  <si>
    <t>U6ac2fcd8621eb1d87be14f636213eb2f</t>
  </si>
  <si>
    <t>2025-11-29</t>
  </si>
  <si>
    <t>17:00</t>
  </si>
  <si>
    <t>2025-11-29 17:15:44</t>
  </si>
  <si>
    <t>U03b32d0823ff8bb61a3cddc2186ebd53</t>
  </si>
  <si>
    <t>21:00</t>
  </si>
  <si>
    <t>6</t>
  </si>
  <si>
    <t>2025-11-29 12:55:18</t>
  </si>
  <si>
    <t>Ua636ab14081b483636896549d2026398</t>
  </si>
  <si>
    <t>2026-01-13</t>
  </si>
  <si>
    <t>4</t>
  </si>
  <si>
    <t>2026-01-13 09:33:10</t>
  </si>
  <si>
    <t>Uf5d3d661f3d0a7150a814471e1a3adad</t>
  </si>
  <si>
    <t>2025-12-17</t>
  </si>
  <si>
    <t>2025-12-17 10:51:12</t>
  </si>
  <si>
    <t>ts</t>
  </si>
  <si>
    <t xml:space="preserve"> user_id </t>
  </si>
  <si>
    <t xml:space="preserve">action  </t>
  </si>
  <si>
    <t>patch</t>
  </si>
  <si>
    <t>saveUserState_</t>
  </si>
  <si>
    <t>{"date":"2025-12-24"}</t>
  </si>
  <si>
    <t>{"time_from":"18:00"}</t>
  </si>
  <si>
    <t>{"field_no":"3"}</t>
  </si>
  <si>
    <t>{"time_from":"16:00"}</t>
  </si>
  <si>
    <t>{"field_no":"1"}</t>
  </si>
  <si>
    <t>{"date":"2026-01-03"}</t>
  </si>
  <si>
    <t>{"time_from":"17:00"}</t>
  </si>
  <si>
    <t>{"date":"2026-01-13"}</t>
  </si>
  <si>
    <t>{"field_no":"4"}</t>
  </si>
  <si>
    <t>source_type</t>
  </si>
  <si>
    <t>event_type</t>
  </si>
  <si>
    <t>action</t>
  </si>
  <si>
    <t>step</t>
  </si>
  <si>
    <t>label</t>
  </si>
  <si>
    <t>message_text</t>
  </si>
  <si>
    <t>postback_data</t>
  </si>
  <si>
    <t>process_ms</t>
  </si>
  <si>
    <t>extra_json</t>
  </si>
  <si>
    <t>date_int</t>
  </si>
  <si>
    <t>system</t>
  </si>
  <si>
    <t>doPost_events</t>
  </si>
  <si>
    <t>doPost</t>
  </si>
  <si>
    <t>events_count</t>
  </si>
  <si>
    <t>{"count":1}</t>
  </si>
  <si>
    <t>user</t>
  </si>
  <si>
    <t>postback</t>
  </si>
  <si>
    <t>restart_search_every_slot</t>
  </si>
  <si>
    <t>router</t>
  </si>
  <si>
    <t>postback_router</t>
  </si>
  <si>
    <t>action=restart_search_every_slot</t>
  </si>
  <si>
    <t>{"action":"restart_search_every_slot"}</t>
  </si>
  <si>
    <t>perf</t>
  </si>
  <si>
    <t>handlePostback_</t>
  </si>
  <si>
    <t>{}</t>
  </si>
  <si>
    <t>set_date_search_every_slot</t>
  </si>
  <si>
    <t>action=set_date_search_every_slot</t>
  </si>
  <si>
    <t>{"action":"set_date_search_every_slot"}</t>
  </si>
  <si>
    <t>pick_duration_search_every_slot</t>
  </si>
  <si>
    <t>action=pick_duration_search_every_slot&amp;date=2025-12-18&amp;duration=60</t>
  </si>
  <si>
    <t>{"action":"pick_duration_search_every_slot","date":"2025-12-18","duration":"60"}</t>
  </si>
  <si>
    <t>{"action":"pick_duration_search_every_slot"}</t>
  </si>
  <si>
    <t>Ufa0c1c6146fa747b4182cf3ca037c939</t>
  </si>
  <si>
    <t>message</t>
  </si>
  <si>
    <t>message_ignored</t>
  </si>
  <si>
    <t>general</t>
  </si>
  <si>
    <t>ignored_text</t>
  </si>
  <si>
    <t>เคร</t>
  </si>
  <si>
    <t>handleMessage_</t>
  </si>
  <si>
    <t>{"text":"เคร","ignored":true}</t>
  </si>
  <si>
    <t>Ub2792da9d47050a2d6ada443a66e2282</t>
  </si>
  <si>
    <t>search_time_menu_message</t>
  </si>
  <si>
    <t>search_time</t>
  </si>
  <si>
    <t>open_choice</t>
  </si>
  <si>
    <t>ค้นหาเวลา</t>
  </si>
  <si>
    <t>{"text":"ค้นหาเวลา"}</t>
  </si>
  <si>
    <t>choose_search_mode</t>
  </si>
  <si>
    <t>action=choose_search_mode&amp;mode=all</t>
  </si>
  <si>
    <t>{"action":"choose_search_mode","mode":"all"}</t>
  </si>
  <si>
    <t>all</t>
  </si>
  <si>
    <t>{"action":"choose_search_mode"}</t>
  </si>
  <si>
    <t>pick_date_search_every_slot</t>
  </si>
  <si>
    <t>action=pick_date_search_every_slot&amp;date_mode=today</t>
  </si>
  <si>
    <t>{"action":"pick_date_search_every_slot","date_mode":"today"}</t>
  </si>
  <si>
    <t>{"action":"pick_date_search_every_slot"}</t>
  </si>
  <si>
    <t>action=pick_duration_search_every_slot&amp;date=2025-12-19&amp;duration=60</t>
  </si>
  <si>
    <t>{"action":"pick_duration_search_every_slot","date":"2025-12-19","duration":"60"}</t>
  </si>
  <si>
    <t>U5d4f84131d821f14788b0299e8d470c2</t>
  </si>
  <si>
    <t>action=pick_duration_search_every_slot&amp;date=2025-12-20&amp;duration=60</t>
  </si>
  <si>
    <t>{"action":"pick_duration_search_every_slot","date":"2025-12-20","duration":"60"}</t>
  </si>
  <si>
    <t>check_time_search_every_slot</t>
  </si>
  <si>
    <t>action=check_time_search_every_slot&amp;field=2&amp;date=2025-12-20&amp;start=17:00&amp;duration=60</t>
  </si>
  <si>
    <t>{"action":"check_time_search_every_slot","field":"2","date":"2025-12-20","start":"17:00","duration":"60"}</t>
  </si>
  <si>
    <t>{"action":"check_time_search_every_slot"}</t>
  </si>
  <si>
    <t>Ua3db3dca79a749fe978b0c6ab7d66bde</t>
  </si>
  <si>
    <t>ignored_event</t>
  </si>
  <si>
    <t>ignored</t>
  </si>
  <si>
    <t>ปีใหม่ สนามปิดวันไหนครับ</t>
  </si>
  <si>
    <t>{"text":"ปีใหม่ สนามปิดวันไหนครับ","ignored":true}</t>
  </si>
  <si>
    <t>ถึงวันไหน</t>
  </si>
  <si>
    <t>{"text":"ถึงวันไหน","ignored":true}</t>
  </si>
  <si>
    <t>รับทราบครับ</t>
  </si>
  <si>
    <t>{"text":"รับทราบครับ","ignored":true}</t>
  </si>
  <si>
    <t>เหมือนเดิมครับ</t>
  </si>
  <si>
    <t>{"text":"เหมือนเดิมครับ","ignored":true}</t>
  </si>
  <si>
    <t>Ubf73dc3ced646542aba754fb6672c3af</t>
  </si>
  <si>
    <t>follow</t>
  </si>
  <si>
    <t>U06d782b7df61bfcf5f816f785d1605a8</t>
  </si>
  <si>
    <t>U63c2ce48eab92eec8f30a6409c3713bc</t>
  </si>
  <si>
    <t>action=pick_duration_search_every_slot&amp;date=2025-12-21&amp;duration=60</t>
  </si>
  <si>
    <t>{"action":"pick_duration_search_every_slot","date":"2025-12-21","duration":"60"}</t>
  </si>
  <si>
    <t>U0f9499c6c4f414cd9318a62e658e9616</t>
  </si>
  <si>
    <t>U16f7224761d3a6788a8d4e3a987a26f6</t>
  </si>
  <si>
    <t>ไปคับ</t>
  </si>
  <si>
    <t>{"text":"ไปคับ","ignored":true}</t>
  </si>
  <si>
    <t>action=choose_search_mode&amp;mode=single</t>
  </si>
  <si>
    <t>{"action":"choose_search_mode","mode":"single"}</t>
  </si>
  <si>
    <t>single</t>
  </si>
  <si>
    <t>selectDate</t>
  </si>
  <si>
    <t>action=selectDate&amp;mode=today</t>
  </si>
  <si>
    <t>{"action":"selectDate","mode":"today"}</t>
  </si>
  <si>
    <t>booking_select_date</t>
  </si>
  <si>
    <t>booking</t>
  </si>
  <si>
    <t>select_date</t>
  </si>
  <si>
    <t>{"date":"2025-12-24","mode":"today"}</t>
  </si>
  <si>
    <t>handleSelectDate_</t>
  </si>
  <si>
    <t>{"success":true,"date":"2025-12-24"}</t>
  </si>
  <si>
    <t>{"action":"selectDate"}</t>
  </si>
  <si>
    <t>selectTime</t>
  </si>
  <si>
    <t>action=selectTime&amp;time_from=18:00</t>
  </si>
  <si>
    <t>{"action":"selectTime","time_from":"18:00"}</t>
  </si>
  <si>
    <t>booking_select_time</t>
  </si>
  <si>
    <t>select_time</t>
  </si>
  <si>
    <t>handleSelectTime_</t>
  </si>
  <si>
    <t>{"success":true,"time_from":"18:00"}</t>
  </si>
  <si>
    <t>{"action":"selectTime"}</t>
  </si>
  <si>
    <t>selectDuration</t>
  </si>
  <si>
    <t>action=selectDuration&amp;duration_h=1</t>
  </si>
  <si>
    <t>{"action":"selectDuration","duration_h":"1"}</t>
  </si>
  <si>
    <t>booking_select_duration</t>
  </si>
  <si>
    <t>select_duration</t>
  </si>
  <si>
    <t>{"duration_h":"1"}</t>
  </si>
  <si>
    <t>handleSelectDuration_</t>
  </si>
  <si>
    <t>{"success":true,"duration_h":"1"}</t>
  </si>
  <si>
    <t>{"action":"selectDuration"}</t>
  </si>
  <si>
    <t>selectField</t>
  </si>
  <si>
    <t>action=selectField&amp;field_no=3</t>
  </si>
  <si>
    <t>{"action":"selectField","field_no":"3"}</t>
  </si>
  <si>
    <t>booking_select_field</t>
  </si>
  <si>
    <t>select_field</t>
  </si>
  <si>
    <t>booking_result_unavailable</t>
  </si>
  <si>
    <t>unavailable</t>
  </si>
  <si>
    <t>{"date":"2025-12-24","field_no":"3","requested":"18:00 - 19:00","alt_count":1}</t>
  </si>
  <si>
    <t>handleSelectField_</t>
  </si>
  <si>
    <t>{"success":true}</t>
  </si>
  <si>
    <t>{"action":"selectField"}</t>
  </si>
  <si>
    <t>booking_change_time</t>
  </si>
  <si>
    <t>change_time</t>
  </si>
  <si>
    <t>เลือกเวลาใหม่</t>
  </si>
  <si>
    <t>{"text":"เลือกเวลาใหม่"}</t>
  </si>
  <si>
    <t>action=selectTime&amp;time_from=16:00</t>
  </si>
  <si>
    <t>{"action":"selectTime","time_from":"16:00"}</t>
  </si>
  <si>
    <t>{"success":true,"time_from":"16:00"}</t>
  </si>
  <si>
    <t>action=selectField&amp;field_no=1</t>
  </si>
  <si>
    <t>{"action":"selectField","field_no":"1"}</t>
  </si>
  <si>
    <t>booking_result_available</t>
  </si>
  <si>
    <t>available</t>
  </si>
  <si>
    <t>{"date":"2025-12-24","field_no":"1","time_from":"16:00","time_to":"17:00","duration_h":1}</t>
  </si>
  <si>
    <t>U6bda8aa494d725605f6bf01dfc7b09cd</t>
  </si>
  <si>
    <t>ไปจ้า</t>
  </si>
  <si>
    <t>{"text":"ไปจ้า","ignored":true}</t>
  </si>
  <si>
    <t>action=pick_duration_search_every_slot&amp;date=2025-12-27&amp;duration=60</t>
  </si>
  <si>
    <t>{"action":"pick_duration_search_every_slot","date":"2025-12-27","duration":"60"}</t>
  </si>
  <si>
    <t>action=pick_duration_search_every_slot&amp;date=2025-12-29&amp;duration=60</t>
  </si>
  <si>
    <t>{"action":"pick_duration_search_every_slot","date":"2025-12-29","duration":"60"}</t>
  </si>
  <si>
    <t>action=check_time_search_every_slot&amp;field=3&amp;date=2025-12-29&amp;start=20:00&amp;duration=60</t>
  </si>
  <si>
    <t>{"action":"check_time_search_every_slot","field":"3","date":"2025-12-29","start":"20:00","duration":"60"}</t>
  </si>
  <si>
    <t>action=pick_date_search_every_slot&amp;date_mode=tomorrow</t>
  </si>
  <si>
    <t>{"action":"pick_date_search_every_slot","date_mode":"tomorrow"}</t>
  </si>
  <si>
    <t>action=pick_duration_search_every_slot&amp;date=2025-12-30&amp;duration=120</t>
  </si>
  <si>
    <t>{"action":"pick_duration_search_every_slot","date":"2025-12-30","duration":"120"}</t>
  </si>
  <si>
    <t>action=pick_duration_search_every_slot&amp;date=2026-01-03&amp;duration=60</t>
  </si>
  <si>
    <t>{"action":"pick_duration_search_every_slot","date":"2026-01-03","duration":"60"}</t>
  </si>
  <si>
    <t>action=check_time_search_every_slot&amp;field=1&amp;date=2026-01-03&amp;start=16:00&amp;duration=60</t>
  </si>
  <si>
    <t>{"action":"check_time_search_every_slot","field":"1","date":"2026-01-03","start":"16:00","duration":"60"}</t>
  </si>
  <si>
    <t>action=pick_duration_search_every_slot&amp;date=2026-01-06&amp;duration=60</t>
  </si>
  <si>
    <t>{"action":"pick_duration_search_every_slot","date":"2026-01-06","duration":"60"}</t>
  </si>
  <si>
    <t>action=pick_duration_search_every_slot&amp;date=2026-01-04&amp;duration=60</t>
  </si>
  <si>
    <t>{"action":"pick_duration_search_every_slot","date":"2026-01-04","duration":"60"}</t>
  </si>
  <si>
    <t>{"date":"2026-01-03","mode":"today"}</t>
  </si>
  <si>
    <t>{"success":true,"date":"2026-01-03"}</t>
  </si>
  <si>
    <t>action=selectTime&amp;time_from=17:00</t>
  </si>
  <si>
    <t>{"action":"selectTime","time_from":"17:00"}</t>
  </si>
  <si>
    <t>{"success":true,"time_from":"17:00"}</t>
  </si>
  <si>
    <t>{"date":"2026-01-03","field_no":"1","requested":"17:00 - 18:00","alt_count":0}</t>
  </si>
  <si>
    <t>วันนี้ไม่เตะนะคับ</t>
  </si>
  <si>
    <t>{"text":"วันนี้ไม่เตะนะคับ","ignored":true}</t>
  </si>
  <si>
    <t>เริ่มเตะพรุ่งนี้นะคับ</t>
  </si>
  <si>
    <t>{"text":"เริ่มเตะพรุ่งนี้นะคับ","ignored":true}</t>
  </si>
  <si>
    <t>แล้วก็เหมือนเดิมคับ อังคารกับพุธ เวลา18.00-19.00 คับ</t>
  </si>
  <si>
    <t>{"text":"แล้วก็เหมือนเดิมคับ อังคารกับพุธ เวลา18.00-19.00 คับ","ignored":true}</t>
  </si>
  <si>
    <t>ของทุกอาทิตคับ</t>
  </si>
  <si>
    <t>{"text":"ของทุกอาทิตคับ","ignored":true}</t>
  </si>
  <si>
    <t>สนามเปิดเป่า</t>
  </si>
  <si>
    <t>{"text":"สนามเปิดเป่า","ignored":true}</t>
  </si>
  <si>
    <t>โทรหาแอดมิน 083-914-4000</t>
  </si>
  <si>
    <t>{"text":"โทรหาแอดมิน 083-914-4000","ignored":true}</t>
  </si>
  <si>
    <t>U861f374e7ea88c4ed1b803b6ba635c94</t>
  </si>
  <si>
    <t>Ufd6e063b5ab10990303444b7d29c4fb6</t>
  </si>
  <si>
    <t>สวัสดีครับ</t>
  </si>
  <si>
    <t>{"text":"สวัสดีครับ","ignored":true}</t>
  </si>
  <si>
    <t>จะจ่ายเงินค่าสนาม ที่จองไว้ของ การไฟฟ้าเขต สนามที่ 6 เวลา 18.00-19.00 ครับ</t>
  </si>
  <si>
    <t>{"text":"จะจ่ายเงินค่าสนาม ที่จองไว้ของ การไฟฟ้าเขต สนามที่ 6 เวลา 18.00-19.00 ครับ","ignored":true}</t>
  </si>
  <si>
    <t>ถูกต้องไหมครับ</t>
  </si>
  <si>
    <t>{"text":"ถูกต้องไหมครับ","ignored":true}</t>
  </si>
  <si>
    <t>ปกติ คืออะไร</t>
  </si>
  <si>
    <t>{"text":"ปกติ คืออะไร","ignored":true}</t>
  </si>
  <si>
    <t>วันนี้ยกเลิกก่อนคับ</t>
  </si>
  <si>
    <t>{"text":"วันนี้ยกเลิกก่อนคับ","ignored":true}</t>
  </si>
  <si>
    <t>ปกติ</t>
  </si>
  <si>
    <t>{"text":"ปกติ","ignored":true}</t>
  </si>
  <si>
    <t xml:space="preserve">ทีม ไม่ย้ายนะคับ </t>
  </si>
  <si>
    <t>{"text":"ทีม ไม่ย้ายนะคับ","ignored":true}</t>
  </si>
  <si>
    <t>วันอังคารที่ 13;จองสนาม 5 เวลา 18.00-19.30 หน่อยครับ</t>
  </si>
  <si>
    <t>{"text":"วันอังคารที่ 13;จองสนาม 5 เวลา 18.00-19.30 หน่อยครับ","ignored":true}</t>
  </si>
  <si>
    <t>U41ca696330f2e6917fc240e8b6c6686d</t>
  </si>
  <si>
    <t>action=pick_duration_search_every_slot&amp;date=2026-01-15&amp;duration=120</t>
  </si>
  <si>
    <t>{"action":"pick_duration_search_every_slot","date":"2026-01-15","duration":"120"}</t>
  </si>
  <si>
    <t>action=pick_duration_search_every_slot&amp;date=2026-01-13&amp;duration=60</t>
  </si>
  <si>
    <t>{"action":"pick_duration_search_every_slot","date":"2026-01-13","duration":"60"}</t>
  </si>
  <si>
    <t>action=check_time_search_every_slot&amp;field=6&amp;date=2026-01-13&amp;start=23:00&amp;duration=60</t>
  </si>
  <si>
    <t>{"action":"check_time_search_every_slot","field":"6","date":"2026-01-13","start":"23:00","duration":"60"}</t>
  </si>
  <si>
    <t>{"date":"2026-01-13","mode":"today"}</t>
  </si>
  <si>
    <t>{"success":true,"date":"2026-01-13"}</t>
  </si>
  <si>
    <t>action=selectField&amp;field_no=4</t>
  </si>
  <si>
    <t>{"action":"selectField","field_no":"4"}</t>
  </si>
  <si>
    <t>{"date":"2026-01-13","field_no":"4","requested":"18:00 - 19:00","alt_count":5}</t>
  </si>
  <si>
    <t>โอเคร</t>
  </si>
  <si>
    <t>{"text":"โอเคร","ignored":true}</t>
  </si>
  <si>
    <t>action=pick_duration_search_every_slot&amp;date=2026-01-14&amp;duration=60</t>
  </si>
  <si>
    <t>{"action":"pick_duration_search_every_slot","date":"2026-01-14","duration":"60"}</t>
  </si>
  <si>
    <t>action=check_time_search_every_slot&amp;field=6&amp;date=2026-01-14&amp;start=23:00&amp;duration=60</t>
  </si>
  <si>
    <t>{"action":"check_time_search_every_slot","field":"6","date":"2026-01-14","start":"23:00","duration":"60"}</t>
  </si>
  <si>
    <t>{"count":2}</t>
  </si>
  <si>
    <t>http://192.168.10.235:5173/inventory/#/receive</t>
  </si>
  <si>
    <t>{"text":"http://192.168.10.235:5173/inventory/#/receive","ignored":true}</t>
  </si>
  <si>
    <t>https://tmango-lab.github.io/inventory/#/receive</t>
  </si>
  <si>
    <t>{"text":"https://tmango-lab.github.io/inventory/#/receive","ignored":true}</t>
  </si>
  <si>
    <t>https://yielding-hoverfly-f41.notion.site/Help-Center-29bfa42ca2d380eeb00adc9348b958ff?source=copy_link</t>
  </si>
  <si>
    <t>{"text":"https://yielding-hoverfly-f41.notion.site/Help-Center-29bfa42ca2d380eeb00adc9348b958ff?source=copy_link","ignored":true}</t>
  </si>
  <si>
    <t>U51354d89e171764f3011a9334751ea83</t>
  </si>
  <si>
    <t>action=pick_duration_search_every_slot&amp;date=2026-01-15&amp;duration=60</t>
  </si>
  <si>
    <t>{"action":"pick_duration_search_every_slot","date":"2026-01-15","duration":"60"}</t>
  </si>
  <si>
    <t>action=check_time_search_every_slot&amp;field=1&amp;date=2026-01-15&amp;start=19:00&amp;duration=60</t>
  </si>
  <si>
    <t>{"action":"check_time_search_every_slot","field":"1","date":"2026-01-15","start":"19:00","duration":"60"}</t>
  </si>
  <si>
    <t>action=check_time_search_every_slot&amp;field=2&amp;date=2026-01-15&amp;start=19:00&amp;duration=60</t>
  </si>
  <si>
    <t>{"action":"check_time_search_every_slot","field":"2","date":"2026-01-15","start":"19:00","duration":"60"}</t>
  </si>
  <si>
    <t>Ua23b91cda241c603798f78778d59676a</t>
  </si>
  <si>
    <t>Date</t>
  </si>
  <si>
    <t>starts</t>
  </si>
  <si>
    <t>total_events</t>
  </si>
  <si>
    <t>avg_ms</t>
  </si>
  <si>
    <t>errors</t>
  </si>
  <si>
    <t/>
  </si>
  <si>
    <t>start_users</t>
  </si>
  <si>
    <t>select_date_users</t>
  </si>
  <si>
    <t>select_time_users</t>
  </si>
  <si>
    <t>select_duration_users</t>
  </si>
  <si>
    <t>select_field_users</t>
  </si>
  <si>
    <t>result_users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</si>
</sst>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H:mm:ss"/>
    <numFmt numFmtId="166" formatCode="d/M/yyyy, H:mm:ss"/>
    <numFmt numFmtId="167" formatCode="yyyy-mm-dd"/>
    <numFmt numFmtId="168" formatCode="yyyy-mm-dd h:mm:ss"/>
    <numFmt numFmtId="169" formatCode="m/d/yyyy h:mm:ss"/>
    <numFmt numFmtId="170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1" numFmtId="170" xfId="0" applyFont="1" applyNumberFormat="1"/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192.168.10.235:5173/inventory/" TargetMode="External"/><Relationship Id="rId2" Type="http://schemas.openxmlformats.org/officeDocument/2006/relationships/hyperlink" Target="https://tmango-lab.github.io/inventory/" TargetMode="External"/><Relationship Id="rId3" Type="http://schemas.openxmlformats.org/officeDocument/2006/relationships/hyperlink" Target="https://yielding-hoverfly-f41.notion.site/Help-Center-29bfa42ca2d380eeb00adc9348b958ff?source=copy_link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38"/>
    <col customWidth="1" min="6" max="7" width="19.38"/>
    <col customWidth="1" min="10" max="10" width="19.38"/>
    <col customWidth="1" min="12" max="13" width="19.38"/>
    <col customWidth="1" min="14" max="17" width="15.63"/>
    <col customWidth="1" min="18" max="18" width="14.13"/>
    <col customWidth="1" min="19" max="19" width="15.63"/>
    <col customWidth="1" min="20" max="21" width="19.38"/>
    <col customWidth="1" min="22" max="22" width="14.13"/>
    <col customWidth="1" min="23" max="23" width="15.63"/>
    <col customWidth="1" min="25" max="25" width="15.63"/>
    <col customWidth="1" min="28" max="28" width="14.38"/>
    <col customWidth="1" min="29" max="29" width="22.38"/>
    <col customWidth="1" min="30" max="30" width="23.25"/>
    <col customWidth="1" min="31" max="31" width="1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2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AC1" s="5"/>
      <c r="AD1" s="5"/>
    </row>
    <row r="2">
      <c r="A2" s="1" t="s">
        <v>24</v>
      </c>
      <c r="B2" s="1" t="s">
        <v>25</v>
      </c>
      <c r="C2" s="1" t="s">
        <v>26</v>
      </c>
      <c r="D2" s="2">
        <v>4.0</v>
      </c>
      <c r="E2" s="6">
        <v>45962.0</v>
      </c>
      <c r="F2" s="4">
        <v>0.8333333333321207</v>
      </c>
      <c r="G2" s="4">
        <v>0.875</v>
      </c>
      <c r="J2" s="1">
        <v>1000.0</v>
      </c>
      <c r="K2" s="1" t="s">
        <v>27</v>
      </c>
      <c r="L2" s="1" t="s">
        <v>28</v>
      </c>
      <c r="M2" s="7"/>
      <c r="N2" s="1" t="s">
        <v>29</v>
      </c>
      <c r="O2" s="1" t="s">
        <v>25</v>
      </c>
      <c r="Q2" s="8"/>
      <c r="R2" s="7"/>
      <c r="S2" s="2">
        <v>5.0</v>
      </c>
      <c r="T2" s="1" t="s">
        <v>30</v>
      </c>
      <c r="U2" s="1" t="s">
        <v>31</v>
      </c>
      <c r="AC2" s="7"/>
      <c r="AD2" s="7"/>
      <c r="AE2" s="7"/>
    </row>
    <row r="3">
      <c r="A3" s="7"/>
      <c r="B3" s="7"/>
      <c r="C3" s="7"/>
      <c r="D3" s="9"/>
      <c r="E3" s="10"/>
      <c r="F3" s="11"/>
      <c r="G3" s="11"/>
      <c r="J3" s="7"/>
      <c r="K3" s="8"/>
      <c r="L3" s="7"/>
      <c r="M3" s="7"/>
      <c r="N3" s="7"/>
      <c r="Q3" s="8"/>
      <c r="R3" s="7"/>
      <c r="S3" s="9"/>
      <c r="T3" s="7"/>
      <c r="U3" s="7"/>
      <c r="V3" s="7"/>
      <c r="AC3" s="7"/>
      <c r="AD3" s="7"/>
      <c r="AE3" s="7"/>
    </row>
    <row r="4">
      <c r="A4" s="7"/>
      <c r="B4" s="7"/>
      <c r="C4" s="7"/>
      <c r="D4" s="9"/>
      <c r="E4" s="10"/>
      <c r="F4" s="11"/>
      <c r="G4" s="11"/>
      <c r="J4" s="7"/>
      <c r="K4" s="8"/>
      <c r="L4" s="7"/>
      <c r="M4" s="7"/>
      <c r="N4" s="7"/>
      <c r="Q4" s="8"/>
      <c r="R4" s="7"/>
      <c r="S4" s="9"/>
      <c r="T4" s="7"/>
      <c r="U4" s="7"/>
      <c r="V4" s="7"/>
      <c r="AC4" s="7"/>
      <c r="AD4" s="7"/>
      <c r="AE4" s="7"/>
    </row>
    <row r="5">
      <c r="A5" s="7"/>
      <c r="B5" s="7"/>
      <c r="C5" s="7"/>
      <c r="D5" s="9"/>
      <c r="E5" s="10"/>
      <c r="F5" s="11"/>
      <c r="G5" s="11"/>
      <c r="J5" s="7"/>
      <c r="K5" s="8"/>
      <c r="L5" s="7"/>
      <c r="M5" s="7"/>
      <c r="N5" s="7"/>
      <c r="Q5" s="8"/>
      <c r="R5" s="7"/>
      <c r="S5" s="9"/>
      <c r="T5" s="7"/>
      <c r="U5" s="7"/>
      <c r="V5" s="7"/>
      <c r="AC5" s="7"/>
      <c r="AD5" s="7"/>
      <c r="AE5" s="7"/>
    </row>
    <row r="6">
      <c r="A6" s="7"/>
      <c r="B6" s="7"/>
      <c r="C6" s="7"/>
      <c r="D6" s="9"/>
      <c r="E6" s="10"/>
      <c r="F6" s="11"/>
      <c r="G6" s="11"/>
      <c r="J6" s="7"/>
      <c r="K6" s="8"/>
      <c r="L6" s="7"/>
      <c r="M6" s="7"/>
      <c r="N6" s="7"/>
      <c r="Q6" s="8"/>
      <c r="R6" s="7"/>
      <c r="S6" s="9"/>
      <c r="T6" s="7"/>
      <c r="U6" s="7"/>
      <c r="V6" s="7"/>
      <c r="AC6" s="7"/>
      <c r="AD6" s="7"/>
      <c r="AE6" s="7"/>
    </row>
    <row r="7">
      <c r="A7" s="7"/>
      <c r="B7" s="7"/>
      <c r="C7" s="7"/>
      <c r="D7" s="9"/>
      <c r="E7" s="10"/>
      <c r="F7" s="11"/>
      <c r="G7" s="11"/>
      <c r="J7" s="7"/>
      <c r="K7" s="8"/>
      <c r="L7" s="7"/>
      <c r="M7" s="7"/>
      <c r="N7" s="7"/>
      <c r="Q7" s="8"/>
      <c r="R7" s="7"/>
      <c r="S7" s="9"/>
      <c r="T7" s="7"/>
      <c r="U7" s="7"/>
      <c r="V7" s="7"/>
      <c r="AC7" s="7"/>
      <c r="AD7" s="7"/>
      <c r="AE7" s="7"/>
    </row>
    <row r="8">
      <c r="A8" s="7"/>
      <c r="B8" s="7"/>
      <c r="C8" s="7"/>
      <c r="D8" s="9"/>
      <c r="E8" s="10"/>
      <c r="F8" s="11"/>
      <c r="G8" s="11"/>
      <c r="J8" s="7"/>
      <c r="K8" s="8"/>
      <c r="L8" s="7"/>
      <c r="M8" s="7"/>
      <c r="N8" s="7"/>
      <c r="Q8" s="8"/>
      <c r="R8" s="7"/>
      <c r="S8" s="9"/>
      <c r="T8" s="7"/>
      <c r="U8" s="7"/>
      <c r="V8" s="7"/>
      <c r="AC8" s="7"/>
      <c r="AD8" s="7"/>
      <c r="AE8" s="7"/>
    </row>
    <row r="9">
      <c r="A9" s="7"/>
      <c r="B9" s="7"/>
      <c r="C9" s="7"/>
      <c r="D9" s="9"/>
      <c r="E9" s="10"/>
      <c r="F9" s="11"/>
      <c r="G9" s="11"/>
      <c r="J9" s="7"/>
      <c r="K9" s="8"/>
      <c r="L9" s="7"/>
      <c r="M9" s="7"/>
      <c r="N9" s="7"/>
      <c r="Q9" s="8"/>
      <c r="R9" s="7"/>
      <c r="S9" s="9"/>
      <c r="T9" s="7"/>
      <c r="U9" s="7"/>
      <c r="V9" s="7"/>
      <c r="AC9" s="7"/>
      <c r="AD9" s="7"/>
      <c r="AE9" s="7"/>
    </row>
    <row r="10">
      <c r="A10" s="7"/>
      <c r="B10" s="7"/>
      <c r="C10" s="7"/>
      <c r="D10" s="9"/>
      <c r="E10" s="10"/>
      <c r="F10" s="11"/>
      <c r="G10" s="11"/>
      <c r="J10" s="7"/>
      <c r="K10" s="8"/>
      <c r="L10" s="7"/>
      <c r="M10" s="7"/>
      <c r="N10" s="7"/>
      <c r="Q10" s="8"/>
      <c r="R10" s="7"/>
      <c r="S10" s="9"/>
      <c r="T10" s="7"/>
      <c r="U10" s="7"/>
      <c r="V10" s="7"/>
      <c r="AC10" s="7"/>
      <c r="AD10" s="7"/>
      <c r="AE10" s="7"/>
    </row>
    <row r="11">
      <c r="A11" s="7"/>
      <c r="B11" s="7"/>
      <c r="C11" s="7"/>
      <c r="D11" s="9"/>
      <c r="E11" s="10"/>
      <c r="F11" s="11"/>
      <c r="G11" s="11"/>
      <c r="J11" s="7"/>
      <c r="K11" s="8"/>
      <c r="L11" s="7"/>
      <c r="M11" s="7"/>
      <c r="N11" s="7"/>
      <c r="Q11" s="8"/>
      <c r="R11" s="7"/>
      <c r="S11" s="9"/>
      <c r="T11" s="7"/>
      <c r="U11" s="7"/>
      <c r="V11" s="7"/>
      <c r="AC11" s="7"/>
      <c r="AD11" s="7"/>
      <c r="AE11" s="7"/>
    </row>
    <row r="12">
      <c r="A12" s="7"/>
      <c r="B12" s="7"/>
      <c r="C12" s="7"/>
      <c r="D12" s="9"/>
      <c r="E12" s="10"/>
      <c r="F12" s="11"/>
      <c r="G12" s="11"/>
      <c r="J12" s="7"/>
      <c r="K12" s="8"/>
      <c r="L12" s="7"/>
      <c r="M12" s="7"/>
      <c r="N12" s="7"/>
      <c r="Q12" s="8"/>
      <c r="R12" s="7"/>
      <c r="S12" s="9"/>
      <c r="T12" s="7"/>
      <c r="U12" s="7"/>
      <c r="V12" s="7"/>
      <c r="AC12" s="7"/>
      <c r="AD12" s="7"/>
      <c r="AE12" s="7"/>
    </row>
    <row r="13">
      <c r="A13" s="7"/>
      <c r="B13" s="7"/>
      <c r="C13" s="7"/>
      <c r="D13" s="9"/>
      <c r="E13" s="10"/>
      <c r="F13" s="11"/>
      <c r="G13" s="11"/>
      <c r="J13" s="7"/>
      <c r="K13" s="8"/>
      <c r="L13" s="7"/>
      <c r="M13" s="7"/>
      <c r="N13" s="7"/>
      <c r="Q13" s="8"/>
      <c r="R13" s="7"/>
      <c r="S13" s="9"/>
      <c r="T13" s="7"/>
      <c r="U13" s="7"/>
      <c r="V13" s="7"/>
      <c r="AC13" s="7"/>
      <c r="AD13" s="7"/>
      <c r="AE13" s="7"/>
    </row>
    <row r="14">
      <c r="A14" s="7"/>
      <c r="B14" s="7"/>
      <c r="C14" s="7"/>
      <c r="D14" s="9"/>
      <c r="E14" s="10"/>
      <c r="F14" s="11"/>
      <c r="G14" s="11"/>
      <c r="J14" s="7"/>
      <c r="K14" s="8"/>
      <c r="L14" s="7"/>
      <c r="M14" s="7"/>
      <c r="N14" s="7"/>
      <c r="Q14" s="8"/>
      <c r="R14" s="7"/>
      <c r="S14" s="9"/>
      <c r="T14" s="7"/>
      <c r="U14" s="7"/>
      <c r="V14" s="7"/>
      <c r="AC14" s="7"/>
      <c r="AD14" s="7"/>
      <c r="AE14" s="7"/>
    </row>
    <row r="15">
      <c r="A15" s="7"/>
      <c r="B15" s="7"/>
      <c r="C15" s="7"/>
      <c r="D15" s="9"/>
      <c r="E15" s="10"/>
      <c r="F15" s="11"/>
      <c r="G15" s="11"/>
      <c r="J15" s="7"/>
      <c r="K15" s="8"/>
      <c r="L15" s="7"/>
      <c r="M15" s="7"/>
      <c r="N15" s="7"/>
      <c r="Q15" s="8"/>
      <c r="R15" s="7"/>
      <c r="S15" s="9"/>
      <c r="T15" s="7"/>
      <c r="U15" s="7"/>
      <c r="V15" s="7"/>
      <c r="AC15" s="7"/>
      <c r="AD15" s="7"/>
      <c r="AE15" s="7"/>
    </row>
    <row r="16">
      <c r="A16" s="7"/>
      <c r="B16" s="7"/>
      <c r="C16" s="7"/>
      <c r="D16" s="9"/>
      <c r="E16" s="10"/>
      <c r="F16" s="11"/>
      <c r="G16" s="11"/>
      <c r="J16" s="7"/>
      <c r="K16" s="8"/>
      <c r="L16" s="7"/>
      <c r="M16" s="7"/>
      <c r="N16" s="7"/>
      <c r="Q16" s="8"/>
      <c r="R16" s="7"/>
      <c r="S16" s="9"/>
      <c r="T16" s="7"/>
      <c r="U16" s="7"/>
      <c r="V16" s="7"/>
      <c r="AC16" s="7"/>
      <c r="AD16" s="7"/>
      <c r="AE16" s="7"/>
    </row>
    <row r="17">
      <c r="A17" s="7"/>
      <c r="B17" s="7"/>
      <c r="C17" s="7"/>
      <c r="D17" s="9"/>
      <c r="E17" s="10"/>
      <c r="F17" s="11"/>
      <c r="G17" s="11"/>
      <c r="J17" s="7"/>
      <c r="K17" s="8"/>
      <c r="L17" s="7"/>
      <c r="M17" s="7"/>
      <c r="N17" s="7"/>
      <c r="Q17" s="8"/>
      <c r="R17" s="7"/>
      <c r="S17" s="9"/>
      <c r="T17" s="7"/>
      <c r="U17" s="7"/>
      <c r="V17" s="7"/>
      <c r="AC17" s="7"/>
      <c r="AD17" s="7"/>
      <c r="AE17" s="7"/>
    </row>
    <row r="18">
      <c r="A18" s="7"/>
      <c r="B18" s="7"/>
      <c r="C18" s="7"/>
      <c r="D18" s="9"/>
      <c r="E18" s="10"/>
      <c r="F18" s="11"/>
      <c r="G18" s="11"/>
      <c r="J18" s="7"/>
      <c r="K18" s="8"/>
      <c r="L18" s="7"/>
      <c r="M18" s="7"/>
      <c r="N18" s="7"/>
      <c r="Q18" s="8"/>
      <c r="R18" s="7"/>
      <c r="S18" s="9"/>
      <c r="T18" s="7"/>
      <c r="U18" s="7"/>
      <c r="V18" s="7"/>
      <c r="AC18" s="7"/>
      <c r="AD18" s="7"/>
      <c r="AE18" s="7"/>
    </row>
    <row r="19">
      <c r="A19" s="7"/>
      <c r="B19" s="7"/>
      <c r="C19" s="7"/>
      <c r="D19" s="9"/>
      <c r="E19" s="10"/>
      <c r="F19" s="11"/>
      <c r="G19" s="11"/>
      <c r="J19" s="7"/>
      <c r="K19" s="8"/>
      <c r="L19" s="7"/>
      <c r="M19" s="7"/>
      <c r="N19" s="7"/>
      <c r="Q19" s="8"/>
      <c r="R19" s="7"/>
      <c r="S19" s="9"/>
      <c r="T19" s="7"/>
      <c r="U19" s="7"/>
      <c r="V19" s="7"/>
      <c r="AC19" s="7"/>
      <c r="AD19" s="7"/>
      <c r="AE19" s="7"/>
    </row>
    <row r="20">
      <c r="A20" s="7"/>
      <c r="B20" s="7"/>
      <c r="C20" s="7"/>
      <c r="D20" s="9"/>
      <c r="E20" s="10"/>
      <c r="F20" s="11"/>
      <c r="G20" s="11"/>
      <c r="J20" s="7"/>
      <c r="K20" s="8"/>
      <c r="L20" s="7"/>
      <c r="M20" s="7"/>
      <c r="N20" s="7"/>
      <c r="Q20" s="8"/>
      <c r="R20" s="7"/>
      <c r="S20" s="9"/>
      <c r="T20" s="7"/>
      <c r="U20" s="7"/>
      <c r="V20" s="7"/>
      <c r="AC20" s="7"/>
      <c r="AD20" s="7"/>
      <c r="AE20" s="7"/>
    </row>
    <row r="21">
      <c r="A21" s="7"/>
      <c r="B21" s="7"/>
      <c r="C21" s="7"/>
      <c r="D21" s="9"/>
      <c r="E21" s="10"/>
      <c r="F21" s="11"/>
      <c r="G21" s="11"/>
      <c r="J21" s="7"/>
      <c r="K21" s="8"/>
      <c r="L21" s="7"/>
      <c r="M21" s="7"/>
      <c r="N21" s="7"/>
      <c r="Q21" s="8"/>
      <c r="R21" s="7"/>
      <c r="S21" s="9"/>
      <c r="T21" s="7"/>
      <c r="U21" s="7"/>
      <c r="V21" s="7"/>
      <c r="AC21" s="7"/>
      <c r="AD21" s="7"/>
      <c r="AE21" s="7"/>
    </row>
    <row r="22">
      <c r="A22" s="7"/>
      <c r="B22" s="7"/>
      <c r="C22" s="7"/>
      <c r="D22" s="9"/>
      <c r="E22" s="10"/>
      <c r="F22" s="11"/>
      <c r="G22" s="11"/>
      <c r="J22" s="7"/>
      <c r="K22" s="8"/>
      <c r="L22" s="7"/>
      <c r="M22" s="7"/>
      <c r="N22" s="7"/>
      <c r="Q22" s="8"/>
      <c r="R22" s="7"/>
      <c r="S22" s="9"/>
      <c r="T22" s="7"/>
      <c r="U22" s="7"/>
      <c r="V22" s="7"/>
      <c r="AC22" s="7"/>
      <c r="AD22" s="7"/>
      <c r="AE22" s="7"/>
    </row>
    <row r="23">
      <c r="A23" s="7"/>
      <c r="B23" s="7"/>
      <c r="C23" s="7"/>
      <c r="D23" s="9"/>
      <c r="E23" s="10"/>
      <c r="F23" s="11"/>
      <c r="G23" s="11"/>
      <c r="J23" s="7"/>
      <c r="K23" s="8"/>
      <c r="L23" s="7"/>
      <c r="M23" s="7"/>
      <c r="N23" s="7"/>
      <c r="Q23" s="8"/>
      <c r="R23" s="7"/>
      <c r="S23" s="9"/>
      <c r="T23" s="7"/>
      <c r="U23" s="7"/>
      <c r="V23" s="7"/>
      <c r="AC23" s="7"/>
      <c r="AD23" s="7"/>
      <c r="AE23" s="7"/>
    </row>
    <row r="24">
      <c r="A24" s="7"/>
      <c r="B24" s="7"/>
      <c r="C24" s="7"/>
      <c r="D24" s="9"/>
      <c r="E24" s="10"/>
      <c r="F24" s="11"/>
      <c r="G24" s="11"/>
      <c r="J24" s="7"/>
      <c r="K24" s="8"/>
      <c r="L24" s="7"/>
      <c r="M24" s="7"/>
      <c r="N24" s="7"/>
      <c r="Q24" s="8"/>
      <c r="R24" s="7"/>
      <c r="S24" s="9"/>
      <c r="T24" s="7"/>
      <c r="U24" s="7"/>
      <c r="V24" s="7"/>
      <c r="AC24" s="7"/>
      <c r="AD24" s="7"/>
      <c r="AE24" s="7"/>
    </row>
    <row r="25">
      <c r="A25" s="7"/>
      <c r="B25" s="7"/>
      <c r="C25" s="7"/>
      <c r="D25" s="9"/>
      <c r="E25" s="10"/>
      <c r="F25" s="11"/>
      <c r="G25" s="11"/>
      <c r="J25" s="7"/>
      <c r="K25" s="8"/>
      <c r="L25" s="7"/>
      <c r="M25" s="7"/>
      <c r="N25" s="7"/>
      <c r="Q25" s="8"/>
      <c r="R25" s="7"/>
      <c r="S25" s="9"/>
      <c r="T25" s="7"/>
      <c r="U25" s="7"/>
      <c r="V25" s="7"/>
      <c r="AC25" s="7"/>
      <c r="AD25" s="7"/>
      <c r="AE25" s="7"/>
    </row>
    <row r="26">
      <c r="A26" s="7"/>
      <c r="B26" s="7"/>
      <c r="C26" s="7"/>
      <c r="D26" s="9"/>
      <c r="E26" s="10"/>
      <c r="F26" s="11"/>
      <c r="G26" s="11"/>
      <c r="J26" s="7"/>
      <c r="K26" s="8"/>
      <c r="L26" s="7"/>
      <c r="M26" s="7"/>
      <c r="N26" s="7"/>
      <c r="Q26" s="8"/>
      <c r="R26" s="7"/>
      <c r="S26" s="9"/>
      <c r="T26" s="7"/>
      <c r="U26" s="7"/>
      <c r="V26" s="7"/>
      <c r="AC26" s="7"/>
      <c r="AD26" s="7"/>
      <c r="AE26" s="7"/>
    </row>
    <row r="27">
      <c r="A27" s="7"/>
      <c r="B27" s="7"/>
      <c r="C27" s="7"/>
      <c r="D27" s="9"/>
      <c r="E27" s="10"/>
      <c r="F27" s="11"/>
      <c r="G27" s="11"/>
      <c r="J27" s="7"/>
      <c r="K27" s="8"/>
      <c r="L27" s="7"/>
      <c r="M27" s="7"/>
      <c r="N27" s="7"/>
      <c r="Q27" s="8"/>
      <c r="R27" s="7"/>
      <c r="S27" s="9"/>
      <c r="T27" s="7"/>
      <c r="U27" s="7"/>
      <c r="V27" s="7"/>
      <c r="AC27" s="7"/>
      <c r="AD27" s="7"/>
      <c r="AE27" s="7"/>
    </row>
    <row r="28">
      <c r="A28" s="7"/>
      <c r="B28" s="7"/>
      <c r="C28" s="7"/>
      <c r="D28" s="9"/>
      <c r="E28" s="10"/>
      <c r="F28" s="11"/>
      <c r="G28" s="11"/>
      <c r="J28" s="7"/>
      <c r="K28" s="8"/>
      <c r="L28" s="7"/>
      <c r="M28" s="7"/>
      <c r="N28" s="7"/>
      <c r="Q28" s="8"/>
      <c r="R28" s="7"/>
      <c r="S28" s="9"/>
      <c r="T28" s="7"/>
      <c r="U28" s="7"/>
      <c r="V28" s="7"/>
      <c r="AC28" s="7"/>
      <c r="AD28" s="7"/>
      <c r="AE28" s="7"/>
    </row>
    <row r="29">
      <c r="A29" s="7"/>
      <c r="B29" s="7"/>
      <c r="C29" s="7"/>
      <c r="D29" s="9"/>
      <c r="E29" s="10"/>
      <c r="F29" s="11"/>
      <c r="G29" s="11"/>
      <c r="J29" s="7"/>
      <c r="K29" s="8"/>
      <c r="L29" s="7"/>
      <c r="M29" s="7"/>
      <c r="N29" s="7"/>
      <c r="Q29" s="8"/>
      <c r="R29" s="7"/>
      <c r="S29" s="9"/>
      <c r="T29" s="7"/>
      <c r="U29" s="7"/>
      <c r="V29" s="7"/>
      <c r="AC29" s="7"/>
      <c r="AD29" s="7"/>
      <c r="AE29" s="7"/>
    </row>
    <row r="30">
      <c r="A30" s="7"/>
      <c r="B30" s="7"/>
      <c r="C30" s="7"/>
      <c r="D30" s="9"/>
      <c r="E30" s="10"/>
      <c r="F30" s="11"/>
      <c r="G30" s="11"/>
      <c r="J30" s="7"/>
      <c r="K30" s="8"/>
      <c r="L30" s="7"/>
      <c r="M30" s="7"/>
      <c r="N30" s="7"/>
      <c r="Q30" s="8"/>
      <c r="R30" s="7"/>
      <c r="S30" s="9"/>
      <c r="T30" s="7"/>
      <c r="U30" s="7"/>
      <c r="V30" s="7"/>
      <c r="AC30" s="7"/>
      <c r="AD30" s="7"/>
      <c r="AE30" s="7"/>
    </row>
    <row r="31">
      <c r="A31" s="7"/>
      <c r="B31" s="7"/>
      <c r="C31" s="7"/>
      <c r="D31" s="9"/>
      <c r="E31" s="10"/>
      <c r="F31" s="11"/>
      <c r="G31" s="11"/>
      <c r="J31" s="7"/>
      <c r="K31" s="8"/>
      <c r="L31" s="7"/>
      <c r="M31" s="7"/>
      <c r="N31" s="7"/>
      <c r="Q31" s="8"/>
      <c r="R31" s="7"/>
      <c r="S31" s="9"/>
      <c r="T31" s="7"/>
      <c r="U31" s="7"/>
      <c r="V31" s="7"/>
      <c r="AC31" s="7"/>
      <c r="AD31" s="7"/>
      <c r="AE31" s="7"/>
    </row>
    <row r="32">
      <c r="A32" s="7"/>
      <c r="B32" s="7"/>
      <c r="C32" s="7"/>
      <c r="D32" s="9"/>
      <c r="E32" s="10"/>
      <c r="F32" s="11"/>
      <c r="G32" s="11"/>
      <c r="J32" s="7"/>
      <c r="K32" s="8"/>
      <c r="L32" s="7"/>
      <c r="M32" s="7"/>
      <c r="N32" s="7"/>
      <c r="Q32" s="8"/>
      <c r="R32" s="7"/>
      <c r="S32" s="9"/>
      <c r="T32" s="7"/>
      <c r="U32" s="7"/>
      <c r="V32" s="7"/>
      <c r="AC32" s="7"/>
      <c r="AD32" s="7"/>
      <c r="AE32" s="7"/>
    </row>
    <row r="33">
      <c r="A33" s="7"/>
      <c r="B33" s="7"/>
      <c r="C33" s="7"/>
      <c r="D33" s="9"/>
      <c r="E33" s="10"/>
      <c r="F33" s="11"/>
      <c r="G33" s="11"/>
      <c r="J33" s="7"/>
      <c r="K33" s="8"/>
      <c r="L33" s="7"/>
      <c r="M33" s="7"/>
      <c r="N33" s="7"/>
      <c r="Q33" s="8"/>
      <c r="R33" s="7"/>
      <c r="S33" s="9"/>
      <c r="T33" s="7"/>
      <c r="U33" s="7"/>
      <c r="V33" s="7"/>
      <c r="AC33" s="7"/>
      <c r="AD33" s="7"/>
      <c r="AE33" s="7"/>
    </row>
    <row r="34">
      <c r="A34" s="7"/>
      <c r="B34" s="7"/>
      <c r="C34" s="7"/>
      <c r="D34" s="9"/>
      <c r="E34" s="10"/>
      <c r="F34" s="11"/>
      <c r="G34" s="11"/>
      <c r="J34" s="7"/>
      <c r="K34" s="8"/>
      <c r="L34" s="7"/>
      <c r="M34" s="7"/>
      <c r="N34" s="7"/>
      <c r="Q34" s="8"/>
      <c r="R34" s="7"/>
      <c r="S34" s="9"/>
      <c r="T34" s="7"/>
      <c r="U34" s="7"/>
      <c r="V34" s="7"/>
      <c r="AC34" s="7"/>
      <c r="AD34" s="7"/>
      <c r="AE34" s="7"/>
    </row>
    <row r="35">
      <c r="A35" s="7"/>
      <c r="B35" s="7"/>
      <c r="C35" s="7"/>
      <c r="D35" s="9"/>
      <c r="E35" s="10"/>
      <c r="F35" s="11"/>
      <c r="G35" s="11"/>
      <c r="J35" s="7"/>
      <c r="K35" s="8"/>
      <c r="L35" s="7"/>
      <c r="M35" s="7"/>
      <c r="N35" s="7"/>
      <c r="Q35" s="8"/>
      <c r="R35" s="7"/>
      <c r="S35" s="9"/>
      <c r="T35" s="7"/>
      <c r="U35" s="7"/>
      <c r="V35" s="7"/>
      <c r="AC35" s="7"/>
      <c r="AD35" s="7"/>
      <c r="AE35" s="7"/>
    </row>
    <row r="36">
      <c r="A36" s="7"/>
      <c r="B36" s="7"/>
      <c r="C36" s="7"/>
      <c r="D36" s="9"/>
      <c r="E36" s="10"/>
      <c r="F36" s="11"/>
      <c r="G36" s="11"/>
      <c r="J36" s="7"/>
      <c r="K36" s="8"/>
      <c r="L36" s="7"/>
      <c r="M36" s="7"/>
      <c r="N36" s="7"/>
      <c r="Q36" s="8"/>
      <c r="R36" s="7"/>
      <c r="S36" s="9"/>
      <c r="T36" s="7"/>
      <c r="U36" s="7"/>
      <c r="V36" s="7"/>
      <c r="AC36" s="7"/>
      <c r="AD36" s="7"/>
      <c r="AE36" s="7"/>
    </row>
    <row r="37">
      <c r="A37" s="7"/>
      <c r="B37" s="7"/>
      <c r="C37" s="7"/>
      <c r="D37" s="9"/>
      <c r="E37" s="10"/>
      <c r="F37" s="11"/>
      <c r="G37" s="11"/>
      <c r="J37" s="7"/>
      <c r="K37" s="8"/>
      <c r="L37" s="7"/>
      <c r="M37" s="7"/>
      <c r="N37" s="7"/>
      <c r="Q37" s="8"/>
      <c r="R37" s="7"/>
      <c r="S37" s="9"/>
      <c r="T37" s="7"/>
      <c r="U37" s="7"/>
      <c r="V37" s="7"/>
      <c r="AC37" s="7"/>
      <c r="AD37" s="7"/>
      <c r="AE37" s="7"/>
    </row>
    <row r="38">
      <c r="A38" s="7"/>
      <c r="B38" s="7"/>
      <c r="C38" s="7"/>
      <c r="D38" s="9"/>
      <c r="E38" s="10"/>
      <c r="F38" s="11"/>
      <c r="G38" s="11"/>
      <c r="J38" s="7"/>
      <c r="K38" s="8"/>
      <c r="L38" s="7"/>
      <c r="M38" s="7"/>
      <c r="N38" s="7"/>
      <c r="Q38" s="8"/>
      <c r="R38" s="7"/>
      <c r="S38" s="9"/>
      <c r="T38" s="7"/>
      <c r="U38" s="7"/>
      <c r="V38" s="7"/>
      <c r="AC38" s="7"/>
      <c r="AD38" s="7"/>
      <c r="AE38" s="7"/>
    </row>
    <row r="39">
      <c r="A39" s="7"/>
      <c r="B39" s="7"/>
      <c r="C39" s="7"/>
      <c r="D39" s="9"/>
      <c r="E39" s="10"/>
      <c r="F39" s="11"/>
      <c r="G39" s="11"/>
      <c r="J39" s="7"/>
      <c r="K39" s="8"/>
      <c r="L39" s="7"/>
      <c r="M39" s="7"/>
      <c r="N39" s="7"/>
      <c r="Q39" s="8"/>
      <c r="R39" s="7"/>
      <c r="S39" s="9"/>
      <c r="T39" s="7"/>
      <c r="U39" s="7"/>
      <c r="V39" s="7"/>
      <c r="AC39" s="7"/>
      <c r="AD39" s="7"/>
      <c r="AE39" s="7"/>
    </row>
    <row r="40">
      <c r="A40" s="7"/>
      <c r="B40" s="7"/>
      <c r="C40" s="7"/>
      <c r="D40" s="9"/>
      <c r="E40" s="10"/>
      <c r="F40" s="11"/>
      <c r="G40" s="11"/>
      <c r="J40" s="7"/>
      <c r="K40" s="8"/>
      <c r="L40" s="7"/>
      <c r="M40" s="7"/>
      <c r="N40" s="7"/>
      <c r="Q40" s="8"/>
      <c r="R40" s="7"/>
      <c r="S40" s="9"/>
      <c r="T40" s="7"/>
      <c r="U40" s="7"/>
      <c r="V40" s="7"/>
      <c r="AC40" s="7"/>
      <c r="AD40" s="7"/>
      <c r="AE40" s="7"/>
    </row>
    <row r="41">
      <c r="A41" s="7"/>
      <c r="B41" s="7"/>
      <c r="C41" s="7"/>
      <c r="D41" s="9"/>
      <c r="E41" s="10"/>
      <c r="F41" s="11"/>
      <c r="G41" s="11"/>
      <c r="J41" s="7"/>
      <c r="K41" s="8"/>
      <c r="L41" s="7"/>
      <c r="M41" s="7"/>
      <c r="N41" s="7"/>
      <c r="Q41" s="8"/>
      <c r="R41" s="7"/>
      <c r="S41" s="9"/>
      <c r="T41" s="7"/>
      <c r="U41" s="7"/>
      <c r="V41" s="7"/>
      <c r="AC41" s="7"/>
      <c r="AD41" s="7"/>
      <c r="AE41" s="7"/>
    </row>
    <row r="42">
      <c r="A42" s="7"/>
      <c r="B42" s="7"/>
      <c r="C42" s="7"/>
      <c r="D42" s="9"/>
      <c r="E42" s="10"/>
      <c r="F42" s="11"/>
      <c r="G42" s="11"/>
      <c r="J42" s="7"/>
      <c r="K42" s="8"/>
      <c r="L42" s="7"/>
      <c r="M42" s="7"/>
      <c r="N42" s="7"/>
      <c r="Q42" s="8"/>
      <c r="R42" s="7"/>
      <c r="S42" s="9"/>
      <c r="T42" s="7"/>
      <c r="U42" s="7"/>
      <c r="V42" s="7"/>
      <c r="AC42" s="7"/>
      <c r="AD42" s="7"/>
      <c r="AE42" s="7"/>
    </row>
    <row r="43">
      <c r="A43" s="7"/>
      <c r="B43" s="7"/>
      <c r="C43" s="7"/>
      <c r="D43" s="9"/>
      <c r="E43" s="10"/>
      <c r="F43" s="11"/>
      <c r="G43" s="11"/>
      <c r="J43" s="7"/>
      <c r="K43" s="8"/>
      <c r="L43" s="7"/>
      <c r="M43" s="7"/>
      <c r="N43" s="7"/>
      <c r="Q43" s="8"/>
      <c r="R43" s="7"/>
      <c r="S43" s="9"/>
      <c r="T43" s="7"/>
      <c r="U43" s="7"/>
      <c r="V43" s="7"/>
      <c r="AC43" s="7"/>
      <c r="AD43" s="7"/>
      <c r="AE43" s="7"/>
    </row>
    <row r="44">
      <c r="A44" s="7"/>
      <c r="B44" s="7"/>
      <c r="C44" s="7"/>
      <c r="D44" s="9"/>
      <c r="E44" s="10"/>
      <c r="F44" s="11"/>
      <c r="G44" s="11"/>
      <c r="J44" s="7"/>
      <c r="K44" s="8"/>
      <c r="L44" s="7"/>
      <c r="M44" s="7"/>
      <c r="N44" s="7"/>
      <c r="Q44" s="8"/>
      <c r="R44" s="7"/>
      <c r="S44" s="9"/>
      <c r="T44" s="7"/>
      <c r="U44" s="7"/>
      <c r="V44" s="7"/>
      <c r="AC44" s="7"/>
      <c r="AD44" s="7"/>
      <c r="AE44" s="7"/>
    </row>
    <row r="45">
      <c r="A45" s="7"/>
      <c r="B45" s="7"/>
      <c r="C45" s="7"/>
      <c r="D45" s="9"/>
      <c r="E45" s="10"/>
      <c r="F45" s="11"/>
      <c r="G45" s="11"/>
      <c r="J45" s="7"/>
      <c r="K45" s="8"/>
      <c r="L45" s="7"/>
      <c r="M45" s="7"/>
      <c r="N45" s="7"/>
      <c r="Q45" s="8"/>
      <c r="R45" s="7"/>
      <c r="S45" s="9"/>
      <c r="T45" s="7"/>
      <c r="U45" s="7"/>
      <c r="V45" s="7"/>
      <c r="AC45" s="7"/>
      <c r="AD45" s="7"/>
      <c r="AE45" s="7"/>
    </row>
    <row r="46">
      <c r="A46" s="7"/>
      <c r="B46" s="7"/>
      <c r="C46" s="7"/>
      <c r="D46" s="9"/>
      <c r="E46" s="10"/>
      <c r="F46" s="11"/>
      <c r="G46" s="11"/>
      <c r="J46" s="7"/>
      <c r="K46" s="8"/>
      <c r="L46" s="7"/>
      <c r="M46" s="7"/>
      <c r="N46" s="7"/>
      <c r="Q46" s="8"/>
      <c r="R46" s="7"/>
      <c r="S46" s="9"/>
      <c r="T46" s="7"/>
      <c r="U46" s="7"/>
      <c r="V46" s="7"/>
      <c r="AC46" s="7"/>
      <c r="AD46" s="7"/>
      <c r="AE46" s="7"/>
    </row>
    <row r="47">
      <c r="A47" s="7"/>
      <c r="B47" s="7"/>
      <c r="C47" s="7"/>
      <c r="D47" s="9"/>
      <c r="E47" s="10"/>
      <c r="F47" s="11"/>
      <c r="G47" s="11"/>
      <c r="J47" s="7"/>
      <c r="K47" s="8"/>
      <c r="L47" s="7"/>
      <c r="M47" s="7"/>
      <c r="N47" s="7"/>
      <c r="Q47" s="8"/>
      <c r="R47" s="7"/>
      <c r="S47" s="9"/>
      <c r="T47" s="7"/>
      <c r="U47" s="7"/>
      <c r="V47" s="7"/>
      <c r="AC47" s="7"/>
      <c r="AD47" s="7"/>
      <c r="AE47" s="7"/>
    </row>
    <row r="48">
      <c r="A48" s="7"/>
      <c r="B48" s="7"/>
      <c r="C48" s="7"/>
      <c r="D48" s="9"/>
      <c r="E48" s="10"/>
      <c r="F48" s="11"/>
      <c r="G48" s="11"/>
      <c r="J48" s="7"/>
      <c r="K48" s="8"/>
      <c r="L48" s="7"/>
      <c r="M48" s="7"/>
      <c r="N48" s="7"/>
      <c r="Q48" s="8"/>
      <c r="R48" s="7"/>
      <c r="S48" s="9"/>
      <c r="T48" s="7"/>
      <c r="U48" s="7"/>
      <c r="V48" s="7"/>
      <c r="AC48" s="7"/>
      <c r="AD48" s="7"/>
      <c r="AE48" s="7"/>
    </row>
    <row r="49">
      <c r="A49" s="7"/>
      <c r="B49" s="7"/>
      <c r="C49" s="7"/>
      <c r="D49" s="9"/>
      <c r="E49" s="10"/>
      <c r="F49" s="11"/>
      <c r="G49" s="11"/>
      <c r="J49" s="7"/>
      <c r="K49" s="8"/>
      <c r="L49" s="7"/>
      <c r="M49" s="7"/>
      <c r="N49" s="7"/>
      <c r="Q49" s="8"/>
      <c r="R49" s="7"/>
      <c r="S49" s="9"/>
      <c r="T49" s="7"/>
      <c r="U49" s="7"/>
      <c r="V49" s="7"/>
      <c r="AC49" s="7"/>
      <c r="AD49" s="7"/>
      <c r="AE49" s="7"/>
    </row>
    <row r="50">
      <c r="A50" s="7"/>
      <c r="B50" s="7"/>
      <c r="C50" s="7"/>
      <c r="D50" s="9"/>
      <c r="E50" s="10"/>
      <c r="F50" s="11"/>
      <c r="G50" s="11"/>
      <c r="J50" s="7"/>
      <c r="K50" s="8"/>
      <c r="L50" s="7"/>
      <c r="M50" s="7"/>
      <c r="N50" s="7"/>
      <c r="Q50" s="8"/>
      <c r="R50" s="7"/>
      <c r="S50" s="9"/>
      <c r="T50" s="7"/>
      <c r="U50" s="7"/>
      <c r="V50" s="7"/>
      <c r="AC50" s="7"/>
      <c r="AD50" s="7"/>
      <c r="AE50" s="7"/>
    </row>
    <row r="51">
      <c r="A51" s="7"/>
      <c r="B51" s="7"/>
      <c r="C51" s="7"/>
      <c r="D51" s="9"/>
      <c r="E51" s="10"/>
      <c r="F51" s="11"/>
      <c r="G51" s="11"/>
      <c r="J51" s="7"/>
      <c r="K51" s="8"/>
      <c r="L51" s="7"/>
      <c r="M51" s="7"/>
      <c r="N51" s="7"/>
      <c r="Q51" s="8"/>
      <c r="R51" s="7"/>
      <c r="S51" s="9"/>
      <c r="T51" s="7"/>
      <c r="U51" s="7"/>
      <c r="V51" s="7"/>
      <c r="AC51" s="7"/>
      <c r="AD51" s="7"/>
      <c r="AE51" s="7"/>
    </row>
    <row r="52">
      <c r="A52" s="7"/>
      <c r="B52" s="7"/>
      <c r="C52" s="7"/>
      <c r="D52" s="9"/>
      <c r="E52" s="10"/>
      <c r="F52" s="11"/>
      <c r="G52" s="11"/>
      <c r="J52" s="7"/>
      <c r="K52" s="8"/>
      <c r="L52" s="7"/>
      <c r="M52" s="7"/>
      <c r="N52" s="7"/>
      <c r="Q52" s="8"/>
      <c r="R52" s="7"/>
      <c r="S52" s="9"/>
      <c r="T52" s="7"/>
      <c r="U52" s="7"/>
      <c r="V52" s="7"/>
      <c r="AC52" s="7"/>
      <c r="AD52" s="7"/>
      <c r="AE52" s="7"/>
    </row>
    <row r="53">
      <c r="A53" s="7"/>
      <c r="B53" s="7"/>
      <c r="C53" s="7"/>
      <c r="D53" s="9"/>
      <c r="E53" s="10"/>
      <c r="F53" s="11"/>
      <c r="G53" s="11"/>
      <c r="J53" s="7"/>
      <c r="K53" s="8"/>
      <c r="L53" s="7"/>
      <c r="M53" s="7"/>
      <c r="N53" s="7"/>
      <c r="Q53" s="8"/>
      <c r="R53" s="7"/>
      <c r="S53" s="9"/>
      <c r="T53" s="7"/>
      <c r="U53" s="7"/>
      <c r="V53" s="7"/>
      <c r="AC53" s="7"/>
      <c r="AD53" s="7"/>
      <c r="AE53" s="7"/>
    </row>
    <row r="54">
      <c r="A54" s="7"/>
      <c r="B54" s="7"/>
      <c r="C54" s="7"/>
      <c r="D54" s="9"/>
      <c r="E54" s="10"/>
      <c r="F54" s="11"/>
      <c r="G54" s="11"/>
      <c r="J54" s="7"/>
      <c r="K54" s="8"/>
      <c r="L54" s="7"/>
      <c r="M54" s="7"/>
      <c r="N54" s="7"/>
      <c r="Q54" s="8"/>
      <c r="R54" s="7"/>
      <c r="S54" s="9"/>
      <c r="T54" s="7"/>
      <c r="U54" s="7"/>
      <c r="V54" s="7"/>
      <c r="AC54" s="7"/>
      <c r="AD54" s="7"/>
      <c r="AE54" s="7"/>
    </row>
    <row r="55">
      <c r="A55" s="7"/>
      <c r="B55" s="7"/>
      <c r="C55" s="7"/>
      <c r="D55" s="9"/>
      <c r="E55" s="10"/>
      <c r="F55" s="11"/>
      <c r="G55" s="11"/>
      <c r="J55" s="7"/>
      <c r="K55" s="8"/>
      <c r="L55" s="7"/>
      <c r="M55" s="7"/>
      <c r="N55" s="7"/>
      <c r="Q55" s="8"/>
      <c r="R55" s="7"/>
      <c r="S55" s="9"/>
      <c r="T55" s="7"/>
      <c r="U55" s="7"/>
      <c r="V55" s="7"/>
      <c r="AC55" s="7"/>
      <c r="AD55" s="7"/>
      <c r="AE55" s="7"/>
    </row>
    <row r="56">
      <c r="A56" s="7"/>
      <c r="B56" s="7"/>
      <c r="C56" s="7"/>
      <c r="D56" s="9"/>
      <c r="E56" s="10"/>
      <c r="F56" s="11"/>
      <c r="G56" s="11"/>
      <c r="J56" s="7"/>
      <c r="K56" s="8"/>
      <c r="L56" s="7"/>
      <c r="M56" s="7"/>
      <c r="N56" s="7"/>
      <c r="Q56" s="8"/>
      <c r="R56" s="7"/>
      <c r="S56" s="9"/>
      <c r="T56" s="7"/>
      <c r="U56" s="7"/>
      <c r="V56" s="7"/>
      <c r="AC56" s="7"/>
      <c r="AD56" s="7"/>
      <c r="AE56" s="7"/>
    </row>
    <row r="57">
      <c r="A57" s="7"/>
      <c r="B57" s="7"/>
      <c r="C57" s="7"/>
      <c r="D57" s="9"/>
      <c r="E57" s="10"/>
      <c r="F57" s="11"/>
      <c r="G57" s="11"/>
      <c r="J57" s="7"/>
      <c r="K57" s="8"/>
      <c r="L57" s="7"/>
      <c r="M57" s="7"/>
      <c r="N57" s="7"/>
      <c r="Q57" s="8"/>
      <c r="R57" s="7"/>
      <c r="S57" s="9"/>
      <c r="T57" s="7"/>
      <c r="U57" s="7"/>
      <c r="V57" s="7"/>
      <c r="AC57" s="7"/>
      <c r="AD57" s="7"/>
      <c r="AE57" s="7"/>
    </row>
    <row r="58">
      <c r="A58" s="7"/>
      <c r="B58" s="7"/>
      <c r="C58" s="7"/>
      <c r="D58" s="9"/>
      <c r="E58" s="10"/>
      <c r="F58" s="11"/>
      <c r="G58" s="11"/>
      <c r="J58" s="7"/>
      <c r="K58" s="8"/>
      <c r="L58" s="7"/>
      <c r="M58" s="7"/>
      <c r="N58" s="7"/>
      <c r="Q58" s="8"/>
      <c r="R58" s="7"/>
      <c r="S58" s="9"/>
      <c r="T58" s="7"/>
      <c r="U58" s="7"/>
      <c r="V58" s="7"/>
      <c r="AC58" s="7"/>
      <c r="AD58" s="7"/>
      <c r="AE58" s="7"/>
    </row>
    <row r="59">
      <c r="A59" s="7"/>
      <c r="B59" s="7"/>
      <c r="C59" s="7"/>
      <c r="D59" s="9"/>
      <c r="E59" s="10"/>
      <c r="F59" s="11"/>
      <c r="G59" s="11"/>
      <c r="J59" s="7"/>
      <c r="K59" s="8"/>
      <c r="L59" s="7"/>
      <c r="M59" s="7"/>
      <c r="N59" s="7"/>
      <c r="Q59" s="8"/>
      <c r="R59" s="7"/>
      <c r="S59" s="9"/>
      <c r="T59" s="7"/>
      <c r="U59" s="7"/>
      <c r="V59" s="7"/>
      <c r="AC59" s="7"/>
      <c r="AD59" s="7"/>
      <c r="AE59" s="7"/>
    </row>
    <row r="60">
      <c r="A60" s="7"/>
      <c r="B60" s="7"/>
      <c r="C60" s="7"/>
      <c r="D60" s="9"/>
      <c r="E60" s="10"/>
      <c r="F60" s="11"/>
      <c r="G60" s="11"/>
      <c r="J60" s="7"/>
      <c r="K60" s="8"/>
      <c r="L60" s="7"/>
      <c r="M60" s="7"/>
      <c r="N60" s="7"/>
      <c r="Q60" s="8"/>
      <c r="R60" s="7"/>
      <c r="S60" s="9"/>
      <c r="T60" s="7"/>
      <c r="U60" s="7"/>
      <c r="V60" s="7"/>
      <c r="AC60" s="7"/>
      <c r="AD60" s="7"/>
      <c r="AE60" s="7"/>
    </row>
    <row r="61">
      <c r="A61" s="7"/>
      <c r="B61" s="7"/>
      <c r="C61" s="7"/>
      <c r="D61" s="9"/>
      <c r="E61" s="10"/>
      <c r="F61" s="11"/>
      <c r="G61" s="11"/>
      <c r="J61" s="7"/>
      <c r="K61" s="8"/>
      <c r="L61" s="7"/>
      <c r="M61" s="7"/>
      <c r="N61" s="7"/>
      <c r="Q61" s="8"/>
      <c r="R61" s="7"/>
      <c r="S61" s="9"/>
      <c r="T61" s="7"/>
      <c r="U61" s="7"/>
      <c r="V61" s="7"/>
      <c r="AC61" s="7"/>
      <c r="AD61" s="7"/>
      <c r="AE61" s="7"/>
    </row>
    <row r="62">
      <c r="A62" s="7"/>
      <c r="B62" s="7"/>
      <c r="C62" s="7"/>
      <c r="D62" s="9"/>
      <c r="E62" s="10"/>
      <c r="F62" s="11"/>
      <c r="G62" s="11"/>
      <c r="J62" s="7"/>
      <c r="K62" s="8"/>
      <c r="L62" s="7"/>
      <c r="M62" s="7"/>
      <c r="N62" s="7"/>
      <c r="Q62" s="8"/>
      <c r="R62" s="7"/>
      <c r="S62" s="9"/>
      <c r="T62" s="7"/>
      <c r="U62" s="7"/>
      <c r="V62" s="7"/>
      <c r="AC62" s="7"/>
      <c r="AD62" s="7"/>
      <c r="AE62" s="7"/>
    </row>
    <row r="63">
      <c r="A63" s="7"/>
      <c r="B63" s="7"/>
      <c r="C63" s="7"/>
      <c r="D63" s="9"/>
      <c r="E63" s="10"/>
      <c r="F63" s="11"/>
      <c r="G63" s="11"/>
      <c r="J63" s="7"/>
      <c r="K63" s="8"/>
      <c r="L63" s="7"/>
      <c r="M63" s="7"/>
      <c r="N63" s="7"/>
      <c r="Q63" s="8"/>
      <c r="R63" s="7"/>
      <c r="S63" s="9"/>
      <c r="T63" s="7"/>
      <c r="U63" s="7"/>
      <c r="V63" s="7"/>
      <c r="AC63" s="7"/>
      <c r="AD63" s="7"/>
      <c r="AE63" s="7"/>
    </row>
    <row r="64">
      <c r="A64" s="7"/>
      <c r="B64" s="7"/>
      <c r="C64" s="7"/>
      <c r="D64" s="9"/>
      <c r="E64" s="10"/>
      <c r="F64" s="11"/>
      <c r="G64" s="11"/>
      <c r="J64" s="7"/>
      <c r="K64" s="8"/>
      <c r="L64" s="7"/>
      <c r="M64" s="7"/>
      <c r="N64" s="7"/>
      <c r="Q64" s="8"/>
      <c r="R64" s="7"/>
      <c r="S64" s="9"/>
      <c r="T64" s="7"/>
      <c r="U64" s="7"/>
      <c r="V64" s="7"/>
      <c r="AC64" s="7"/>
      <c r="AD64" s="7"/>
      <c r="AE64" s="7"/>
    </row>
    <row r="65">
      <c r="A65" s="7"/>
      <c r="B65" s="7"/>
      <c r="C65" s="7"/>
      <c r="D65" s="9"/>
      <c r="E65" s="10"/>
      <c r="F65" s="11"/>
      <c r="G65" s="11"/>
      <c r="J65" s="7"/>
      <c r="K65" s="8"/>
      <c r="L65" s="7"/>
      <c r="M65" s="7"/>
      <c r="N65" s="7"/>
      <c r="Q65" s="8"/>
      <c r="R65" s="7"/>
      <c r="S65" s="9"/>
      <c r="T65" s="7"/>
      <c r="U65" s="7"/>
      <c r="V65" s="7"/>
      <c r="AC65" s="7"/>
      <c r="AD65" s="7"/>
      <c r="AE65" s="7"/>
    </row>
    <row r="66">
      <c r="A66" s="7"/>
      <c r="B66" s="7"/>
      <c r="C66" s="7"/>
      <c r="D66" s="9"/>
      <c r="E66" s="10"/>
      <c r="F66" s="11"/>
      <c r="G66" s="11"/>
      <c r="J66" s="7"/>
      <c r="K66" s="8"/>
      <c r="L66" s="7"/>
      <c r="M66" s="7"/>
      <c r="N66" s="7"/>
      <c r="Q66" s="8"/>
      <c r="R66" s="7"/>
      <c r="S66" s="9"/>
      <c r="T66" s="7"/>
      <c r="U66" s="7"/>
      <c r="V66" s="7"/>
      <c r="AC66" s="7"/>
      <c r="AD66" s="7"/>
      <c r="AE66" s="7"/>
    </row>
    <row r="67">
      <c r="A67" s="7"/>
      <c r="B67" s="7"/>
      <c r="C67" s="7"/>
      <c r="D67" s="9"/>
      <c r="E67" s="10"/>
      <c r="F67" s="11"/>
      <c r="G67" s="11"/>
      <c r="J67" s="7"/>
      <c r="K67" s="8"/>
      <c r="L67" s="7"/>
      <c r="M67" s="7"/>
      <c r="N67" s="7"/>
      <c r="Q67" s="8"/>
      <c r="R67" s="7"/>
      <c r="S67" s="9"/>
      <c r="T67" s="7"/>
      <c r="U67" s="7"/>
      <c r="V67" s="7"/>
      <c r="AC67" s="7"/>
      <c r="AD67" s="7"/>
      <c r="AE67" s="7"/>
    </row>
    <row r="68">
      <c r="A68" s="7"/>
      <c r="B68" s="7"/>
      <c r="C68" s="7"/>
      <c r="D68" s="9"/>
      <c r="E68" s="10"/>
      <c r="F68" s="11"/>
      <c r="G68" s="11"/>
      <c r="J68" s="7"/>
      <c r="K68" s="8"/>
      <c r="L68" s="7"/>
      <c r="M68" s="7"/>
      <c r="N68" s="7"/>
      <c r="Q68" s="8"/>
      <c r="R68" s="7"/>
      <c r="S68" s="9"/>
      <c r="T68" s="7"/>
      <c r="U68" s="7"/>
      <c r="V68" s="7"/>
      <c r="AC68" s="7"/>
      <c r="AD68" s="7"/>
      <c r="AE68" s="7"/>
    </row>
    <row r="69">
      <c r="A69" s="7"/>
      <c r="B69" s="7"/>
      <c r="C69" s="7"/>
      <c r="D69" s="9"/>
      <c r="E69" s="10"/>
      <c r="F69" s="11"/>
      <c r="G69" s="11"/>
      <c r="J69" s="7"/>
      <c r="K69" s="8"/>
      <c r="L69" s="7"/>
      <c r="M69" s="7"/>
      <c r="N69" s="7"/>
      <c r="Q69" s="8"/>
      <c r="R69" s="7"/>
      <c r="S69" s="9"/>
      <c r="T69" s="7"/>
      <c r="U69" s="7"/>
      <c r="V69" s="7"/>
      <c r="AC69" s="7"/>
      <c r="AD69" s="7"/>
      <c r="AE69" s="7"/>
    </row>
    <row r="70">
      <c r="A70" s="7"/>
      <c r="B70" s="7"/>
      <c r="C70" s="7"/>
      <c r="D70" s="9"/>
      <c r="E70" s="10"/>
      <c r="F70" s="11"/>
      <c r="G70" s="11"/>
      <c r="J70" s="7"/>
      <c r="K70" s="8"/>
      <c r="L70" s="7"/>
      <c r="M70" s="7"/>
      <c r="N70" s="7"/>
      <c r="Q70" s="8"/>
      <c r="R70" s="7"/>
      <c r="S70" s="9"/>
      <c r="T70" s="7"/>
      <c r="U70" s="7"/>
      <c r="V70" s="7"/>
      <c r="AC70" s="7"/>
      <c r="AD70" s="7"/>
      <c r="AE70" s="7"/>
    </row>
    <row r="71">
      <c r="A71" s="7"/>
      <c r="B71" s="7"/>
      <c r="C71" s="7"/>
      <c r="D71" s="9"/>
      <c r="E71" s="10"/>
      <c r="F71" s="11"/>
      <c r="G71" s="11"/>
      <c r="J71" s="7"/>
      <c r="K71" s="8"/>
      <c r="L71" s="7"/>
      <c r="M71" s="7"/>
      <c r="N71" s="7"/>
      <c r="Q71" s="8"/>
      <c r="R71" s="7"/>
      <c r="S71" s="9"/>
      <c r="T71" s="7"/>
      <c r="U71" s="7"/>
      <c r="V71" s="7"/>
      <c r="AC71" s="7"/>
      <c r="AD71" s="7"/>
      <c r="AE71" s="7"/>
    </row>
    <row r="72">
      <c r="A72" s="7"/>
      <c r="B72" s="7"/>
      <c r="C72" s="7"/>
      <c r="D72" s="9"/>
      <c r="E72" s="10"/>
      <c r="F72" s="11"/>
      <c r="G72" s="11"/>
      <c r="J72" s="7"/>
      <c r="K72" s="8"/>
      <c r="L72" s="7"/>
      <c r="M72" s="7"/>
      <c r="N72" s="7"/>
      <c r="Q72" s="8"/>
      <c r="R72" s="7"/>
      <c r="S72" s="9"/>
      <c r="T72" s="7"/>
      <c r="U72" s="7"/>
      <c r="V72" s="7"/>
      <c r="AC72" s="7"/>
      <c r="AD72" s="7"/>
      <c r="AE72" s="7"/>
    </row>
    <row r="73">
      <c r="A73" s="7"/>
      <c r="B73" s="7"/>
      <c r="C73" s="7"/>
      <c r="D73" s="9"/>
      <c r="E73" s="10"/>
      <c r="F73" s="11"/>
      <c r="G73" s="11"/>
      <c r="J73" s="7"/>
      <c r="K73" s="8"/>
      <c r="L73" s="7"/>
      <c r="M73" s="7"/>
      <c r="N73" s="7"/>
      <c r="Q73" s="8"/>
      <c r="R73" s="7"/>
      <c r="S73" s="9"/>
      <c r="T73" s="7"/>
      <c r="U73" s="7"/>
      <c r="V73" s="7"/>
      <c r="AC73" s="7"/>
      <c r="AD73" s="7"/>
      <c r="AE73" s="7"/>
    </row>
    <row r="74">
      <c r="A74" s="7"/>
      <c r="B74" s="7"/>
      <c r="C74" s="7"/>
      <c r="D74" s="9"/>
      <c r="E74" s="10"/>
      <c r="F74" s="11"/>
      <c r="G74" s="11"/>
      <c r="J74" s="7"/>
      <c r="K74" s="8"/>
      <c r="L74" s="7"/>
      <c r="M74" s="7"/>
      <c r="N74" s="7"/>
      <c r="Q74" s="8"/>
      <c r="R74" s="7"/>
      <c r="S74" s="9"/>
      <c r="T74" s="7"/>
      <c r="U74" s="7"/>
      <c r="V74" s="7"/>
      <c r="AC74" s="7"/>
      <c r="AD74" s="7"/>
      <c r="AE74" s="7"/>
    </row>
    <row r="75">
      <c r="A75" s="7"/>
      <c r="B75" s="7"/>
      <c r="C75" s="7"/>
      <c r="D75" s="9"/>
      <c r="E75" s="10"/>
      <c r="F75" s="11"/>
      <c r="G75" s="11"/>
      <c r="J75" s="7"/>
      <c r="K75" s="8"/>
      <c r="L75" s="7"/>
      <c r="M75" s="7"/>
      <c r="N75" s="7"/>
      <c r="Q75" s="8"/>
      <c r="R75" s="7"/>
      <c r="S75" s="9"/>
      <c r="T75" s="7"/>
      <c r="U75" s="7"/>
      <c r="V75" s="7"/>
      <c r="AC75" s="7"/>
      <c r="AD75" s="7"/>
      <c r="AE75" s="7"/>
    </row>
    <row r="76">
      <c r="A76" s="7"/>
      <c r="B76" s="7"/>
      <c r="C76" s="7"/>
      <c r="D76" s="9"/>
      <c r="E76" s="10"/>
      <c r="F76" s="11"/>
      <c r="G76" s="11"/>
      <c r="J76" s="7"/>
      <c r="K76" s="8"/>
      <c r="L76" s="7"/>
      <c r="M76" s="7"/>
      <c r="N76" s="7"/>
      <c r="Q76" s="8"/>
      <c r="R76" s="7"/>
      <c r="S76" s="9"/>
      <c r="T76" s="7"/>
      <c r="U76" s="7"/>
      <c r="V76" s="7"/>
      <c r="AC76" s="7"/>
      <c r="AD76" s="7"/>
      <c r="AE76" s="7"/>
    </row>
    <row r="77">
      <c r="A77" s="7"/>
      <c r="B77" s="7"/>
      <c r="C77" s="7"/>
      <c r="D77" s="9"/>
      <c r="E77" s="10"/>
      <c r="F77" s="11"/>
      <c r="G77" s="11"/>
      <c r="J77" s="7"/>
      <c r="K77" s="8"/>
      <c r="L77" s="7"/>
      <c r="M77" s="7"/>
      <c r="N77" s="7"/>
      <c r="Q77" s="8"/>
      <c r="R77" s="7"/>
      <c r="S77" s="9"/>
      <c r="T77" s="7"/>
      <c r="U77" s="7"/>
      <c r="V77" s="7"/>
      <c r="AC77" s="7"/>
      <c r="AD77" s="7"/>
      <c r="AE77" s="7"/>
    </row>
    <row r="78">
      <c r="A78" s="7"/>
      <c r="B78" s="7"/>
      <c r="C78" s="7"/>
      <c r="D78" s="9"/>
      <c r="E78" s="10"/>
      <c r="F78" s="11"/>
      <c r="G78" s="11"/>
      <c r="J78" s="7"/>
      <c r="K78" s="8"/>
      <c r="L78" s="7"/>
      <c r="M78" s="7"/>
      <c r="N78" s="7"/>
      <c r="Q78" s="8"/>
      <c r="R78" s="7"/>
      <c r="S78" s="9"/>
      <c r="T78" s="7"/>
      <c r="U78" s="7"/>
      <c r="V78" s="7"/>
      <c r="AC78" s="7"/>
      <c r="AD78" s="7"/>
      <c r="AE78" s="7"/>
    </row>
    <row r="79">
      <c r="A79" s="7"/>
      <c r="B79" s="7"/>
      <c r="C79" s="7"/>
      <c r="D79" s="9"/>
      <c r="E79" s="10"/>
      <c r="F79" s="11"/>
      <c r="G79" s="11"/>
      <c r="J79" s="7"/>
      <c r="K79" s="8"/>
      <c r="L79" s="7"/>
      <c r="M79" s="7"/>
      <c r="N79" s="7"/>
      <c r="Q79" s="8"/>
      <c r="R79" s="7"/>
      <c r="S79" s="9"/>
      <c r="T79" s="7"/>
      <c r="U79" s="7"/>
      <c r="V79" s="7"/>
      <c r="AC79" s="7"/>
      <c r="AD79" s="7"/>
      <c r="AE79" s="7"/>
    </row>
    <row r="80">
      <c r="A80" s="7"/>
      <c r="B80" s="7"/>
      <c r="C80" s="7"/>
      <c r="D80" s="9"/>
      <c r="E80" s="10"/>
      <c r="F80" s="11"/>
      <c r="G80" s="11"/>
      <c r="J80" s="7"/>
      <c r="K80" s="8"/>
      <c r="L80" s="7"/>
      <c r="M80" s="7"/>
      <c r="N80" s="7"/>
      <c r="Q80" s="8"/>
      <c r="R80" s="7"/>
      <c r="S80" s="9"/>
      <c r="T80" s="7"/>
      <c r="U80" s="7"/>
      <c r="V80" s="7"/>
      <c r="AC80" s="7"/>
      <c r="AD80" s="7"/>
      <c r="AE80" s="7"/>
    </row>
    <row r="81">
      <c r="A81" s="7"/>
      <c r="B81" s="7"/>
      <c r="C81" s="7"/>
      <c r="D81" s="9"/>
      <c r="E81" s="10"/>
      <c r="F81" s="11"/>
      <c r="G81" s="11"/>
      <c r="J81" s="7"/>
      <c r="K81" s="8"/>
      <c r="L81" s="7"/>
      <c r="M81" s="7"/>
      <c r="N81" s="7"/>
      <c r="Q81" s="8"/>
      <c r="R81" s="7"/>
      <c r="S81" s="9"/>
      <c r="T81" s="7"/>
      <c r="U81" s="7"/>
      <c r="V81" s="7"/>
      <c r="AC81" s="7"/>
      <c r="AD81" s="7"/>
      <c r="AE81" s="7"/>
    </row>
    <row r="82">
      <c r="A82" s="7"/>
      <c r="B82" s="7"/>
      <c r="C82" s="7"/>
      <c r="D82" s="9"/>
      <c r="E82" s="10"/>
      <c r="F82" s="11"/>
      <c r="G82" s="11"/>
      <c r="J82" s="7"/>
      <c r="K82" s="8"/>
      <c r="L82" s="7"/>
      <c r="M82" s="7"/>
      <c r="N82" s="7"/>
      <c r="Q82" s="8"/>
      <c r="R82" s="7"/>
      <c r="S82" s="9"/>
      <c r="T82" s="7"/>
      <c r="U82" s="7"/>
      <c r="V82" s="7"/>
      <c r="AC82" s="7"/>
      <c r="AD82" s="7"/>
      <c r="AE82" s="7"/>
    </row>
    <row r="83">
      <c r="A83" s="7"/>
      <c r="B83" s="7"/>
      <c r="C83" s="7"/>
      <c r="D83" s="9"/>
      <c r="E83" s="10"/>
      <c r="F83" s="11"/>
      <c r="G83" s="11"/>
      <c r="J83" s="7"/>
      <c r="K83" s="8"/>
      <c r="L83" s="7"/>
      <c r="M83" s="7"/>
      <c r="N83" s="7"/>
      <c r="Q83" s="8"/>
      <c r="R83" s="7"/>
      <c r="S83" s="9"/>
      <c r="T83" s="7"/>
      <c r="U83" s="7"/>
      <c r="V83" s="7"/>
      <c r="AC83" s="7"/>
      <c r="AD83" s="7"/>
      <c r="AE83" s="7"/>
    </row>
    <row r="84">
      <c r="A84" s="7"/>
      <c r="B84" s="7"/>
      <c r="C84" s="7"/>
      <c r="D84" s="9"/>
      <c r="E84" s="10"/>
      <c r="F84" s="11"/>
      <c r="G84" s="11"/>
      <c r="J84" s="7"/>
      <c r="K84" s="8"/>
      <c r="L84" s="7"/>
      <c r="M84" s="7"/>
      <c r="N84" s="7"/>
      <c r="Q84" s="8"/>
      <c r="R84" s="7"/>
      <c r="S84" s="9"/>
      <c r="T84" s="7"/>
      <c r="U84" s="7"/>
      <c r="V84" s="7"/>
      <c r="AC84" s="7"/>
      <c r="AD84" s="7"/>
      <c r="AE84" s="7"/>
    </row>
    <row r="85">
      <c r="A85" s="7"/>
      <c r="B85" s="7"/>
      <c r="C85" s="7"/>
      <c r="D85" s="9"/>
      <c r="E85" s="10"/>
      <c r="F85" s="11"/>
      <c r="G85" s="11"/>
      <c r="J85" s="7"/>
      <c r="K85" s="8"/>
      <c r="L85" s="7"/>
      <c r="M85" s="7"/>
      <c r="N85" s="7"/>
      <c r="Q85" s="8"/>
      <c r="R85" s="7"/>
      <c r="S85" s="9"/>
      <c r="T85" s="7"/>
      <c r="U85" s="7"/>
      <c r="V85" s="7"/>
      <c r="AC85" s="7"/>
      <c r="AD85" s="7"/>
      <c r="AE85" s="7"/>
    </row>
    <row r="86">
      <c r="A86" s="7"/>
      <c r="B86" s="7"/>
      <c r="C86" s="7"/>
      <c r="D86" s="9"/>
      <c r="E86" s="10"/>
      <c r="F86" s="11"/>
      <c r="G86" s="11"/>
      <c r="J86" s="7"/>
      <c r="K86" s="8"/>
      <c r="L86" s="7"/>
      <c r="M86" s="7"/>
      <c r="N86" s="7"/>
      <c r="Q86" s="8"/>
      <c r="R86" s="7"/>
      <c r="S86" s="9"/>
      <c r="T86" s="7"/>
      <c r="U86" s="7"/>
      <c r="V86" s="7"/>
      <c r="AC86" s="7"/>
      <c r="AD86" s="7"/>
      <c r="AE86" s="7"/>
    </row>
    <row r="87">
      <c r="A87" s="7"/>
      <c r="B87" s="7"/>
      <c r="C87" s="7"/>
      <c r="D87" s="9"/>
      <c r="E87" s="10"/>
      <c r="F87" s="11"/>
      <c r="G87" s="11"/>
      <c r="J87" s="7"/>
      <c r="K87" s="8"/>
      <c r="L87" s="7"/>
      <c r="M87" s="7"/>
      <c r="N87" s="7"/>
      <c r="Q87" s="8"/>
      <c r="R87" s="7"/>
      <c r="S87" s="9"/>
      <c r="T87" s="7"/>
      <c r="U87" s="7"/>
      <c r="V87" s="7"/>
      <c r="AC87" s="7"/>
      <c r="AD87" s="7"/>
      <c r="AE87" s="7"/>
    </row>
    <row r="88">
      <c r="A88" s="7"/>
      <c r="B88" s="7"/>
      <c r="C88" s="7"/>
      <c r="D88" s="9"/>
      <c r="E88" s="10"/>
      <c r="F88" s="11"/>
      <c r="G88" s="11"/>
      <c r="J88" s="7"/>
      <c r="K88" s="8"/>
      <c r="L88" s="7"/>
      <c r="M88" s="7"/>
      <c r="N88" s="7"/>
      <c r="Q88" s="8"/>
      <c r="R88" s="7"/>
      <c r="S88" s="9"/>
      <c r="T88" s="7"/>
      <c r="U88" s="7"/>
      <c r="V88" s="7"/>
      <c r="AC88" s="7"/>
      <c r="AD88" s="7"/>
      <c r="AE88" s="7"/>
    </row>
    <row r="89">
      <c r="A89" s="7"/>
      <c r="B89" s="7"/>
      <c r="C89" s="7"/>
      <c r="D89" s="9"/>
      <c r="E89" s="10"/>
      <c r="F89" s="11"/>
      <c r="G89" s="11"/>
      <c r="J89" s="7"/>
      <c r="K89" s="8"/>
      <c r="L89" s="7"/>
      <c r="M89" s="7"/>
      <c r="N89" s="7"/>
      <c r="Q89" s="8"/>
      <c r="R89" s="7"/>
      <c r="S89" s="9"/>
      <c r="T89" s="7"/>
      <c r="U89" s="7"/>
      <c r="V89" s="7"/>
      <c r="AC89" s="7"/>
      <c r="AD89" s="7"/>
      <c r="AE89" s="7"/>
    </row>
    <row r="90">
      <c r="A90" s="7"/>
      <c r="B90" s="7"/>
      <c r="C90" s="7"/>
      <c r="D90" s="9"/>
      <c r="E90" s="10"/>
      <c r="F90" s="11"/>
      <c r="G90" s="11"/>
      <c r="J90" s="7"/>
      <c r="K90" s="8"/>
      <c r="L90" s="7"/>
      <c r="M90" s="7"/>
      <c r="N90" s="7"/>
      <c r="Q90" s="8"/>
      <c r="R90" s="7"/>
      <c r="S90" s="9"/>
      <c r="T90" s="7"/>
      <c r="U90" s="7"/>
      <c r="V90" s="7"/>
      <c r="AC90" s="7"/>
      <c r="AD90" s="7"/>
      <c r="AE90" s="7"/>
    </row>
    <row r="91">
      <c r="A91" s="7"/>
      <c r="B91" s="7"/>
      <c r="C91" s="7"/>
      <c r="D91" s="9"/>
      <c r="E91" s="10"/>
      <c r="F91" s="11"/>
      <c r="G91" s="11"/>
      <c r="J91" s="7"/>
      <c r="K91" s="8"/>
      <c r="L91" s="7"/>
      <c r="M91" s="7"/>
      <c r="N91" s="7"/>
      <c r="Q91" s="8"/>
      <c r="R91" s="7"/>
      <c r="S91" s="9"/>
      <c r="T91" s="7"/>
      <c r="U91" s="7"/>
      <c r="V91" s="7"/>
      <c r="AC91" s="7"/>
      <c r="AD91" s="7"/>
      <c r="AE91" s="7"/>
    </row>
    <row r="92">
      <c r="A92" s="7"/>
      <c r="B92" s="7"/>
      <c r="C92" s="7"/>
      <c r="D92" s="9"/>
      <c r="E92" s="10"/>
      <c r="F92" s="11"/>
      <c r="G92" s="11"/>
      <c r="J92" s="7"/>
      <c r="K92" s="8"/>
      <c r="L92" s="7"/>
      <c r="M92" s="7"/>
      <c r="N92" s="7"/>
      <c r="Q92" s="8"/>
      <c r="R92" s="7"/>
      <c r="S92" s="9"/>
      <c r="T92" s="7"/>
      <c r="U92" s="7"/>
      <c r="V92" s="7"/>
      <c r="AC92" s="7"/>
      <c r="AD92" s="7"/>
      <c r="AE92" s="7"/>
    </row>
    <row r="93">
      <c r="A93" s="7"/>
      <c r="B93" s="7"/>
      <c r="C93" s="7"/>
      <c r="D93" s="9"/>
      <c r="E93" s="10"/>
      <c r="F93" s="11"/>
      <c r="G93" s="11"/>
      <c r="J93" s="7"/>
      <c r="K93" s="8"/>
      <c r="L93" s="7"/>
      <c r="M93" s="7"/>
      <c r="N93" s="7"/>
      <c r="Q93" s="8"/>
      <c r="R93" s="7"/>
      <c r="S93" s="9"/>
      <c r="T93" s="7"/>
      <c r="U93" s="7"/>
      <c r="V93" s="7"/>
      <c r="AC93" s="7"/>
      <c r="AD93" s="7"/>
      <c r="AE93" s="7"/>
    </row>
    <row r="94">
      <c r="A94" s="7"/>
      <c r="B94" s="7"/>
      <c r="C94" s="7"/>
      <c r="D94" s="9"/>
      <c r="E94" s="10"/>
      <c r="F94" s="11"/>
      <c r="G94" s="11"/>
      <c r="J94" s="7"/>
      <c r="K94" s="8"/>
      <c r="L94" s="7"/>
      <c r="M94" s="7"/>
      <c r="N94" s="7"/>
      <c r="Q94" s="8"/>
      <c r="R94" s="7"/>
      <c r="S94" s="9"/>
      <c r="T94" s="7"/>
      <c r="U94" s="7"/>
      <c r="V94" s="7"/>
      <c r="AC94" s="7"/>
      <c r="AD94" s="7"/>
      <c r="AE94" s="7"/>
    </row>
    <row r="95">
      <c r="A95" s="7"/>
      <c r="B95" s="7"/>
      <c r="C95" s="7"/>
      <c r="D95" s="9"/>
      <c r="E95" s="10"/>
      <c r="F95" s="11"/>
      <c r="G95" s="11"/>
      <c r="J95" s="7"/>
      <c r="K95" s="8"/>
      <c r="L95" s="7"/>
      <c r="M95" s="7"/>
      <c r="N95" s="7"/>
      <c r="Q95" s="8"/>
      <c r="R95" s="7"/>
      <c r="S95" s="9"/>
      <c r="T95" s="7"/>
      <c r="U95" s="7"/>
      <c r="V95" s="7"/>
      <c r="AC95" s="7"/>
      <c r="AD95" s="7"/>
      <c r="AE95" s="7"/>
    </row>
    <row r="96">
      <c r="A96" s="7"/>
      <c r="B96" s="7"/>
      <c r="C96" s="7"/>
      <c r="D96" s="9"/>
      <c r="E96" s="10"/>
      <c r="F96" s="11"/>
      <c r="G96" s="11"/>
      <c r="J96" s="7"/>
      <c r="K96" s="8"/>
      <c r="L96" s="7"/>
      <c r="M96" s="7"/>
      <c r="N96" s="7"/>
      <c r="Q96" s="8"/>
      <c r="R96" s="7"/>
      <c r="S96" s="9"/>
      <c r="T96" s="7"/>
      <c r="U96" s="7"/>
      <c r="V96" s="7"/>
      <c r="AC96" s="7"/>
      <c r="AD96" s="7"/>
      <c r="AE96" s="7"/>
    </row>
    <row r="97">
      <c r="A97" s="7"/>
      <c r="B97" s="7"/>
      <c r="C97" s="7"/>
      <c r="D97" s="9"/>
      <c r="E97" s="10"/>
      <c r="F97" s="11"/>
      <c r="G97" s="11"/>
      <c r="J97" s="7"/>
      <c r="K97" s="8"/>
      <c r="L97" s="7"/>
      <c r="M97" s="7"/>
      <c r="N97" s="7"/>
      <c r="Q97" s="8"/>
      <c r="R97" s="7"/>
      <c r="S97" s="9"/>
      <c r="T97" s="7"/>
      <c r="U97" s="7"/>
      <c r="V97" s="7"/>
      <c r="AC97" s="7"/>
      <c r="AD97" s="7"/>
      <c r="AE97" s="7"/>
    </row>
    <row r="98">
      <c r="A98" s="7"/>
      <c r="B98" s="7"/>
      <c r="C98" s="7"/>
      <c r="D98" s="9"/>
      <c r="E98" s="10"/>
      <c r="F98" s="11"/>
      <c r="G98" s="11"/>
      <c r="J98" s="7"/>
      <c r="K98" s="8"/>
      <c r="L98" s="7"/>
      <c r="M98" s="7"/>
      <c r="N98" s="7"/>
      <c r="Q98" s="8"/>
      <c r="R98" s="7"/>
      <c r="S98" s="9"/>
      <c r="T98" s="7"/>
      <c r="U98" s="7"/>
      <c r="V98" s="7"/>
      <c r="AC98" s="7"/>
      <c r="AD98" s="7"/>
      <c r="AE98" s="7"/>
    </row>
    <row r="99">
      <c r="A99" s="7"/>
      <c r="B99" s="7"/>
      <c r="C99" s="7"/>
      <c r="D99" s="9"/>
      <c r="E99" s="10"/>
      <c r="F99" s="11"/>
      <c r="G99" s="11"/>
      <c r="J99" s="7"/>
      <c r="K99" s="8"/>
      <c r="L99" s="7"/>
      <c r="M99" s="7"/>
      <c r="N99" s="7"/>
      <c r="Q99" s="8"/>
      <c r="R99" s="7"/>
      <c r="S99" s="9"/>
      <c r="T99" s="7"/>
      <c r="U99" s="7"/>
      <c r="V99" s="7"/>
      <c r="AC99" s="7"/>
      <c r="AD99" s="7"/>
      <c r="AE99" s="7"/>
    </row>
    <row r="100">
      <c r="A100" s="7"/>
      <c r="B100" s="7"/>
      <c r="C100" s="7"/>
      <c r="D100" s="9"/>
      <c r="E100" s="10"/>
      <c r="F100" s="11"/>
      <c r="G100" s="11"/>
      <c r="J100" s="7"/>
      <c r="K100" s="8"/>
      <c r="L100" s="7"/>
      <c r="M100" s="7"/>
      <c r="N100" s="7"/>
      <c r="Q100" s="8"/>
      <c r="R100" s="7"/>
      <c r="S100" s="9"/>
      <c r="T100" s="7"/>
      <c r="U100" s="7"/>
      <c r="V100" s="7"/>
      <c r="AC100" s="7"/>
      <c r="AD100" s="7"/>
      <c r="AE100" s="7"/>
    </row>
    <row r="101">
      <c r="A101" s="7"/>
      <c r="B101" s="7"/>
      <c r="C101" s="7"/>
      <c r="D101" s="9"/>
      <c r="E101" s="10"/>
      <c r="F101" s="11"/>
      <c r="G101" s="11"/>
      <c r="J101" s="7"/>
      <c r="K101" s="8"/>
      <c r="L101" s="7"/>
      <c r="M101" s="7"/>
      <c r="N101" s="7"/>
      <c r="Q101" s="8"/>
      <c r="R101" s="7"/>
      <c r="S101" s="9"/>
      <c r="T101" s="7"/>
      <c r="U101" s="7"/>
      <c r="V101" s="7"/>
      <c r="AC101" s="7"/>
      <c r="AD101" s="7"/>
      <c r="AE101" s="7"/>
    </row>
    <row r="102">
      <c r="A102" s="7"/>
      <c r="B102" s="7"/>
      <c r="C102" s="7"/>
      <c r="D102" s="9"/>
      <c r="E102" s="10"/>
      <c r="F102" s="11"/>
      <c r="G102" s="11"/>
      <c r="J102" s="7"/>
      <c r="K102" s="8"/>
      <c r="L102" s="7"/>
      <c r="M102" s="7"/>
      <c r="N102" s="7"/>
      <c r="Q102" s="8"/>
      <c r="R102" s="7"/>
      <c r="S102" s="9"/>
      <c r="T102" s="7"/>
      <c r="U102" s="7"/>
      <c r="V102" s="7"/>
      <c r="AC102" s="7"/>
      <c r="AD102" s="7"/>
      <c r="AE102" s="7"/>
    </row>
    <row r="103">
      <c r="A103" s="7"/>
      <c r="B103" s="7"/>
      <c r="C103" s="7"/>
      <c r="D103" s="9"/>
      <c r="E103" s="10"/>
      <c r="F103" s="11"/>
      <c r="G103" s="11"/>
      <c r="J103" s="7"/>
      <c r="K103" s="8"/>
      <c r="L103" s="7"/>
      <c r="M103" s="7"/>
      <c r="N103" s="7"/>
      <c r="Q103" s="8"/>
      <c r="R103" s="7"/>
      <c r="S103" s="9"/>
      <c r="T103" s="7"/>
      <c r="U103" s="7"/>
      <c r="V103" s="7"/>
      <c r="AC103" s="7"/>
      <c r="AD103" s="7"/>
      <c r="AE103" s="7"/>
    </row>
    <row r="104">
      <c r="A104" s="7"/>
      <c r="B104" s="7"/>
      <c r="C104" s="7"/>
      <c r="D104" s="9"/>
      <c r="E104" s="10"/>
      <c r="F104" s="11"/>
      <c r="G104" s="11"/>
      <c r="J104" s="7"/>
      <c r="K104" s="8"/>
      <c r="L104" s="7"/>
      <c r="M104" s="7"/>
      <c r="N104" s="7"/>
      <c r="Q104" s="8"/>
      <c r="R104" s="7"/>
      <c r="S104" s="9"/>
      <c r="T104" s="7"/>
      <c r="U104" s="7"/>
      <c r="V104" s="7"/>
      <c r="AC104" s="7"/>
      <c r="AD104" s="7"/>
      <c r="AE104" s="7"/>
    </row>
    <row r="105">
      <c r="A105" s="7"/>
      <c r="B105" s="7"/>
      <c r="C105" s="7"/>
      <c r="D105" s="9"/>
      <c r="E105" s="10"/>
      <c r="F105" s="11"/>
      <c r="G105" s="11"/>
      <c r="J105" s="7"/>
      <c r="K105" s="8"/>
      <c r="L105" s="7"/>
      <c r="M105" s="7"/>
      <c r="N105" s="7"/>
      <c r="Q105" s="8"/>
      <c r="R105" s="7"/>
      <c r="S105" s="9"/>
      <c r="T105" s="7"/>
      <c r="U105" s="7"/>
      <c r="V105" s="7"/>
      <c r="AC105" s="7"/>
      <c r="AD105" s="7"/>
      <c r="AE105" s="7"/>
    </row>
    <row r="106">
      <c r="A106" s="7"/>
      <c r="B106" s="7"/>
      <c r="C106" s="7"/>
      <c r="D106" s="9"/>
      <c r="E106" s="10"/>
      <c r="F106" s="11"/>
      <c r="G106" s="11"/>
      <c r="J106" s="7"/>
      <c r="K106" s="8"/>
      <c r="L106" s="7"/>
      <c r="M106" s="7"/>
      <c r="N106" s="7"/>
      <c r="Q106" s="8"/>
      <c r="R106" s="7"/>
      <c r="S106" s="9"/>
      <c r="T106" s="7"/>
      <c r="U106" s="7"/>
      <c r="V106" s="7"/>
      <c r="AC106" s="7"/>
      <c r="AD106" s="7"/>
      <c r="AE106" s="7"/>
    </row>
    <row r="107">
      <c r="A107" s="7"/>
      <c r="B107" s="7"/>
      <c r="C107" s="7"/>
      <c r="D107" s="9"/>
      <c r="E107" s="10"/>
      <c r="F107" s="11"/>
      <c r="G107" s="11"/>
      <c r="J107" s="7"/>
      <c r="K107" s="8"/>
      <c r="L107" s="7"/>
      <c r="M107" s="7"/>
      <c r="N107" s="7"/>
      <c r="Q107" s="8"/>
      <c r="R107" s="7"/>
      <c r="S107" s="9"/>
      <c r="T107" s="7"/>
      <c r="U107" s="7"/>
      <c r="V107" s="7"/>
      <c r="AC107" s="7"/>
      <c r="AD107" s="7"/>
      <c r="AE107" s="7"/>
    </row>
    <row r="108">
      <c r="A108" s="7"/>
      <c r="B108" s="7"/>
      <c r="C108" s="7"/>
      <c r="D108" s="9"/>
      <c r="E108" s="10"/>
      <c r="F108" s="11"/>
      <c r="G108" s="11"/>
      <c r="J108" s="7"/>
      <c r="K108" s="8"/>
      <c r="L108" s="7"/>
      <c r="M108" s="7"/>
      <c r="N108" s="7"/>
      <c r="Q108" s="8"/>
      <c r="R108" s="7"/>
      <c r="S108" s="9"/>
      <c r="T108" s="7"/>
      <c r="U108" s="7"/>
      <c r="V108" s="7"/>
      <c r="AC108" s="7"/>
      <c r="AD108" s="7"/>
      <c r="AE108" s="7"/>
    </row>
    <row r="109">
      <c r="A109" s="7"/>
      <c r="B109" s="7"/>
      <c r="C109" s="7"/>
      <c r="D109" s="9"/>
      <c r="E109" s="10"/>
      <c r="F109" s="11"/>
      <c r="G109" s="11"/>
      <c r="J109" s="7"/>
      <c r="K109" s="8"/>
      <c r="L109" s="7"/>
      <c r="M109" s="7"/>
      <c r="N109" s="7"/>
      <c r="Q109" s="8"/>
      <c r="R109" s="7"/>
      <c r="S109" s="9"/>
      <c r="T109" s="7"/>
      <c r="U109" s="7"/>
      <c r="V109" s="7"/>
      <c r="AC109" s="7"/>
      <c r="AD109" s="7"/>
      <c r="AE109" s="7"/>
    </row>
    <row r="110">
      <c r="A110" s="7"/>
      <c r="B110" s="7"/>
      <c r="C110" s="7"/>
      <c r="D110" s="9"/>
      <c r="E110" s="10"/>
      <c r="F110" s="11"/>
      <c r="G110" s="11"/>
      <c r="J110" s="7"/>
      <c r="K110" s="8"/>
      <c r="L110" s="7"/>
      <c r="M110" s="7"/>
      <c r="N110" s="7"/>
      <c r="Q110" s="8"/>
      <c r="R110" s="7"/>
      <c r="S110" s="9"/>
      <c r="T110" s="7"/>
      <c r="U110" s="7"/>
      <c r="V110" s="7"/>
      <c r="AC110" s="7"/>
      <c r="AD110" s="7"/>
      <c r="AE110" s="7"/>
    </row>
    <row r="111">
      <c r="A111" s="7"/>
      <c r="B111" s="7"/>
      <c r="C111" s="7"/>
      <c r="D111" s="9"/>
      <c r="E111" s="10"/>
      <c r="F111" s="11"/>
      <c r="G111" s="11"/>
      <c r="J111" s="7"/>
      <c r="K111" s="8"/>
      <c r="L111" s="7"/>
      <c r="M111" s="7"/>
      <c r="N111" s="7"/>
      <c r="Q111" s="8"/>
      <c r="R111" s="7"/>
      <c r="S111" s="9"/>
      <c r="T111" s="7"/>
      <c r="U111" s="7"/>
      <c r="V111" s="7"/>
      <c r="AC111" s="7"/>
      <c r="AD111" s="7"/>
      <c r="AE111" s="7"/>
    </row>
    <row r="112">
      <c r="A112" s="7"/>
      <c r="B112" s="7"/>
      <c r="C112" s="7"/>
      <c r="D112" s="9"/>
      <c r="E112" s="10"/>
      <c r="F112" s="11"/>
      <c r="G112" s="11"/>
      <c r="J112" s="7"/>
      <c r="K112" s="8"/>
      <c r="L112" s="7"/>
      <c r="M112" s="7"/>
      <c r="N112" s="7"/>
      <c r="Q112" s="8"/>
      <c r="R112" s="7"/>
      <c r="S112" s="9"/>
      <c r="T112" s="7"/>
      <c r="U112" s="7"/>
      <c r="V112" s="7"/>
      <c r="AC112" s="7"/>
      <c r="AD112" s="7"/>
      <c r="AE112" s="7"/>
    </row>
    <row r="113">
      <c r="A113" s="7"/>
      <c r="B113" s="7"/>
      <c r="C113" s="7"/>
      <c r="D113" s="9"/>
      <c r="E113" s="10"/>
      <c r="F113" s="11"/>
      <c r="G113" s="11"/>
      <c r="J113" s="7"/>
      <c r="K113" s="8"/>
      <c r="L113" s="7"/>
      <c r="M113" s="7"/>
      <c r="N113" s="7"/>
      <c r="Q113" s="8"/>
      <c r="R113" s="7"/>
      <c r="S113" s="9"/>
      <c r="T113" s="7"/>
      <c r="U113" s="7"/>
      <c r="V113" s="7"/>
      <c r="AC113" s="7"/>
      <c r="AD113" s="7"/>
      <c r="AE113" s="7"/>
    </row>
    <row r="114">
      <c r="A114" s="7"/>
      <c r="B114" s="7"/>
      <c r="C114" s="7"/>
      <c r="D114" s="9"/>
      <c r="E114" s="10"/>
      <c r="F114" s="11"/>
      <c r="G114" s="11"/>
      <c r="J114" s="7"/>
      <c r="K114" s="8"/>
      <c r="L114" s="7"/>
      <c r="M114" s="7"/>
      <c r="N114" s="7"/>
      <c r="Q114" s="8"/>
      <c r="R114" s="7"/>
      <c r="S114" s="9"/>
      <c r="T114" s="7"/>
      <c r="U114" s="7"/>
      <c r="V114" s="7"/>
      <c r="AC114" s="7"/>
      <c r="AD114" s="7"/>
      <c r="AE114" s="7"/>
    </row>
    <row r="115">
      <c r="A115" s="7"/>
      <c r="B115" s="7"/>
      <c r="C115" s="7"/>
      <c r="D115" s="9"/>
      <c r="E115" s="10"/>
      <c r="F115" s="11"/>
      <c r="G115" s="11"/>
      <c r="J115" s="7"/>
      <c r="K115" s="8"/>
      <c r="L115" s="7"/>
      <c r="M115" s="7"/>
      <c r="N115" s="7"/>
      <c r="Q115" s="8"/>
      <c r="R115" s="7"/>
      <c r="S115" s="9"/>
      <c r="T115" s="7"/>
      <c r="U115" s="7"/>
      <c r="V115" s="7"/>
      <c r="AC115" s="7"/>
      <c r="AD115" s="7"/>
      <c r="AE115" s="7"/>
    </row>
    <row r="116">
      <c r="A116" s="7"/>
      <c r="B116" s="7"/>
      <c r="C116" s="7"/>
      <c r="D116" s="9"/>
      <c r="E116" s="10"/>
      <c r="F116" s="11"/>
      <c r="G116" s="11"/>
      <c r="J116" s="7"/>
      <c r="K116" s="8"/>
      <c r="L116" s="7"/>
      <c r="M116" s="7"/>
      <c r="N116" s="7"/>
      <c r="Q116" s="8"/>
      <c r="R116" s="7"/>
      <c r="S116" s="9"/>
      <c r="T116" s="7"/>
      <c r="U116" s="7"/>
      <c r="V116" s="7"/>
      <c r="AC116" s="7"/>
      <c r="AD116" s="7"/>
      <c r="AE116" s="7"/>
    </row>
    <row r="117">
      <c r="A117" s="7"/>
      <c r="B117" s="7"/>
      <c r="C117" s="7"/>
      <c r="D117" s="9"/>
      <c r="E117" s="10"/>
      <c r="F117" s="11"/>
      <c r="G117" s="11"/>
      <c r="J117" s="7"/>
      <c r="K117" s="8"/>
      <c r="L117" s="7"/>
      <c r="M117" s="7"/>
      <c r="N117" s="7"/>
      <c r="Q117" s="8"/>
      <c r="R117" s="7"/>
      <c r="S117" s="9"/>
      <c r="T117" s="7"/>
      <c r="U117" s="7"/>
      <c r="V117" s="7"/>
      <c r="AC117" s="7"/>
      <c r="AD117" s="7"/>
      <c r="AE117" s="7"/>
    </row>
    <row r="118">
      <c r="A118" s="7"/>
      <c r="B118" s="7"/>
      <c r="C118" s="7"/>
      <c r="D118" s="9"/>
      <c r="E118" s="10"/>
      <c r="F118" s="11"/>
      <c r="G118" s="11"/>
      <c r="J118" s="7"/>
      <c r="K118" s="8"/>
      <c r="L118" s="7"/>
      <c r="M118" s="7"/>
      <c r="N118" s="7"/>
      <c r="Q118" s="8"/>
      <c r="R118" s="7"/>
      <c r="S118" s="9"/>
      <c r="T118" s="7"/>
      <c r="U118" s="7"/>
      <c r="V118" s="7"/>
      <c r="AC118" s="7"/>
      <c r="AD118" s="7"/>
      <c r="AE118" s="7"/>
    </row>
    <row r="119">
      <c r="A119" s="7"/>
      <c r="B119" s="7"/>
      <c r="C119" s="7"/>
      <c r="D119" s="9"/>
      <c r="E119" s="10"/>
      <c r="F119" s="11"/>
      <c r="G119" s="11"/>
      <c r="J119" s="7"/>
      <c r="K119" s="8"/>
      <c r="L119" s="7"/>
      <c r="M119" s="7"/>
      <c r="N119" s="7"/>
      <c r="Q119" s="8"/>
      <c r="R119" s="7"/>
      <c r="S119" s="9"/>
      <c r="T119" s="7"/>
      <c r="U119" s="7"/>
      <c r="V119" s="7"/>
      <c r="AC119" s="7"/>
      <c r="AD119" s="7"/>
      <c r="AE119" s="7"/>
    </row>
    <row r="120">
      <c r="A120" s="7"/>
      <c r="B120" s="7"/>
      <c r="C120" s="7"/>
      <c r="D120" s="9"/>
      <c r="E120" s="10"/>
      <c r="F120" s="11"/>
      <c r="G120" s="11"/>
      <c r="J120" s="7"/>
      <c r="K120" s="8"/>
      <c r="L120" s="7"/>
      <c r="M120" s="7"/>
      <c r="N120" s="7"/>
      <c r="Q120" s="8"/>
      <c r="R120" s="7"/>
      <c r="S120" s="9"/>
      <c r="T120" s="7"/>
      <c r="U120" s="7"/>
      <c r="V120" s="7"/>
      <c r="AC120" s="7"/>
      <c r="AD120" s="7"/>
      <c r="AE120" s="7"/>
    </row>
    <row r="121">
      <c r="A121" s="7"/>
      <c r="B121" s="7"/>
      <c r="C121" s="7"/>
      <c r="D121" s="9"/>
      <c r="E121" s="10"/>
      <c r="F121" s="11"/>
      <c r="G121" s="11"/>
      <c r="J121" s="7"/>
      <c r="K121" s="8"/>
      <c r="L121" s="7"/>
      <c r="M121" s="7"/>
      <c r="N121" s="7"/>
      <c r="Q121" s="8"/>
      <c r="R121" s="7"/>
      <c r="S121" s="9"/>
      <c r="T121" s="7"/>
      <c r="U121" s="7"/>
      <c r="V121" s="7"/>
      <c r="AC121" s="7"/>
      <c r="AD121" s="7"/>
      <c r="AE121" s="7"/>
    </row>
    <row r="122">
      <c r="A122" s="7"/>
      <c r="B122" s="7"/>
      <c r="C122" s="7"/>
      <c r="D122" s="9"/>
      <c r="E122" s="10"/>
      <c r="F122" s="11"/>
      <c r="G122" s="11"/>
      <c r="J122" s="7"/>
      <c r="K122" s="8"/>
      <c r="L122" s="7"/>
      <c r="M122" s="7"/>
      <c r="N122" s="7"/>
      <c r="Q122" s="8"/>
      <c r="R122" s="7"/>
      <c r="S122" s="9"/>
      <c r="T122" s="7"/>
      <c r="U122" s="7"/>
      <c r="V122" s="7"/>
      <c r="AC122" s="7"/>
      <c r="AD122" s="7"/>
      <c r="AE122" s="7"/>
    </row>
    <row r="123">
      <c r="A123" s="7"/>
      <c r="B123" s="7"/>
      <c r="C123" s="7"/>
      <c r="D123" s="9"/>
      <c r="E123" s="10"/>
      <c r="F123" s="11"/>
      <c r="G123" s="11"/>
      <c r="J123" s="7"/>
      <c r="K123" s="8"/>
      <c r="L123" s="7"/>
      <c r="M123" s="7"/>
      <c r="N123" s="7"/>
      <c r="Q123" s="8"/>
      <c r="R123" s="7"/>
      <c r="S123" s="9"/>
      <c r="T123" s="7"/>
      <c r="U123" s="7"/>
      <c r="V123" s="7"/>
      <c r="AC123" s="7"/>
      <c r="AD123" s="7"/>
      <c r="AE123" s="7"/>
    </row>
    <row r="124">
      <c r="A124" s="7"/>
      <c r="B124" s="7"/>
      <c r="C124" s="7"/>
      <c r="D124" s="9"/>
      <c r="E124" s="10"/>
      <c r="F124" s="11"/>
      <c r="G124" s="11"/>
      <c r="J124" s="7"/>
      <c r="K124" s="8"/>
      <c r="L124" s="7"/>
      <c r="M124" s="7"/>
      <c r="N124" s="7"/>
      <c r="Q124" s="8"/>
      <c r="R124" s="7"/>
      <c r="S124" s="9"/>
      <c r="T124" s="7"/>
      <c r="U124" s="7"/>
      <c r="V124" s="7"/>
      <c r="AC124" s="7"/>
      <c r="AD124" s="7"/>
      <c r="AE124" s="7"/>
    </row>
    <row r="125">
      <c r="A125" s="7"/>
      <c r="B125" s="7"/>
      <c r="C125" s="7"/>
      <c r="D125" s="9"/>
      <c r="E125" s="10"/>
      <c r="F125" s="11"/>
      <c r="G125" s="11"/>
      <c r="J125" s="7"/>
      <c r="K125" s="8"/>
      <c r="L125" s="7"/>
      <c r="M125" s="7"/>
      <c r="N125" s="7"/>
      <c r="Q125" s="8"/>
      <c r="R125" s="7"/>
      <c r="S125" s="9"/>
      <c r="T125" s="7"/>
      <c r="U125" s="7"/>
      <c r="V125" s="7"/>
      <c r="AC125" s="7"/>
      <c r="AD125" s="7"/>
      <c r="AE125" s="7"/>
    </row>
    <row r="126">
      <c r="A126" s="7"/>
      <c r="B126" s="7"/>
      <c r="C126" s="7"/>
      <c r="D126" s="9"/>
      <c r="E126" s="10"/>
      <c r="F126" s="11"/>
      <c r="G126" s="11"/>
      <c r="J126" s="7"/>
      <c r="K126" s="8"/>
      <c r="L126" s="7"/>
      <c r="M126" s="7"/>
      <c r="N126" s="7"/>
      <c r="Q126" s="8"/>
      <c r="R126" s="7"/>
      <c r="S126" s="9"/>
      <c r="T126" s="7"/>
      <c r="U126" s="7"/>
      <c r="V126" s="7"/>
      <c r="AC126" s="7"/>
      <c r="AD126" s="7"/>
      <c r="AE126" s="7"/>
    </row>
    <row r="127">
      <c r="A127" s="7"/>
      <c r="B127" s="7"/>
      <c r="C127" s="7"/>
      <c r="D127" s="9"/>
      <c r="E127" s="10"/>
      <c r="F127" s="11"/>
      <c r="G127" s="11"/>
      <c r="J127" s="7"/>
      <c r="K127" s="8"/>
      <c r="L127" s="7"/>
      <c r="M127" s="7"/>
      <c r="N127" s="7"/>
      <c r="Q127" s="8"/>
      <c r="R127" s="7"/>
      <c r="S127" s="9"/>
      <c r="T127" s="7"/>
      <c r="U127" s="7"/>
      <c r="V127" s="7"/>
      <c r="AC127" s="7"/>
      <c r="AD127" s="7"/>
      <c r="AE127" s="7"/>
    </row>
    <row r="128">
      <c r="A128" s="7"/>
      <c r="B128" s="7"/>
      <c r="C128" s="7"/>
      <c r="D128" s="9"/>
      <c r="E128" s="10"/>
      <c r="F128" s="11"/>
      <c r="G128" s="11"/>
      <c r="J128" s="7"/>
      <c r="K128" s="8"/>
      <c r="L128" s="7"/>
      <c r="M128" s="7"/>
      <c r="N128" s="7"/>
      <c r="Q128" s="8"/>
      <c r="R128" s="7"/>
      <c r="S128" s="9"/>
      <c r="T128" s="7"/>
      <c r="U128" s="7"/>
      <c r="V128" s="7"/>
      <c r="AC128" s="7"/>
      <c r="AD128" s="7"/>
      <c r="AE128" s="7"/>
    </row>
    <row r="129">
      <c r="A129" s="7"/>
      <c r="B129" s="7"/>
      <c r="C129" s="7"/>
      <c r="D129" s="9"/>
      <c r="E129" s="10"/>
      <c r="F129" s="11"/>
      <c r="G129" s="11"/>
      <c r="J129" s="7"/>
      <c r="K129" s="8"/>
      <c r="L129" s="7"/>
      <c r="M129" s="7"/>
      <c r="N129" s="7"/>
      <c r="Q129" s="8"/>
      <c r="R129" s="7"/>
      <c r="S129" s="9"/>
      <c r="T129" s="7"/>
      <c r="U129" s="7"/>
      <c r="V129" s="7"/>
      <c r="AC129" s="7"/>
      <c r="AD129" s="7"/>
      <c r="AE129" s="7"/>
    </row>
    <row r="130">
      <c r="A130" s="7"/>
      <c r="B130" s="7"/>
      <c r="C130" s="7"/>
      <c r="D130" s="9"/>
      <c r="E130" s="10"/>
      <c r="F130" s="11"/>
      <c r="G130" s="11"/>
      <c r="J130" s="7"/>
      <c r="K130" s="8"/>
      <c r="L130" s="7"/>
      <c r="M130" s="7"/>
      <c r="N130" s="7"/>
      <c r="Q130" s="8"/>
      <c r="R130" s="7"/>
      <c r="S130" s="9"/>
      <c r="T130" s="7"/>
      <c r="U130" s="7"/>
      <c r="V130" s="7"/>
      <c r="AC130" s="7"/>
      <c r="AD130" s="7"/>
      <c r="AE130" s="7"/>
    </row>
    <row r="131">
      <c r="A131" s="7"/>
      <c r="B131" s="7"/>
      <c r="C131" s="7"/>
      <c r="D131" s="9"/>
      <c r="E131" s="10"/>
      <c r="F131" s="11"/>
      <c r="G131" s="11"/>
      <c r="J131" s="7"/>
      <c r="K131" s="8"/>
      <c r="L131" s="7"/>
      <c r="M131" s="7"/>
      <c r="N131" s="7"/>
      <c r="Q131" s="8"/>
      <c r="R131" s="7"/>
      <c r="S131" s="9"/>
      <c r="T131" s="7"/>
      <c r="U131" s="7"/>
      <c r="V131" s="7"/>
      <c r="AC131" s="7"/>
      <c r="AD131" s="7"/>
      <c r="AE131" s="7"/>
    </row>
    <row r="132">
      <c r="A132" s="7"/>
      <c r="B132" s="7"/>
      <c r="C132" s="7"/>
      <c r="D132" s="9"/>
      <c r="E132" s="10"/>
      <c r="F132" s="11"/>
      <c r="G132" s="11"/>
      <c r="J132" s="7"/>
      <c r="K132" s="8"/>
      <c r="L132" s="7"/>
      <c r="M132" s="7"/>
      <c r="N132" s="7"/>
      <c r="Q132" s="8"/>
      <c r="R132" s="7"/>
      <c r="S132" s="9"/>
      <c r="T132" s="7"/>
      <c r="U132" s="7"/>
      <c r="V132" s="7"/>
      <c r="AC132" s="7"/>
      <c r="AD132" s="7"/>
      <c r="AE132" s="7"/>
    </row>
    <row r="133">
      <c r="A133" s="7"/>
      <c r="B133" s="7"/>
      <c r="C133" s="7"/>
      <c r="D133" s="9"/>
      <c r="E133" s="10"/>
      <c r="F133" s="11"/>
      <c r="G133" s="11"/>
      <c r="J133" s="7"/>
      <c r="K133" s="8"/>
      <c r="L133" s="7"/>
      <c r="M133" s="7"/>
      <c r="N133" s="7"/>
      <c r="Q133" s="8"/>
      <c r="R133" s="7"/>
      <c r="S133" s="9"/>
      <c r="T133" s="7"/>
      <c r="U133" s="7"/>
      <c r="V133" s="7"/>
      <c r="AC133" s="7"/>
      <c r="AD133" s="7"/>
      <c r="AE133" s="7"/>
    </row>
    <row r="134">
      <c r="A134" s="7"/>
      <c r="B134" s="7"/>
      <c r="C134" s="7"/>
      <c r="D134" s="9"/>
      <c r="E134" s="10"/>
      <c r="F134" s="11"/>
      <c r="G134" s="11"/>
      <c r="J134" s="7"/>
      <c r="K134" s="8"/>
      <c r="L134" s="7"/>
      <c r="M134" s="7"/>
      <c r="N134" s="7"/>
      <c r="Q134" s="8"/>
      <c r="R134" s="7"/>
      <c r="S134" s="9"/>
      <c r="T134" s="7"/>
      <c r="U134" s="7"/>
      <c r="V134" s="7"/>
      <c r="AC134" s="7"/>
      <c r="AD134" s="7"/>
      <c r="AE134" s="7"/>
    </row>
    <row r="135">
      <c r="A135" s="7"/>
      <c r="B135" s="7"/>
      <c r="C135" s="7"/>
      <c r="D135" s="9"/>
      <c r="E135" s="10"/>
      <c r="F135" s="11"/>
      <c r="G135" s="11"/>
      <c r="J135" s="7"/>
      <c r="K135" s="8"/>
      <c r="L135" s="7"/>
      <c r="M135" s="7"/>
      <c r="N135" s="7"/>
      <c r="Q135" s="8"/>
      <c r="R135" s="7"/>
      <c r="S135" s="9"/>
      <c r="T135" s="7"/>
      <c r="U135" s="7"/>
      <c r="V135" s="7"/>
      <c r="AC135" s="7"/>
      <c r="AD135" s="7"/>
      <c r="AE135" s="7"/>
    </row>
    <row r="136">
      <c r="A136" s="7"/>
      <c r="B136" s="7"/>
      <c r="C136" s="7"/>
      <c r="D136" s="9"/>
      <c r="E136" s="10"/>
      <c r="F136" s="11"/>
      <c r="G136" s="11"/>
      <c r="J136" s="7"/>
      <c r="K136" s="8"/>
      <c r="L136" s="7"/>
      <c r="M136" s="7"/>
      <c r="N136" s="7"/>
      <c r="Q136" s="8"/>
      <c r="R136" s="7"/>
      <c r="S136" s="9"/>
      <c r="T136" s="7"/>
      <c r="U136" s="7"/>
      <c r="V136" s="7"/>
      <c r="AC136" s="7"/>
      <c r="AD136" s="7"/>
      <c r="AE136" s="7"/>
    </row>
    <row r="137">
      <c r="A137" s="7"/>
      <c r="B137" s="7"/>
      <c r="C137" s="7"/>
      <c r="D137" s="9"/>
      <c r="E137" s="10"/>
      <c r="F137" s="11"/>
      <c r="G137" s="11"/>
      <c r="J137" s="7"/>
      <c r="K137" s="8"/>
      <c r="L137" s="7"/>
      <c r="M137" s="7"/>
      <c r="N137" s="7"/>
      <c r="Q137" s="8"/>
      <c r="R137" s="7"/>
      <c r="S137" s="9"/>
      <c r="T137" s="7"/>
      <c r="U137" s="7"/>
      <c r="V137" s="7"/>
      <c r="AC137" s="7"/>
      <c r="AD137" s="7"/>
      <c r="AE137" s="7"/>
    </row>
    <row r="138">
      <c r="A138" s="7"/>
      <c r="B138" s="7"/>
      <c r="C138" s="7"/>
      <c r="D138" s="9"/>
      <c r="E138" s="10"/>
      <c r="F138" s="11"/>
      <c r="G138" s="11"/>
      <c r="J138" s="7"/>
      <c r="K138" s="8"/>
      <c r="L138" s="7"/>
      <c r="M138" s="7"/>
      <c r="N138" s="7"/>
      <c r="Q138" s="8"/>
      <c r="R138" s="7"/>
      <c r="S138" s="9"/>
      <c r="T138" s="7"/>
      <c r="U138" s="7"/>
      <c r="V138" s="7"/>
      <c r="AC138" s="7"/>
      <c r="AD138" s="7"/>
      <c r="AE138" s="7"/>
    </row>
    <row r="139">
      <c r="A139" s="7"/>
      <c r="B139" s="7"/>
      <c r="C139" s="7"/>
      <c r="D139" s="9"/>
      <c r="E139" s="10"/>
      <c r="F139" s="11"/>
      <c r="G139" s="11"/>
      <c r="J139" s="7"/>
      <c r="K139" s="8"/>
      <c r="L139" s="7"/>
      <c r="M139" s="7"/>
      <c r="N139" s="7"/>
      <c r="Q139" s="8"/>
      <c r="R139" s="7"/>
      <c r="S139" s="9"/>
      <c r="T139" s="7"/>
      <c r="U139" s="7"/>
      <c r="V139" s="7"/>
      <c r="AC139" s="7"/>
      <c r="AD139" s="7"/>
      <c r="AE139" s="7"/>
    </row>
    <row r="140">
      <c r="A140" s="7"/>
      <c r="B140" s="7"/>
      <c r="C140" s="7"/>
      <c r="D140" s="9"/>
      <c r="E140" s="10"/>
      <c r="F140" s="11"/>
      <c r="G140" s="11"/>
      <c r="J140" s="7"/>
      <c r="K140" s="8"/>
      <c r="L140" s="7"/>
      <c r="M140" s="7"/>
      <c r="N140" s="7"/>
      <c r="Q140" s="8"/>
      <c r="R140" s="7"/>
      <c r="S140" s="9"/>
      <c r="T140" s="7"/>
      <c r="U140" s="7"/>
      <c r="V140" s="7"/>
      <c r="AC140" s="7"/>
      <c r="AD140" s="7"/>
      <c r="AE140" s="7"/>
    </row>
    <row r="141">
      <c r="A141" s="7"/>
      <c r="B141" s="7"/>
      <c r="C141" s="7"/>
      <c r="D141" s="9"/>
      <c r="E141" s="10"/>
      <c r="F141" s="11"/>
      <c r="G141" s="11"/>
      <c r="J141" s="7"/>
      <c r="K141" s="8"/>
      <c r="L141" s="7"/>
      <c r="M141" s="7"/>
      <c r="N141" s="7"/>
      <c r="Q141" s="8"/>
      <c r="R141" s="7"/>
      <c r="S141" s="9"/>
      <c r="T141" s="7"/>
      <c r="U141" s="7"/>
      <c r="V141" s="7"/>
      <c r="AC141" s="7"/>
      <c r="AD141" s="7"/>
      <c r="AE141" s="7"/>
    </row>
    <row r="142">
      <c r="A142" s="7"/>
      <c r="B142" s="7"/>
      <c r="C142" s="7"/>
      <c r="D142" s="9"/>
      <c r="E142" s="10"/>
      <c r="F142" s="11"/>
      <c r="G142" s="11"/>
      <c r="J142" s="7"/>
      <c r="K142" s="8"/>
      <c r="L142" s="7"/>
      <c r="M142" s="7"/>
      <c r="N142" s="7"/>
      <c r="Q142" s="8"/>
      <c r="R142" s="7"/>
      <c r="S142" s="9"/>
      <c r="T142" s="7"/>
      <c r="U142" s="7"/>
      <c r="V142" s="7"/>
      <c r="AC142" s="7"/>
      <c r="AD142" s="7"/>
      <c r="AE142" s="7"/>
    </row>
    <row r="143">
      <c r="A143" s="7"/>
      <c r="B143" s="7"/>
      <c r="C143" s="7"/>
      <c r="D143" s="9"/>
      <c r="E143" s="10"/>
      <c r="F143" s="11"/>
      <c r="G143" s="11"/>
      <c r="J143" s="7"/>
      <c r="K143" s="8"/>
      <c r="L143" s="7"/>
      <c r="M143" s="7"/>
      <c r="N143" s="7"/>
      <c r="Q143" s="8"/>
      <c r="R143" s="7"/>
      <c r="S143" s="9"/>
      <c r="T143" s="7"/>
      <c r="U143" s="7"/>
      <c r="V143" s="7"/>
      <c r="AC143" s="7"/>
      <c r="AD143" s="7"/>
      <c r="AE143" s="7"/>
    </row>
    <row r="144">
      <c r="A144" s="7"/>
      <c r="B144" s="7"/>
      <c r="C144" s="7"/>
      <c r="D144" s="9"/>
      <c r="E144" s="10"/>
      <c r="F144" s="11"/>
      <c r="G144" s="11"/>
      <c r="J144" s="7"/>
      <c r="K144" s="8"/>
      <c r="L144" s="7"/>
      <c r="M144" s="7"/>
      <c r="N144" s="7"/>
      <c r="Q144" s="8"/>
      <c r="R144" s="7"/>
      <c r="S144" s="9"/>
      <c r="T144" s="7"/>
      <c r="U144" s="7"/>
      <c r="V144" s="7"/>
      <c r="AC144" s="7"/>
      <c r="AD144" s="7"/>
      <c r="AE144" s="7"/>
    </row>
    <row r="145">
      <c r="A145" s="7"/>
      <c r="B145" s="7"/>
      <c r="C145" s="7"/>
      <c r="D145" s="9"/>
      <c r="E145" s="10"/>
      <c r="F145" s="11"/>
      <c r="G145" s="11"/>
      <c r="J145" s="7"/>
      <c r="K145" s="8"/>
      <c r="L145" s="7"/>
      <c r="M145" s="7"/>
      <c r="N145" s="7"/>
      <c r="Q145" s="8"/>
      <c r="R145" s="7"/>
      <c r="S145" s="9"/>
      <c r="T145" s="7"/>
      <c r="U145" s="7"/>
      <c r="V145" s="7"/>
      <c r="AC145" s="7"/>
      <c r="AD145" s="7"/>
      <c r="AE145" s="7"/>
    </row>
    <row r="146">
      <c r="A146" s="7"/>
      <c r="B146" s="7"/>
      <c r="C146" s="7"/>
      <c r="D146" s="9"/>
      <c r="E146" s="10"/>
      <c r="F146" s="11"/>
      <c r="G146" s="11"/>
      <c r="J146" s="7"/>
      <c r="K146" s="8"/>
      <c r="L146" s="7"/>
      <c r="M146" s="7"/>
      <c r="N146" s="7"/>
      <c r="Q146" s="8"/>
      <c r="R146" s="7"/>
      <c r="S146" s="9"/>
      <c r="T146" s="7"/>
      <c r="U146" s="7"/>
      <c r="V146" s="7"/>
      <c r="AC146" s="7"/>
      <c r="AD146" s="7"/>
      <c r="AE146" s="7"/>
    </row>
    <row r="147">
      <c r="A147" s="7"/>
      <c r="B147" s="7"/>
      <c r="C147" s="7"/>
      <c r="D147" s="9"/>
      <c r="E147" s="10"/>
      <c r="F147" s="11"/>
      <c r="G147" s="11"/>
      <c r="J147" s="7"/>
      <c r="K147" s="8"/>
      <c r="L147" s="7"/>
      <c r="M147" s="7"/>
      <c r="N147" s="7"/>
      <c r="Q147" s="8"/>
      <c r="R147" s="7"/>
      <c r="S147" s="9"/>
      <c r="T147" s="7"/>
      <c r="U147" s="7"/>
      <c r="V147" s="7"/>
      <c r="AC147" s="7"/>
      <c r="AD147" s="7"/>
      <c r="AE147" s="7"/>
    </row>
    <row r="148">
      <c r="A148" s="7"/>
      <c r="B148" s="7"/>
      <c r="C148" s="7"/>
      <c r="D148" s="9"/>
      <c r="E148" s="10"/>
      <c r="F148" s="11"/>
      <c r="G148" s="11"/>
      <c r="J148" s="7"/>
      <c r="K148" s="8"/>
      <c r="L148" s="7"/>
      <c r="M148" s="7"/>
      <c r="N148" s="7"/>
      <c r="Q148" s="8"/>
      <c r="R148" s="7"/>
      <c r="S148" s="9"/>
      <c r="T148" s="7"/>
      <c r="U148" s="7"/>
      <c r="V148" s="7"/>
      <c r="AC148" s="7"/>
      <c r="AD148" s="7"/>
      <c r="AE148" s="7"/>
    </row>
    <row r="149">
      <c r="A149" s="7"/>
      <c r="B149" s="7"/>
      <c r="C149" s="7"/>
      <c r="D149" s="9"/>
      <c r="E149" s="10"/>
      <c r="F149" s="11"/>
      <c r="G149" s="11"/>
      <c r="J149" s="7"/>
      <c r="K149" s="8"/>
      <c r="L149" s="7"/>
      <c r="M149" s="7"/>
      <c r="N149" s="7"/>
      <c r="Q149" s="8"/>
      <c r="R149" s="7"/>
      <c r="S149" s="9"/>
      <c r="T149" s="7"/>
      <c r="U149" s="7"/>
      <c r="V149" s="7"/>
      <c r="AC149" s="7"/>
      <c r="AD149" s="7"/>
      <c r="AE149" s="7"/>
    </row>
    <row r="150">
      <c r="A150" s="7"/>
      <c r="B150" s="7"/>
      <c r="C150" s="7"/>
      <c r="D150" s="9"/>
      <c r="E150" s="10"/>
      <c r="F150" s="11"/>
      <c r="G150" s="11"/>
      <c r="J150" s="7"/>
      <c r="K150" s="8"/>
      <c r="L150" s="7"/>
      <c r="M150" s="7"/>
      <c r="N150" s="7"/>
      <c r="Q150" s="8"/>
      <c r="R150" s="7"/>
      <c r="S150" s="9"/>
      <c r="T150" s="7"/>
      <c r="U150" s="7"/>
      <c r="V150" s="7"/>
      <c r="AC150" s="7"/>
      <c r="AD150" s="7"/>
      <c r="AE150" s="7"/>
    </row>
    <row r="151">
      <c r="A151" s="7"/>
      <c r="B151" s="7"/>
      <c r="C151" s="7"/>
      <c r="D151" s="9"/>
      <c r="E151" s="10"/>
      <c r="F151" s="11"/>
      <c r="G151" s="11"/>
      <c r="J151" s="7"/>
      <c r="K151" s="8"/>
      <c r="L151" s="7"/>
      <c r="M151" s="7"/>
      <c r="N151" s="7"/>
      <c r="Q151" s="8"/>
      <c r="R151" s="7"/>
      <c r="S151" s="9"/>
      <c r="T151" s="7"/>
      <c r="U151" s="7"/>
      <c r="V151" s="7"/>
      <c r="AC151" s="7"/>
      <c r="AD151" s="7"/>
      <c r="AE151" s="7"/>
    </row>
    <row r="152">
      <c r="A152" s="7"/>
      <c r="B152" s="7"/>
      <c r="C152" s="7"/>
      <c r="D152" s="9"/>
      <c r="E152" s="10"/>
      <c r="F152" s="11"/>
      <c r="G152" s="11"/>
      <c r="J152" s="7"/>
      <c r="K152" s="8"/>
      <c r="L152" s="7"/>
      <c r="M152" s="7"/>
      <c r="N152" s="7"/>
      <c r="Q152" s="8"/>
      <c r="R152" s="7"/>
      <c r="S152" s="9"/>
      <c r="T152" s="7"/>
      <c r="U152" s="7"/>
      <c r="V152" s="7"/>
      <c r="AC152" s="7"/>
      <c r="AD152" s="7"/>
      <c r="AE152" s="7"/>
    </row>
    <row r="153">
      <c r="A153" s="7"/>
      <c r="B153" s="7"/>
      <c r="C153" s="7"/>
      <c r="D153" s="9"/>
      <c r="E153" s="10"/>
      <c r="F153" s="11"/>
      <c r="G153" s="11"/>
      <c r="J153" s="7"/>
      <c r="K153" s="8"/>
      <c r="L153" s="7"/>
      <c r="M153" s="7"/>
      <c r="N153" s="7"/>
      <c r="Q153" s="8"/>
      <c r="R153" s="7"/>
      <c r="S153" s="9"/>
      <c r="T153" s="7"/>
      <c r="U153" s="7"/>
      <c r="V153" s="7"/>
      <c r="AC153" s="7"/>
      <c r="AD153" s="7"/>
      <c r="AE153" s="7"/>
    </row>
    <row r="154">
      <c r="A154" s="7"/>
      <c r="B154" s="7"/>
      <c r="C154" s="7"/>
      <c r="D154" s="9"/>
      <c r="E154" s="10"/>
      <c r="F154" s="11"/>
      <c r="G154" s="11"/>
      <c r="J154" s="7"/>
      <c r="K154" s="8"/>
      <c r="L154" s="7"/>
      <c r="M154" s="7"/>
      <c r="N154" s="7"/>
      <c r="Q154" s="8"/>
      <c r="R154" s="7"/>
      <c r="S154" s="9"/>
      <c r="T154" s="7"/>
      <c r="U154" s="7"/>
      <c r="V154" s="7"/>
      <c r="AC154" s="7"/>
      <c r="AD154" s="7"/>
      <c r="AE154" s="7"/>
    </row>
    <row r="155">
      <c r="A155" s="7"/>
      <c r="B155" s="7"/>
      <c r="C155" s="7"/>
      <c r="D155" s="9"/>
      <c r="E155" s="10"/>
      <c r="F155" s="11"/>
      <c r="G155" s="11"/>
      <c r="J155" s="7"/>
      <c r="K155" s="8"/>
      <c r="L155" s="7"/>
      <c r="M155" s="7"/>
      <c r="N155" s="7"/>
      <c r="Q155" s="8"/>
      <c r="R155" s="7"/>
      <c r="S155" s="9"/>
      <c r="T155" s="7"/>
      <c r="U155" s="7"/>
      <c r="V155" s="7"/>
      <c r="AC155" s="7"/>
      <c r="AD155" s="7"/>
      <c r="AE155" s="7"/>
    </row>
    <row r="156">
      <c r="A156" s="7"/>
      <c r="B156" s="7"/>
      <c r="C156" s="7"/>
      <c r="D156" s="9"/>
      <c r="E156" s="10"/>
      <c r="F156" s="11"/>
      <c r="G156" s="11"/>
      <c r="J156" s="7"/>
      <c r="K156" s="8"/>
      <c r="L156" s="7"/>
      <c r="M156" s="7"/>
      <c r="N156" s="7"/>
      <c r="Q156" s="8"/>
      <c r="R156" s="7"/>
      <c r="S156" s="9"/>
      <c r="T156" s="7"/>
      <c r="U156" s="7"/>
      <c r="V156" s="7"/>
      <c r="AC156" s="7"/>
      <c r="AD156" s="7"/>
      <c r="AE156" s="7"/>
    </row>
    <row r="157">
      <c r="A157" s="7"/>
      <c r="B157" s="7"/>
      <c r="C157" s="7"/>
      <c r="D157" s="9"/>
      <c r="E157" s="10"/>
      <c r="F157" s="11"/>
      <c r="G157" s="11"/>
      <c r="J157" s="7"/>
      <c r="K157" s="8"/>
      <c r="L157" s="7"/>
      <c r="M157" s="7"/>
      <c r="N157" s="7"/>
      <c r="Q157" s="8"/>
      <c r="R157" s="7"/>
      <c r="S157" s="9"/>
      <c r="T157" s="7"/>
      <c r="U157" s="7"/>
      <c r="V157" s="7"/>
      <c r="AC157" s="7"/>
      <c r="AD157" s="7"/>
      <c r="AE157" s="7"/>
    </row>
    <row r="158">
      <c r="A158" s="7"/>
      <c r="B158" s="7"/>
      <c r="C158" s="7"/>
      <c r="D158" s="9"/>
      <c r="E158" s="10"/>
      <c r="F158" s="11"/>
      <c r="G158" s="11"/>
      <c r="J158" s="7"/>
      <c r="K158" s="8"/>
      <c r="L158" s="7"/>
      <c r="M158" s="7"/>
      <c r="N158" s="7"/>
      <c r="Q158" s="8"/>
      <c r="R158" s="7"/>
      <c r="S158" s="9"/>
      <c r="T158" s="7"/>
      <c r="U158" s="7"/>
      <c r="V158" s="7"/>
      <c r="AC158" s="7"/>
      <c r="AD158" s="7"/>
      <c r="AE158" s="7"/>
    </row>
    <row r="159">
      <c r="A159" s="7"/>
      <c r="B159" s="7"/>
      <c r="C159" s="7"/>
      <c r="D159" s="9"/>
      <c r="E159" s="10"/>
      <c r="F159" s="11"/>
      <c r="G159" s="11"/>
      <c r="J159" s="7"/>
      <c r="K159" s="8"/>
      <c r="L159" s="7"/>
      <c r="M159" s="7"/>
      <c r="N159" s="7"/>
      <c r="Q159" s="8"/>
      <c r="R159" s="7"/>
      <c r="S159" s="9"/>
      <c r="T159" s="7"/>
      <c r="U159" s="7"/>
      <c r="V159" s="7"/>
      <c r="AC159" s="7"/>
      <c r="AD159" s="7"/>
      <c r="AE159" s="7"/>
    </row>
    <row r="160">
      <c r="A160" s="7"/>
      <c r="B160" s="7"/>
      <c r="C160" s="7"/>
      <c r="D160" s="9"/>
      <c r="E160" s="10"/>
      <c r="F160" s="11"/>
      <c r="G160" s="11"/>
      <c r="J160" s="7"/>
      <c r="K160" s="8"/>
      <c r="L160" s="7"/>
      <c r="M160" s="7"/>
      <c r="N160" s="7"/>
      <c r="Q160" s="8"/>
      <c r="R160" s="7"/>
      <c r="S160" s="9"/>
      <c r="T160" s="7"/>
      <c r="U160" s="7"/>
      <c r="V160" s="7"/>
      <c r="AC160" s="7"/>
      <c r="AD160" s="7"/>
      <c r="AE160" s="7"/>
    </row>
    <row r="161">
      <c r="A161" s="7"/>
      <c r="B161" s="7"/>
      <c r="C161" s="7"/>
      <c r="D161" s="9"/>
      <c r="E161" s="10"/>
      <c r="F161" s="11"/>
      <c r="G161" s="11"/>
      <c r="J161" s="7"/>
      <c r="K161" s="8"/>
      <c r="L161" s="7"/>
      <c r="M161" s="7"/>
      <c r="N161" s="7"/>
      <c r="Q161" s="8"/>
      <c r="R161" s="7"/>
      <c r="S161" s="9"/>
      <c r="T161" s="7"/>
      <c r="U161" s="7"/>
      <c r="V161" s="7"/>
      <c r="AC161" s="7"/>
      <c r="AD161" s="7"/>
      <c r="AE161" s="7"/>
    </row>
    <row r="162">
      <c r="A162" s="7"/>
      <c r="B162" s="7"/>
      <c r="C162" s="7"/>
      <c r="D162" s="9"/>
      <c r="E162" s="10"/>
      <c r="F162" s="11"/>
      <c r="G162" s="11"/>
      <c r="J162" s="7"/>
      <c r="K162" s="8"/>
      <c r="L162" s="7"/>
      <c r="M162" s="7"/>
      <c r="N162" s="7"/>
      <c r="Q162" s="8"/>
      <c r="R162" s="7"/>
      <c r="S162" s="9"/>
      <c r="T162" s="7"/>
      <c r="U162" s="7"/>
      <c r="V162" s="7"/>
      <c r="AC162" s="7"/>
      <c r="AD162" s="7"/>
      <c r="AE162" s="7"/>
    </row>
    <row r="163">
      <c r="A163" s="7"/>
      <c r="B163" s="7"/>
      <c r="C163" s="7"/>
      <c r="D163" s="9"/>
      <c r="E163" s="10"/>
      <c r="F163" s="11"/>
      <c r="G163" s="11"/>
      <c r="J163" s="7"/>
      <c r="K163" s="8"/>
      <c r="L163" s="7"/>
      <c r="M163" s="7"/>
      <c r="N163" s="7"/>
      <c r="Q163" s="8"/>
      <c r="R163" s="7"/>
      <c r="S163" s="9"/>
      <c r="T163" s="7"/>
      <c r="U163" s="7"/>
      <c r="V163" s="7"/>
      <c r="AC163" s="7"/>
      <c r="AD163" s="7"/>
      <c r="AE163" s="7"/>
    </row>
    <row r="164">
      <c r="A164" s="7"/>
      <c r="B164" s="7"/>
      <c r="C164" s="7"/>
      <c r="D164" s="9"/>
      <c r="E164" s="10"/>
      <c r="F164" s="11"/>
      <c r="G164" s="11"/>
      <c r="J164" s="7"/>
      <c r="K164" s="8"/>
      <c r="L164" s="7"/>
      <c r="M164" s="7"/>
      <c r="N164" s="7"/>
      <c r="Q164" s="8"/>
      <c r="R164" s="7"/>
      <c r="S164" s="9"/>
      <c r="T164" s="7"/>
      <c r="U164" s="7"/>
      <c r="V164" s="7"/>
      <c r="AC164" s="7"/>
      <c r="AD164" s="7"/>
      <c r="AE164" s="7"/>
    </row>
    <row r="165">
      <c r="A165" s="7"/>
      <c r="B165" s="7"/>
      <c r="C165" s="7"/>
      <c r="D165" s="9"/>
      <c r="E165" s="10"/>
      <c r="F165" s="11"/>
      <c r="G165" s="11"/>
      <c r="J165" s="7"/>
      <c r="K165" s="8"/>
      <c r="L165" s="7"/>
      <c r="M165" s="7"/>
      <c r="N165" s="7"/>
      <c r="Q165" s="8"/>
      <c r="R165" s="7"/>
      <c r="S165" s="9"/>
      <c r="T165" s="7"/>
      <c r="U165" s="7"/>
      <c r="V165" s="7"/>
      <c r="AC165" s="7"/>
      <c r="AD165" s="7"/>
      <c r="AE165" s="7"/>
    </row>
    <row r="166">
      <c r="A166" s="7"/>
      <c r="B166" s="7"/>
      <c r="C166" s="7"/>
      <c r="D166" s="9"/>
      <c r="E166" s="10"/>
      <c r="F166" s="11"/>
      <c r="G166" s="11"/>
      <c r="J166" s="7"/>
      <c r="K166" s="8"/>
      <c r="L166" s="7"/>
      <c r="M166" s="7"/>
      <c r="N166" s="7"/>
      <c r="Q166" s="8"/>
      <c r="R166" s="7"/>
      <c r="S166" s="9"/>
      <c r="T166" s="7"/>
      <c r="U166" s="7"/>
      <c r="V166" s="7"/>
      <c r="AC166" s="7"/>
      <c r="AD166" s="7"/>
      <c r="AE166" s="7"/>
    </row>
    <row r="167">
      <c r="A167" s="7"/>
      <c r="B167" s="7"/>
      <c r="C167" s="7"/>
      <c r="D167" s="9"/>
      <c r="E167" s="10"/>
      <c r="F167" s="11"/>
      <c r="G167" s="11"/>
      <c r="J167" s="7"/>
      <c r="K167" s="8"/>
      <c r="L167" s="7"/>
      <c r="M167" s="7"/>
      <c r="N167" s="7"/>
      <c r="Q167" s="8"/>
      <c r="R167" s="7"/>
      <c r="S167" s="9"/>
      <c r="T167" s="7"/>
      <c r="U167" s="7"/>
      <c r="V167" s="7"/>
      <c r="AC167" s="7"/>
      <c r="AD167" s="7"/>
      <c r="AE167" s="7"/>
    </row>
    <row r="168">
      <c r="A168" s="7"/>
      <c r="B168" s="7"/>
      <c r="C168" s="7"/>
      <c r="D168" s="9"/>
      <c r="E168" s="10"/>
      <c r="F168" s="11"/>
      <c r="G168" s="11"/>
      <c r="J168" s="7"/>
      <c r="K168" s="8"/>
      <c r="L168" s="7"/>
      <c r="M168" s="7"/>
      <c r="N168" s="7"/>
      <c r="Q168" s="8"/>
      <c r="R168" s="7"/>
      <c r="S168" s="9"/>
      <c r="T168" s="7"/>
      <c r="U168" s="7"/>
      <c r="V168" s="7"/>
      <c r="AC168" s="7"/>
      <c r="AD168" s="7"/>
      <c r="AE168" s="7"/>
    </row>
    <row r="169">
      <c r="A169" s="7"/>
      <c r="B169" s="7"/>
      <c r="C169" s="7"/>
      <c r="D169" s="9"/>
      <c r="E169" s="10"/>
      <c r="F169" s="11"/>
      <c r="G169" s="11"/>
      <c r="J169" s="7"/>
      <c r="K169" s="8"/>
      <c r="L169" s="7"/>
      <c r="M169" s="7"/>
      <c r="N169" s="7"/>
      <c r="Q169" s="8"/>
      <c r="R169" s="7"/>
      <c r="S169" s="9"/>
      <c r="T169" s="7"/>
      <c r="U169" s="7"/>
      <c r="V169" s="7"/>
      <c r="AC169" s="7"/>
      <c r="AD169" s="7"/>
      <c r="AE169" s="7"/>
    </row>
    <row r="170">
      <c r="A170" s="7"/>
      <c r="B170" s="7"/>
      <c r="C170" s="7"/>
      <c r="D170" s="9"/>
      <c r="E170" s="10"/>
      <c r="F170" s="11"/>
      <c r="G170" s="11"/>
      <c r="J170" s="7"/>
      <c r="K170" s="8"/>
      <c r="L170" s="7"/>
      <c r="M170" s="7"/>
      <c r="N170" s="7"/>
      <c r="Q170" s="8"/>
      <c r="R170" s="7"/>
      <c r="S170" s="9"/>
      <c r="T170" s="7"/>
      <c r="U170" s="7"/>
      <c r="V170" s="7"/>
      <c r="AC170" s="7"/>
      <c r="AD170" s="7"/>
      <c r="AE170" s="7"/>
    </row>
    <row r="171">
      <c r="A171" s="7"/>
      <c r="B171" s="7"/>
      <c r="C171" s="7"/>
      <c r="D171" s="9"/>
      <c r="E171" s="10"/>
      <c r="F171" s="11"/>
      <c r="G171" s="11"/>
      <c r="J171" s="7"/>
      <c r="K171" s="8"/>
      <c r="L171" s="7"/>
      <c r="M171" s="7"/>
      <c r="N171" s="7"/>
      <c r="Q171" s="8"/>
      <c r="R171" s="7"/>
      <c r="S171" s="9"/>
      <c r="T171" s="7"/>
      <c r="U171" s="7"/>
      <c r="V171" s="7"/>
      <c r="AC171" s="7"/>
      <c r="AD171" s="7"/>
      <c r="AE171" s="7"/>
    </row>
    <row r="172">
      <c r="A172" s="7"/>
      <c r="B172" s="7"/>
      <c r="C172" s="7"/>
      <c r="D172" s="9"/>
      <c r="E172" s="10"/>
      <c r="F172" s="11"/>
      <c r="G172" s="11"/>
      <c r="J172" s="7"/>
      <c r="K172" s="8"/>
      <c r="L172" s="7"/>
      <c r="M172" s="7"/>
      <c r="N172" s="7"/>
      <c r="Q172" s="8"/>
      <c r="R172" s="7"/>
      <c r="S172" s="9"/>
      <c r="T172" s="7"/>
      <c r="U172" s="7"/>
      <c r="V172" s="7"/>
      <c r="AC172" s="7"/>
      <c r="AD172" s="7"/>
      <c r="AE172" s="7"/>
    </row>
    <row r="173">
      <c r="A173" s="7"/>
      <c r="B173" s="7"/>
      <c r="C173" s="7"/>
      <c r="D173" s="9"/>
      <c r="E173" s="10"/>
      <c r="F173" s="11"/>
      <c r="G173" s="11"/>
      <c r="J173" s="7"/>
      <c r="K173" s="8"/>
      <c r="L173" s="7"/>
      <c r="M173" s="7"/>
      <c r="N173" s="7"/>
      <c r="Q173" s="8"/>
      <c r="R173" s="7"/>
      <c r="S173" s="9"/>
      <c r="T173" s="7"/>
      <c r="U173" s="7"/>
      <c r="V173" s="7"/>
      <c r="AC173" s="7"/>
      <c r="AD173" s="7"/>
      <c r="AE173" s="7"/>
    </row>
    <row r="174">
      <c r="A174" s="7"/>
      <c r="B174" s="7"/>
      <c r="C174" s="7"/>
      <c r="D174" s="9"/>
      <c r="E174" s="10"/>
      <c r="F174" s="11"/>
      <c r="G174" s="11"/>
      <c r="J174" s="7"/>
      <c r="K174" s="8"/>
      <c r="L174" s="7"/>
      <c r="M174" s="7"/>
      <c r="N174" s="7"/>
      <c r="Q174" s="8"/>
      <c r="R174" s="7"/>
      <c r="S174" s="9"/>
      <c r="T174" s="7"/>
      <c r="U174" s="7"/>
      <c r="V174" s="7"/>
      <c r="AC174" s="7"/>
      <c r="AD174" s="7"/>
      <c r="AE174" s="7"/>
    </row>
    <row r="175">
      <c r="A175" s="7"/>
      <c r="B175" s="7"/>
      <c r="C175" s="7"/>
      <c r="D175" s="9"/>
      <c r="E175" s="10"/>
      <c r="F175" s="11"/>
      <c r="G175" s="11"/>
      <c r="J175" s="7"/>
      <c r="K175" s="8"/>
      <c r="L175" s="7"/>
      <c r="M175" s="7"/>
      <c r="N175" s="7"/>
      <c r="Q175" s="8"/>
      <c r="R175" s="7"/>
      <c r="S175" s="9"/>
      <c r="T175" s="7"/>
      <c r="U175" s="7"/>
      <c r="V175" s="7"/>
      <c r="AC175" s="7"/>
      <c r="AD175" s="7"/>
      <c r="AE175" s="7"/>
    </row>
    <row r="176">
      <c r="A176" s="7"/>
      <c r="B176" s="7"/>
      <c r="C176" s="7"/>
      <c r="D176" s="9"/>
      <c r="E176" s="10"/>
      <c r="F176" s="11"/>
      <c r="G176" s="11"/>
      <c r="J176" s="7"/>
      <c r="K176" s="8"/>
      <c r="L176" s="7"/>
      <c r="M176" s="7"/>
      <c r="N176" s="7"/>
      <c r="Q176" s="8"/>
      <c r="R176" s="7"/>
      <c r="S176" s="9"/>
      <c r="T176" s="7"/>
      <c r="U176" s="7"/>
      <c r="V176" s="7"/>
      <c r="AC176" s="7"/>
      <c r="AD176" s="7"/>
      <c r="AE176" s="7"/>
    </row>
    <row r="177">
      <c r="A177" s="7"/>
      <c r="B177" s="7"/>
      <c r="C177" s="7"/>
      <c r="D177" s="9"/>
      <c r="E177" s="10"/>
      <c r="F177" s="11"/>
      <c r="G177" s="11"/>
      <c r="J177" s="7"/>
      <c r="K177" s="8"/>
      <c r="L177" s="7"/>
      <c r="M177" s="7"/>
      <c r="N177" s="7"/>
      <c r="Q177" s="8"/>
      <c r="R177" s="7"/>
      <c r="S177" s="9"/>
      <c r="T177" s="7"/>
      <c r="U177" s="7"/>
      <c r="V177" s="7"/>
      <c r="AC177" s="7"/>
      <c r="AD177" s="7"/>
      <c r="AE177" s="7"/>
    </row>
    <row r="178">
      <c r="A178" s="7"/>
      <c r="B178" s="7"/>
      <c r="C178" s="7"/>
      <c r="D178" s="9"/>
      <c r="E178" s="10"/>
      <c r="F178" s="11"/>
      <c r="G178" s="11"/>
      <c r="J178" s="7"/>
      <c r="K178" s="8"/>
      <c r="L178" s="7"/>
      <c r="M178" s="7"/>
      <c r="N178" s="7"/>
      <c r="Q178" s="8"/>
      <c r="R178" s="7"/>
      <c r="S178" s="9"/>
      <c r="T178" s="7"/>
      <c r="U178" s="7"/>
      <c r="V178" s="7"/>
      <c r="AC178" s="7"/>
      <c r="AD178" s="7"/>
      <c r="AE178" s="7"/>
    </row>
    <row r="179">
      <c r="A179" s="7"/>
      <c r="B179" s="7"/>
      <c r="C179" s="7"/>
      <c r="D179" s="9"/>
      <c r="E179" s="10"/>
      <c r="F179" s="11"/>
      <c r="G179" s="11"/>
      <c r="J179" s="7"/>
      <c r="K179" s="8"/>
      <c r="L179" s="7"/>
      <c r="M179" s="7"/>
      <c r="N179" s="7"/>
      <c r="Q179" s="8"/>
      <c r="R179" s="7"/>
      <c r="S179" s="9"/>
      <c r="T179" s="7"/>
      <c r="U179" s="7"/>
      <c r="V179" s="7"/>
      <c r="AC179" s="7"/>
      <c r="AD179" s="7"/>
      <c r="AE179" s="7"/>
    </row>
    <row r="180">
      <c r="A180" s="7"/>
      <c r="B180" s="7"/>
      <c r="C180" s="7"/>
      <c r="D180" s="9"/>
      <c r="E180" s="10"/>
      <c r="F180" s="11"/>
      <c r="G180" s="11"/>
      <c r="J180" s="7"/>
      <c r="K180" s="8"/>
      <c r="L180" s="7"/>
      <c r="M180" s="7"/>
      <c r="N180" s="7"/>
      <c r="Q180" s="8"/>
      <c r="R180" s="7"/>
      <c r="S180" s="9"/>
      <c r="T180" s="7"/>
      <c r="U180" s="7"/>
      <c r="V180" s="7"/>
      <c r="AC180" s="7"/>
      <c r="AD180" s="7"/>
      <c r="AE180" s="7"/>
    </row>
    <row r="181">
      <c r="A181" s="7"/>
      <c r="B181" s="7"/>
      <c r="C181" s="7"/>
      <c r="D181" s="9"/>
      <c r="E181" s="10"/>
      <c r="F181" s="11"/>
      <c r="G181" s="11"/>
      <c r="J181" s="7"/>
      <c r="K181" s="8"/>
      <c r="L181" s="7"/>
      <c r="M181" s="7"/>
      <c r="N181" s="7"/>
      <c r="Q181" s="8"/>
      <c r="R181" s="7"/>
      <c r="S181" s="9"/>
      <c r="T181" s="7"/>
      <c r="U181" s="7"/>
      <c r="V181" s="7"/>
      <c r="AC181" s="7"/>
      <c r="AD181" s="7"/>
      <c r="AE181" s="7"/>
    </row>
    <row r="182">
      <c r="A182" s="7"/>
      <c r="B182" s="7"/>
      <c r="C182" s="7"/>
      <c r="D182" s="9"/>
      <c r="E182" s="10"/>
      <c r="F182" s="11"/>
      <c r="G182" s="11"/>
      <c r="J182" s="7"/>
      <c r="K182" s="8"/>
      <c r="L182" s="7"/>
      <c r="M182" s="7"/>
      <c r="N182" s="7"/>
      <c r="Q182" s="8"/>
      <c r="R182" s="7"/>
      <c r="S182" s="9"/>
      <c r="T182" s="7"/>
      <c r="U182" s="7"/>
      <c r="V182" s="7"/>
      <c r="AC182" s="7"/>
      <c r="AD182" s="7"/>
      <c r="AE182" s="7"/>
    </row>
    <row r="183">
      <c r="A183" s="7"/>
      <c r="B183" s="7"/>
      <c r="C183" s="7"/>
      <c r="D183" s="9"/>
      <c r="E183" s="10"/>
      <c r="F183" s="11"/>
      <c r="G183" s="11"/>
      <c r="J183" s="7"/>
      <c r="K183" s="8"/>
      <c r="L183" s="7"/>
      <c r="M183" s="7"/>
      <c r="N183" s="7"/>
      <c r="Q183" s="8"/>
      <c r="R183" s="7"/>
      <c r="S183" s="9"/>
      <c r="T183" s="7"/>
      <c r="U183" s="7"/>
      <c r="V183" s="7"/>
      <c r="AC183" s="7"/>
      <c r="AD183" s="7"/>
      <c r="AE183" s="7"/>
    </row>
    <row r="184">
      <c r="A184" s="7"/>
      <c r="B184" s="7"/>
      <c r="C184" s="7"/>
      <c r="D184" s="9"/>
      <c r="E184" s="10"/>
      <c r="F184" s="11"/>
      <c r="G184" s="11"/>
      <c r="J184" s="7"/>
      <c r="K184" s="8"/>
      <c r="L184" s="7"/>
      <c r="M184" s="7"/>
      <c r="N184" s="7"/>
      <c r="Q184" s="8"/>
      <c r="R184" s="7"/>
      <c r="S184" s="9"/>
      <c r="T184" s="7"/>
      <c r="U184" s="7"/>
      <c r="V184" s="7"/>
      <c r="AC184" s="7"/>
      <c r="AD184" s="7"/>
      <c r="AE184" s="7"/>
    </row>
    <row r="185">
      <c r="A185" s="7"/>
      <c r="B185" s="7"/>
      <c r="C185" s="7"/>
      <c r="D185" s="9"/>
      <c r="E185" s="10"/>
      <c r="F185" s="11"/>
      <c r="G185" s="11"/>
      <c r="J185" s="7"/>
      <c r="K185" s="8"/>
      <c r="L185" s="7"/>
      <c r="M185" s="7"/>
      <c r="N185" s="7"/>
      <c r="Q185" s="8"/>
      <c r="R185" s="7"/>
      <c r="S185" s="9"/>
      <c r="T185" s="7"/>
      <c r="U185" s="7"/>
      <c r="V185" s="7"/>
      <c r="AC185" s="7"/>
      <c r="AD185" s="7"/>
      <c r="AE185" s="7"/>
    </row>
    <row r="186">
      <c r="A186" s="7"/>
      <c r="B186" s="7"/>
      <c r="C186" s="7"/>
      <c r="D186" s="9"/>
      <c r="E186" s="10"/>
      <c r="F186" s="11"/>
      <c r="G186" s="11"/>
      <c r="J186" s="7"/>
      <c r="K186" s="8"/>
      <c r="L186" s="7"/>
      <c r="M186" s="7"/>
      <c r="N186" s="7"/>
      <c r="Q186" s="8"/>
      <c r="R186" s="7"/>
      <c r="S186" s="9"/>
      <c r="T186" s="7"/>
      <c r="U186" s="7"/>
      <c r="V186" s="7"/>
      <c r="AC186" s="7"/>
      <c r="AD186" s="7"/>
      <c r="AE186" s="7"/>
    </row>
    <row r="187">
      <c r="A187" s="7"/>
      <c r="B187" s="7"/>
      <c r="C187" s="7"/>
      <c r="D187" s="9"/>
      <c r="E187" s="10"/>
      <c r="F187" s="11"/>
      <c r="G187" s="11"/>
      <c r="J187" s="7"/>
      <c r="K187" s="8"/>
      <c r="L187" s="7"/>
      <c r="M187" s="7"/>
      <c r="N187" s="7"/>
      <c r="Q187" s="8"/>
      <c r="R187" s="7"/>
      <c r="S187" s="9"/>
      <c r="T187" s="7"/>
      <c r="U187" s="7"/>
      <c r="V187" s="7"/>
      <c r="AC187" s="7"/>
      <c r="AD187" s="7"/>
      <c r="AE187" s="7"/>
    </row>
    <row r="188">
      <c r="A188" s="7"/>
      <c r="B188" s="7"/>
      <c r="C188" s="7"/>
      <c r="D188" s="9"/>
      <c r="E188" s="10"/>
      <c r="F188" s="11"/>
      <c r="G188" s="11"/>
      <c r="J188" s="7"/>
      <c r="K188" s="8"/>
      <c r="L188" s="7"/>
      <c r="M188" s="7"/>
      <c r="N188" s="7"/>
      <c r="Q188" s="8"/>
      <c r="R188" s="7"/>
      <c r="S188" s="9"/>
      <c r="T188" s="7"/>
      <c r="U188" s="7"/>
      <c r="V188" s="7"/>
      <c r="AC188" s="7"/>
      <c r="AD188" s="7"/>
      <c r="AE188" s="7"/>
    </row>
    <row r="189">
      <c r="A189" s="7"/>
      <c r="B189" s="7"/>
      <c r="C189" s="7"/>
      <c r="D189" s="9"/>
      <c r="E189" s="10"/>
      <c r="F189" s="11"/>
      <c r="G189" s="11"/>
      <c r="J189" s="7"/>
      <c r="K189" s="8"/>
      <c r="L189" s="7"/>
      <c r="M189" s="7"/>
      <c r="N189" s="7"/>
      <c r="Q189" s="8"/>
      <c r="R189" s="7"/>
      <c r="S189" s="9"/>
      <c r="T189" s="7"/>
      <c r="U189" s="7"/>
      <c r="V189" s="7"/>
      <c r="AC189" s="7"/>
      <c r="AD189" s="7"/>
      <c r="AE189" s="7"/>
    </row>
    <row r="190">
      <c r="A190" s="7"/>
      <c r="B190" s="7"/>
      <c r="C190" s="7"/>
      <c r="D190" s="9"/>
      <c r="E190" s="10"/>
      <c r="F190" s="11"/>
      <c r="G190" s="11"/>
      <c r="J190" s="7"/>
      <c r="K190" s="8"/>
      <c r="L190" s="7"/>
      <c r="M190" s="7"/>
      <c r="N190" s="7"/>
      <c r="Q190" s="8"/>
      <c r="R190" s="7"/>
      <c r="S190" s="9"/>
      <c r="T190" s="7"/>
      <c r="U190" s="7"/>
      <c r="V190" s="7"/>
      <c r="AC190" s="7"/>
      <c r="AD190" s="7"/>
      <c r="AE190" s="7"/>
    </row>
    <row r="191">
      <c r="A191" s="7"/>
      <c r="B191" s="7"/>
      <c r="C191" s="7"/>
      <c r="D191" s="9"/>
      <c r="E191" s="10"/>
      <c r="F191" s="11"/>
      <c r="G191" s="11"/>
      <c r="J191" s="7"/>
      <c r="K191" s="8"/>
      <c r="L191" s="7"/>
      <c r="M191" s="7"/>
      <c r="N191" s="7"/>
      <c r="Q191" s="8"/>
      <c r="R191" s="7"/>
      <c r="S191" s="9"/>
      <c r="T191" s="7"/>
      <c r="U191" s="7"/>
      <c r="V191" s="7"/>
      <c r="AC191" s="7"/>
      <c r="AD191" s="7"/>
      <c r="AE191" s="7"/>
    </row>
    <row r="192">
      <c r="A192" s="7"/>
      <c r="B192" s="7"/>
      <c r="C192" s="7"/>
      <c r="D192" s="9"/>
      <c r="E192" s="10"/>
      <c r="F192" s="11"/>
      <c r="G192" s="11"/>
      <c r="J192" s="7"/>
      <c r="K192" s="8"/>
      <c r="L192" s="7"/>
      <c r="M192" s="7"/>
      <c r="N192" s="7"/>
      <c r="Q192" s="8"/>
      <c r="R192" s="7"/>
      <c r="S192" s="9"/>
      <c r="T192" s="7"/>
      <c r="U192" s="7"/>
      <c r="V192" s="7"/>
      <c r="AC192" s="7"/>
      <c r="AD192" s="7"/>
      <c r="AE192" s="7"/>
    </row>
    <row r="193">
      <c r="A193" s="7"/>
      <c r="B193" s="7"/>
      <c r="C193" s="7"/>
      <c r="D193" s="9"/>
      <c r="E193" s="10"/>
      <c r="F193" s="11"/>
      <c r="G193" s="11"/>
      <c r="J193" s="7"/>
      <c r="K193" s="8"/>
      <c r="L193" s="7"/>
      <c r="M193" s="7"/>
      <c r="N193" s="7"/>
      <c r="Q193" s="8"/>
      <c r="R193" s="7"/>
      <c r="S193" s="9"/>
      <c r="T193" s="7"/>
      <c r="U193" s="7"/>
      <c r="V193" s="7"/>
      <c r="AC193" s="7"/>
      <c r="AD193" s="7"/>
      <c r="AE193" s="7"/>
    </row>
    <row r="194">
      <c r="A194" s="7"/>
      <c r="B194" s="7"/>
      <c r="C194" s="7"/>
      <c r="D194" s="9"/>
      <c r="E194" s="10"/>
      <c r="F194" s="11"/>
      <c r="G194" s="11"/>
      <c r="J194" s="7"/>
      <c r="K194" s="8"/>
      <c r="L194" s="7"/>
      <c r="M194" s="7"/>
      <c r="N194" s="7"/>
      <c r="Q194" s="8"/>
      <c r="R194" s="7"/>
      <c r="S194" s="9"/>
      <c r="T194" s="7"/>
      <c r="U194" s="7"/>
      <c r="V194" s="7"/>
      <c r="AC194" s="7"/>
      <c r="AD194" s="7"/>
      <c r="AE194" s="7"/>
    </row>
    <row r="195">
      <c r="A195" s="7"/>
      <c r="B195" s="7"/>
      <c r="C195" s="7"/>
      <c r="D195" s="9"/>
      <c r="E195" s="10"/>
      <c r="F195" s="11"/>
      <c r="G195" s="11"/>
      <c r="J195" s="7"/>
      <c r="K195" s="8"/>
      <c r="L195" s="7"/>
      <c r="M195" s="7"/>
      <c r="N195" s="7"/>
      <c r="Q195" s="8"/>
      <c r="R195" s="7"/>
      <c r="S195" s="9"/>
      <c r="T195" s="7"/>
      <c r="U195" s="7"/>
      <c r="V195" s="7"/>
      <c r="AC195" s="7"/>
      <c r="AD195" s="7"/>
      <c r="AE195" s="7"/>
    </row>
    <row r="196">
      <c r="A196" s="7"/>
      <c r="B196" s="7"/>
      <c r="C196" s="7"/>
      <c r="D196" s="9"/>
      <c r="E196" s="10"/>
      <c r="F196" s="11"/>
      <c r="G196" s="11"/>
      <c r="J196" s="7"/>
      <c r="K196" s="8"/>
      <c r="L196" s="7"/>
      <c r="M196" s="7"/>
      <c r="N196" s="7"/>
      <c r="Q196" s="8"/>
      <c r="R196" s="7"/>
      <c r="S196" s="9"/>
      <c r="T196" s="7"/>
      <c r="U196" s="7"/>
      <c r="V196" s="7"/>
      <c r="AC196" s="7"/>
      <c r="AD196" s="7"/>
      <c r="AE196" s="7"/>
    </row>
    <row r="197">
      <c r="A197" s="7"/>
      <c r="B197" s="7"/>
      <c r="C197" s="7"/>
      <c r="D197" s="9"/>
      <c r="E197" s="10"/>
      <c r="F197" s="11"/>
      <c r="G197" s="11"/>
      <c r="J197" s="7"/>
      <c r="K197" s="8"/>
      <c r="L197" s="7"/>
      <c r="M197" s="7"/>
      <c r="N197" s="7"/>
      <c r="Q197" s="8"/>
      <c r="R197" s="7"/>
      <c r="S197" s="9"/>
      <c r="T197" s="7"/>
      <c r="U197" s="7"/>
      <c r="V197" s="7"/>
      <c r="AC197" s="7"/>
      <c r="AD197" s="7"/>
      <c r="AE197" s="7"/>
    </row>
    <row r="198">
      <c r="A198" s="7"/>
      <c r="B198" s="7"/>
      <c r="C198" s="7"/>
      <c r="D198" s="9"/>
      <c r="E198" s="10"/>
      <c r="F198" s="11"/>
      <c r="G198" s="11"/>
      <c r="J198" s="7"/>
      <c r="K198" s="8"/>
      <c r="L198" s="7"/>
      <c r="M198" s="7"/>
      <c r="N198" s="7"/>
      <c r="Q198" s="8"/>
      <c r="R198" s="7"/>
      <c r="S198" s="9"/>
      <c r="T198" s="7"/>
      <c r="U198" s="7"/>
      <c r="V198" s="7"/>
      <c r="AC198" s="7"/>
      <c r="AD198" s="7"/>
      <c r="AE198" s="7"/>
    </row>
    <row r="199">
      <c r="A199" s="7"/>
      <c r="B199" s="7"/>
      <c r="C199" s="7"/>
      <c r="D199" s="9"/>
      <c r="E199" s="10"/>
      <c r="F199" s="11"/>
      <c r="G199" s="11"/>
      <c r="J199" s="7"/>
      <c r="K199" s="8"/>
      <c r="L199" s="7"/>
      <c r="M199" s="7"/>
      <c r="N199" s="7"/>
      <c r="Q199" s="8"/>
      <c r="R199" s="7"/>
      <c r="S199" s="9"/>
      <c r="T199" s="7"/>
      <c r="U199" s="7"/>
      <c r="V199" s="7"/>
      <c r="AC199" s="7"/>
      <c r="AD199" s="7"/>
      <c r="AE199" s="7"/>
    </row>
    <row r="200">
      <c r="A200" s="7"/>
      <c r="B200" s="7"/>
      <c r="C200" s="7"/>
      <c r="D200" s="9"/>
      <c r="E200" s="10"/>
      <c r="F200" s="11"/>
      <c r="G200" s="11"/>
      <c r="J200" s="7"/>
      <c r="K200" s="8"/>
      <c r="L200" s="7"/>
      <c r="M200" s="7"/>
      <c r="N200" s="7"/>
      <c r="Q200" s="8"/>
      <c r="R200" s="7"/>
      <c r="S200" s="9"/>
      <c r="T200" s="7"/>
      <c r="U200" s="7"/>
      <c r="V200" s="7"/>
      <c r="AC200" s="7"/>
      <c r="AD200" s="7"/>
      <c r="AE200" s="7"/>
    </row>
    <row r="201">
      <c r="A201" s="7"/>
      <c r="B201" s="7"/>
      <c r="C201" s="7"/>
      <c r="D201" s="9"/>
      <c r="E201" s="10"/>
      <c r="F201" s="11"/>
      <c r="G201" s="11"/>
      <c r="J201" s="7"/>
      <c r="K201" s="8"/>
      <c r="L201" s="7"/>
      <c r="M201" s="7"/>
      <c r="N201" s="7"/>
      <c r="Q201" s="8"/>
      <c r="R201" s="7"/>
      <c r="S201" s="9"/>
      <c r="T201" s="7"/>
      <c r="U201" s="7"/>
      <c r="V201" s="7"/>
      <c r="AC201" s="7"/>
      <c r="AD201" s="7"/>
      <c r="AE201" s="7"/>
    </row>
    <row r="202">
      <c r="A202" s="7"/>
      <c r="B202" s="7"/>
      <c r="C202" s="7"/>
      <c r="D202" s="9"/>
      <c r="E202" s="10"/>
      <c r="F202" s="11"/>
      <c r="G202" s="11"/>
      <c r="J202" s="7"/>
      <c r="K202" s="8"/>
      <c r="L202" s="7"/>
      <c r="M202" s="7"/>
      <c r="N202" s="7"/>
      <c r="Q202" s="8"/>
      <c r="R202" s="7"/>
      <c r="S202" s="9"/>
      <c r="T202" s="7"/>
      <c r="U202" s="7"/>
      <c r="V202" s="7"/>
      <c r="AC202" s="7"/>
      <c r="AD202" s="7"/>
      <c r="AE202" s="7"/>
    </row>
    <row r="203">
      <c r="A203" s="7"/>
      <c r="B203" s="7"/>
      <c r="C203" s="7"/>
      <c r="D203" s="9"/>
      <c r="E203" s="10"/>
      <c r="F203" s="11"/>
      <c r="G203" s="11"/>
      <c r="J203" s="7"/>
      <c r="K203" s="8"/>
      <c r="L203" s="7"/>
      <c r="M203" s="7"/>
      <c r="N203" s="7"/>
      <c r="Q203" s="8"/>
      <c r="R203" s="7"/>
      <c r="S203" s="9"/>
      <c r="T203" s="7"/>
      <c r="U203" s="7"/>
      <c r="V203" s="7"/>
      <c r="AC203" s="7"/>
      <c r="AD203" s="7"/>
      <c r="AE203" s="7"/>
    </row>
    <row r="204">
      <c r="A204" s="7"/>
      <c r="B204" s="7"/>
      <c r="C204" s="7"/>
      <c r="D204" s="9"/>
      <c r="E204" s="10"/>
      <c r="F204" s="11"/>
      <c r="G204" s="11"/>
      <c r="J204" s="7"/>
      <c r="K204" s="8"/>
      <c r="L204" s="7"/>
      <c r="M204" s="7"/>
      <c r="N204" s="7"/>
      <c r="Q204" s="8"/>
      <c r="R204" s="7"/>
      <c r="S204" s="9"/>
      <c r="T204" s="7"/>
      <c r="U204" s="7"/>
      <c r="V204" s="7"/>
      <c r="AC204" s="7"/>
      <c r="AD204" s="7"/>
      <c r="AE204" s="7"/>
    </row>
    <row r="205">
      <c r="A205" s="7"/>
      <c r="B205" s="7"/>
      <c r="C205" s="7"/>
      <c r="D205" s="9"/>
      <c r="E205" s="10"/>
      <c r="F205" s="11"/>
      <c r="G205" s="11"/>
      <c r="J205" s="7"/>
      <c r="K205" s="8"/>
      <c r="L205" s="7"/>
      <c r="M205" s="7"/>
      <c r="N205" s="7"/>
      <c r="Q205" s="8"/>
      <c r="R205" s="7"/>
      <c r="S205" s="9"/>
      <c r="T205" s="7"/>
      <c r="U205" s="7"/>
      <c r="V205" s="7"/>
      <c r="AC205" s="7"/>
      <c r="AD205" s="7"/>
      <c r="AE205" s="7"/>
    </row>
    <row r="206">
      <c r="A206" s="7"/>
      <c r="B206" s="7"/>
      <c r="C206" s="7"/>
      <c r="D206" s="9"/>
      <c r="E206" s="10"/>
      <c r="F206" s="11"/>
      <c r="G206" s="11"/>
      <c r="J206" s="7"/>
      <c r="K206" s="8"/>
      <c r="L206" s="7"/>
      <c r="M206" s="7"/>
      <c r="N206" s="7"/>
      <c r="Q206" s="8"/>
      <c r="R206" s="7"/>
      <c r="S206" s="9"/>
      <c r="T206" s="7"/>
      <c r="U206" s="7"/>
      <c r="V206" s="7"/>
      <c r="AC206" s="7"/>
      <c r="AD206" s="7"/>
      <c r="AE206" s="7"/>
    </row>
    <row r="207">
      <c r="A207" s="7"/>
      <c r="B207" s="7"/>
      <c r="C207" s="7"/>
      <c r="D207" s="9"/>
      <c r="E207" s="10"/>
      <c r="F207" s="11"/>
      <c r="G207" s="11"/>
      <c r="J207" s="7"/>
      <c r="K207" s="8"/>
      <c r="L207" s="7"/>
      <c r="M207" s="7"/>
      <c r="N207" s="7"/>
      <c r="Q207" s="8"/>
      <c r="R207" s="7"/>
      <c r="S207" s="9"/>
      <c r="T207" s="7"/>
      <c r="U207" s="7"/>
      <c r="V207" s="7"/>
      <c r="AC207" s="7"/>
      <c r="AD207" s="7"/>
      <c r="AE207" s="7"/>
    </row>
    <row r="208">
      <c r="A208" s="7"/>
      <c r="B208" s="7"/>
      <c r="C208" s="7"/>
      <c r="D208" s="9"/>
      <c r="E208" s="10"/>
      <c r="F208" s="11"/>
      <c r="G208" s="11"/>
      <c r="J208" s="7"/>
      <c r="K208" s="8"/>
      <c r="L208" s="7"/>
      <c r="M208" s="7"/>
      <c r="N208" s="7"/>
      <c r="Q208" s="8"/>
      <c r="R208" s="7"/>
      <c r="S208" s="9"/>
      <c r="T208" s="7"/>
      <c r="U208" s="7"/>
      <c r="V208" s="7"/>
      <c r="AC208" s="7"/>
      <c r="AD208" s="7"/>
      <c r="AE208" s="7"/>
    </row>
    <row r="209">
      <c r="A209" s="7"/>
      <c r="B209" s="7"/>
      <c r="C209" s="7"/>
      <c r="D209" s="9"/>
      <c r="E209" s="10"/>
      <c r="F209" s="11"/>
      <c r="G209" s="11"/>
      <c r="J209" s="7"/>
      <c r="K209" s="8"/>
      <c r="L209" s="7"/>
      <c r="M209" s="7"/>
      <c r="N209" s="7"/>
      <c r="Q209" s="8"/>
      <c r="R209" s="7"/>
      <c r="S209" s="9"/>
      <c r="T209" s="7"/>
      <c r="U209" s="7"/>
      <c r="V209" s="7"/>
      <c r="AC209" s="7"/>
      <c r="AD209" s="7"/>
      <c r="AE209" s="7"/>
    </row>
    <row r="210">
      <c r="A210" s="7"/>
      <c r="B210" s="7"/>
      <c r="C210" s="7"/>
      <c r="D210" s="9"/>
      <c r="E210" s="10"/>
      <c r="F210" s="11"/>
      <c r="G210" s="11"/>
      <c r="J210" s="7"/>
      <c r="K210" s="8"/>
      <c r="L210" s="7"/>
      <c r="M210" s="7"/>
      <c r="N210" s="7"/>
      <c r="Q210" s="8"/>
      <c r="R210" s="7"/>
      <c r="S210" s="9"/>
      <c r="T210" s="7"/>
      <c r="U210" s="7"/>
      <c r="V210" s="7"/>
      <c r="AC210" s="7"/>
      <c r="AD210" s="7"/>
      <c r="AE210" s="7"/>
    </row>
    <row r="211">
      <c r="A211" s="7"/>
      <c r="B211" s="7"/>
      <c r="C211" s="7"/>
      <c r="D211" s="9"/>
      <c r="E211" s="10"/>
      <c r="F211" s="11"/>
      <c r="G211" s="11"/>
      <c r="J211" s="7"/>
      <c r="K211" s="8"/>
      <c r="L211" s="7"/>
      <c r="M211" s="7"/>
      <c r="N211" s="7"/>
      <c r="Q211" s="8"/>
      <c r="R211" s="7"/>
      <c r="S211" s="9"/>
      <c r="T211" s="7"/>
      <c r="U211" s="7"/>
      <c r="V211" s="7"/>
      <c r="AC211" s="7"/>
      <c r="AD211" s="7"/>
      <c r="AE211" s="7"/>
    </row>
    <row r="212">
      <c r="A212" s="7"/>
      <c r="B212" s="7"/>
      <c r="C212" s="7"/>
      <c r="D212" s="9"/>
      <c r="E212" s="10"/>
      <c r="F212" s="11"/>
      <c r="G212" s="11"/>
      <c r="J212" s="7"/>
      <c r="K212" s="8"/>
      <c r="L212" s="7"/>
      <c r="M212" s="7"/>
      <c r="N212" s="7"/>
      <c r="Q212" s="8"/>
      <c r="R212" s="7"/>
      <c r="S212" s="9"/>
      <c r="T212" s="7"/>
      <c r="U212" s="7"/>
      <c r="V212" s="7"/>
      <c r="AC212" s="7"/>
      <c r="AD212" s="7"/>
      <c r="AE212" s="7"/>
    </row>
    <row r="213">
      <c r="A213" s="7"/>
      <c r="B213" s="7"/>
      <c r="C213" s="7"/>
      <c r="D213" s="9"/>
      <c r="E213" s="10"/>
      <c r="F213" s="11"/>
      <c r="G213" s="11"/>
      <c r="J213" s="7"/>
      <c r="K213" s="8"/>
      <c r="L213" s="7"/>
      <c r="M213" s="7"/>
      <c r="N213" s="7"/>
      <c r="Q213" s="8"/>
      <c r="R213" s="7"/>
      <c r="S213" s="9"/>
      <c r="T213" s="7"/>
      <c r="U213" s="7"/>
      <c r="V213" s="7"/>
      <c r="AC213" s="7"/>
      <c r="AD213" s="7"/>
      <c r="AE213" s="7"/>
    </row>
    <row r="214">
      <c r="A214" s="7"/>
      <c r="B214" s="7"/>
      <c r="C214" s="7"/>
      <c r="D214" s="9"/>
      <c r="E214" s="10"/>
      <c r="F214" s="11"/>
      <c r="G214" s="11"/>
      <c r="J214" s="7"/>
      <c r="K214" s="8"/>
      <c r="L214" s="7"/>
      <c r="M214" s="7"/>
      <c r="N214" s="7"/>
      <c r="Q214" s="8"/>
      <c r="R214" s="7"/>
      <c r="S214" s="9"/>
      <c r="T214" s="7"/>
      <c r="U214" s="7"/>
      <c r="V214" s="7"/>
      <c r="AC214" s="7"/>
      <c r="AD214" s="7"/>
      <c r="AE214" s="7"/>
    </row>
    <row r="215">
      <c r="A215" s="7"/>
      <c r="B215" s="7"/>
      <c r="C215" s="7"/>
      <c r="D215" s="9"/>
      <c r="E215" s="10"/>
      <c r="F215" s="11"/>
      <c r="G215" s="11"/>
      <c r="J215" s="7"/>
      <c r="K215" s="8"/>
      <c r="L215" s="7"/>
      <c r="M215" s="7"/>
      <c r="N215" s="7"/>
      <c r="Q215" s="8"/>
      <c r="R215" s="7"/>
      <c r="S215" s="9"/>
      <c r="T215" s="7"/>
      <c r="U215" s="7"/>
      <c r="V215" s="7"/>
      <c r="AC215" s="7"/>
      <c r="AD215" s="7"/>
      <c r="AE215" s="7"/>
    </row>
    <row r="216">
      <c r="A216" s="7"/>
      <c r="B216" s="7"/>
      <c r="C216" s="7"/>
      <c r="D216" s="9"/>
      <c r="E216" s="10"/>
      <c r="F216" s="11"/>
      <c r="G216" s="11"/>
      <c r="J216" s="7"/>
      <c r="K216" s="8"/>
      <c r="L216" s="7"/>
      <c r="M216" s="7"/>
      <c r="N216" s="7"/>
      <c r="Q216" s="8"/>
      <c r="R216" s="7"/>
      <c r="S216" s="9"/>
      <c r="T216" s="7"/>
      <c r="U216" s="7"/>
      <c r="V216" s="7"/>
      <c r="AC216" s="7"/>
      <c r="AD216" s="7"/>
      <c r="AE216" s="7"/>
    </row>
    <row r="217">
      <c r="A217" s="7"/>
      <c r="B217" s="7"/>
      <c r="C217" s="7"/>
      <c r="D217" s="9"/>
      <c r="E217" s="10"/>
      <c r="F217" s="11"/>
      <c r="G217" s="11"/>
      <c r="J217" s="7"/>
      <c r="K217" s="8"/>
      <c r="L217" s="7"/>
      <c r="M217" s="7"/>
      <c r="N217" s="7"/>
      <c r="Q217" s="8"/>
      <c r="R217" s="7"/>
      <c r="S217" s="9"/>
      <c r="T217" s="7"/>
      <c r="U217" s="7"/>
      <c r="V217" s="7"/>
      <c r="AC217" s="7"/>
      <c r="AD217" s="7"/>
      <c r="AE217" s="7"/>
    </row>
    <row r="218">
      <c r="A218" s="7"/>
      <c r="B218" s="7"/>
      <c r="C218" s="7"/>
      <c r="D218" s="9"/>
      <c r="E218" s="10"/>
      <c r="F218" s="11"/>
      <c r="G218" s="11"/>
      <c r="J218" s="7"/>
      <c r="K218" s="8"/>
      <c r="L218" s="7"/>
      <c r="M218" s="7"/>
      <c r="N218" s="7"/>
      <c r="Q218" s="8"/>
      <c r="R218" s="7"/>
      <c r="S218" s="9"/>
      <c r="T218" s="7"/>
      <c r="U218" s="7"/>
      <c r="V218" s="7"/>
      <c r="AC218" s="7"/>
      <c r="AD218" s="7"/>
      <c r="AE218" s="7"/>
    </row>
    <row r="219">
      <c r="A219" s="7"/>
      <c r="B219" s="7"/>
      <c r="C219" s="7"/>
      <c r="D219" s="9"/>
      <c r="E219" s="10"/>
      <c r="F219" s="11"/>
      <c r="G219" s="11"/>
      <c r="J219" s="7"/>
      <c r="K219" s="8"/>
      <c r="L219" s="7"/>
      <c r="M219" s="7"/>
      <c r="N219" s="7"/>
      <c r="Q219" s="8"/>
      <c r="R219" s="7"/>
      <c r="S219" s="9"/>
      <c r="T219" s="7"/>
      <c r="U219" s="7"/>
      <c r="V219" s="7"/>
      <c r="AC219" s="7"/>
      <c r="AD219" s="7"/>
      <c r="AE219" s="7"/>
    </row>
    <row r="220">
      <c r="A220" s="7"/>
      <c r="B220" s="7"/>
      <c r="C220" s="7"/>
      <c r="D220" s="9"/>
      <c r="E220" s="10"/>
      <c r="F220" s="11"/>
      <c r="G220" s="11"/>
      <c r="J220" s="7"/>
      <c r="K220" s="8"/>
      <c r="L220" s="7"/>
      <c r="M220" s="7"/>
      <c r="N220" s="7"/>
      <c r="Q220" s="8"/>
      <c r="R220" s="7"/>
      <c r="S220" s="9"/>
      <c r="T220" s="7"/>
      <c r="U220" s="7"/>
      <c r="V220" s="7"/>
      <c r="AC220" s="7"/>
      <c r="AD220" s="7"/>
      <c r="AE220" s="7"/>
    </row>
    <row r="221">
      <c r="A221" s="7"/>
      <c r="B221" s="7"/>
      <c r="C221" s="7"/>
      <c r="D221" s="9"/>
      <c r="E221" s="10"/>
      <c r="F221" s="11"/>
      <c r="G221" s="11"/>
      <c r="J221" s="7"/>
      <c r="K221" s="8"/>
      <c r="L221" s="7"/>
      <c r="M221" s="7"/>
      <c r="N221" s="7"/>
      <c r="Q221" s="8"/>
      <c r="R221" s="7"/>
      <c r="S221" s="9"/>
      <c r="T221" s="7"/>
      <c r="U221" s="7"/>
      <c r="V221" s="7"/>
      <c r="AC221" s="7"/>
      <c r="AD221" s="7"/>
      <c r="AE221" s="7"/>
    </row>
    <row r="222">
      <c r="A222" s="7"/>
      <c r="B222" s="7"/>
      <c r="C222" s="7"/>
      <c r="D222" s="9"/>
      <c r="E222" s="10"/>
      <c r="F222" s="11"/>
      <c r="G222" s="11"/>
      <c r="J222" s="7"/>
      <c r="K222" s="8"/>
      <c r="L222" s="7"/>
      <c r="M222" s="7"/>
      <c r="N222" s="7"/>
      <c r="Q222" s="8"/>
      <c r="R222" s="7"/>
      <c r="S222" s="9"/>
      <c r="T222" s="7"/>
      <c r="U222" s="7"/>
      <c r="V222" s="7"/>
      <c r="AC222" s="7"/>
      <c r="AD222" s="7"/>
      <c r="AE222" s="7"/>
    </row>
    <row r="223">
      <c r="A223" s="7"/>
      <c r="B223" s="7"/>
      <c r="C223" s="7"/>
      <c r="D223" s="9"/>
      <c r="E223" s="10"/>
      <c r="F223" s="11"/>
      <c r="G223" s="11"/>
      <c r="J223" s="7"/>
      <c r="K223" s="8"/>
      <c r="L223" s="7"/>
      <c r="M223" s="7"/>
      <c r="N223" s="7"/>
      <c r="Q223" s="8"/>
      <c r="R223" s="7"/>
      <c r="S223" s="9"/>
      <c r="T223" s="7"/>
      <c r="U223" s="7"/>
      <c r="V223" s="7"/>
      <c r="AC223" s="7"/>
      <c r="AD223" s="7"/>
      <c r="AE223" s="7"/>
    </row>
    <row r="224">
      <c r="A224" s="7"/>
      <c r="B224" s="7"/>
      <c r="C224" s="7"/>
      <c r="D224" s="9"/>
      <c r="E224" s="10"/>
      <c r="F224" s="11"/>
      <c r="G224" s="11"/>
      <c r="J224" s="7"/>
      <c r="K224" s="8"/>
      <c r="L224" s="7"/>
      <c r="M224" s="7"/>
      <c r="N224" s="7"/>
      <c r="Q224" s="8"/>
      <c r="R224" s="7"/>
      <c r="S224" s="9"/>
      <c r="T224" s="7"/>
      <c r="U224" s="7"/>
      <c r="V224" s="7"/>
      <c r="AC224" s="7"/>
      <c r="AD224" s="7"/>
      <c r="AE224" s="7"/>
    </row>
    <row r="225">
      <c r="A225" s="7"/>
      <c r="B225" s="7"/>
      <c r="C225" s="7"/>
      <c r="D225" s="9"/>
      <c r="E225" s="10"/>
      <c r="F225" s="11"/>
      <c r="G225" s="11"/>
      <c r="J225" s="7"/>
      <c r="K225" s="8"/>
      <c r="L225" s="7"/>
      <c r="M225" s="7"/>
      <c r="N225" s="7"/>
      <c r="Q225" s="8"/>
      <c r="R225" s="7"/>
      <c r="S225" s="9"/>
      <c r="T225" s="7"/>
      <c r="U225" s="7"/>
      <c r="V225" s="7"/>
      <c r="AC225" s="7"/>
      <c r="AD225" s="7"/>
      <c r="AE225" s="7"/>
    </row>
    <row r="226">
      <c r="A226" s="7"/>
      <c r="B226" s="7"/>
      <c r="C226" s="7"/>
      <c r="D226" s="9"/>
      <c r="E226" s="10"/>
      <c r="F226" s="11"/>
      <c r="G226" s="11"/>
      <c r="J226" s="7"/>
      <c r="K226" s="8"/>
      <c r="L226" s="7"/>
      <c r="M226" s="7"/>
      <c r="N226" s="7"/>
      <c r="Q226" s="8"/>
      <c r="R226" s="7"/>
      <c r="S226" s="9"/>
      <c r="T226" s="7"/>
      <c r="U226" s="7"/>
      <c r="V226" s="7"/>
      <c r="AC226" s="7"/>
      <c r="AD226" s="7"/>
      <c r="AE226" s="7"/>
    </row>
    <row r="227">
      <c r="A227" s="7"/>
      <c r="B227" s="7"/>
      <c r="C227" s="7"/>
      <c r="D227" s="9"/>
      <c r="E227" s="10"/>
      <c r="F227" s="11"/>
      <c r="G227" s="11"/>
      <c r="J227" s="7"/>
      <c r="K227" s="8"/>
      <c r="L227" s="7"/>
      <c r="M227" s="7"/>
      <c r="N227" s="7"/>
      <c r="Q227" s="8"/>
      <c r="R227" s="7"/>
      <c r="S227" s="9"/>
      <c r="T227" s="7"/>
      <c r="U227" s="7"/>
      <c r="V227" s="7"/>
      <c r="AC227" s="7"/>
      <c r="AD227" s="7"/>
      <c r="AE227" s="7"/>
    </row>
    <row r="228">
      <c r="A228" s="7"/>
      <c r="B228" s="7"/>
      <c r="C228" s="7"/>
      <c r="D228" s="9"/>
      <c r="E228" s="10"/>
      <c r="F228" s="11"/>
      <c r="G228" s="11"/>
      <c r="J228" s="7"/>
      <c r="K228" s="8"/>
      <c r="L228" s="7"/>
      <c r="M228" s="7"/>
      <c r="N228" s="7"/>
      <c r="Q228" s="8"/>
      <c r="R228" s="7"/>
      <c r="S228" s="9"/>
      <c r="T228" s="7"/>
      <c r="U228" s="7"/>
      <c r="V228" s="7"/>
      <c r="AC228" s="7"/>
      <c r="AD228" s="7"/>
      <c r="AE228" s="7"/>
    </row>
    <row r="229">
      <c r="A229" s="7"/>
      <c r="B229" s="7"/>
      <c r="C229" s="7"/>
      <c r="D229" s="9"/>
      <c r="E229" s="10"/>
      <c r="F229" s="11"/>
      <c r="G229" s="11"/>
      <c r="J229" s="7"/>
      <c r="K229" s="8"/>
      <c r="L229" s="7"/>
      <c r="M229" s="7"/>
      <c r="N229" s="7"/>
      <c r="Q229" s="8"/>
      <c r="R229" s="7"/>
      <c r="S229" s="9"/>
      <c r="T229" s="7"/>
      <c r="U229" s="7"/>
      <c r="V229" s="7"/>
      <c r="AC229" s="7"/>
      <c r="AD229" s="7"/>
      <c r="AE229" s="7"/>
    </row>
    <row r="230">
      <c r="A230" s="7"/>
      <c r="B230" s="7"/>
      <c r="C230" s="7"/>
      <c r="D230" s="9"/>
      <c r="E230" s="10"/>
      <c r="F230" s="11"/>
      <c r="G230" s="11"/>
      <c r="J230" s="7"/>
      <c r="K230" s="8"/>
      <c r="L230" s="7"/>
      <c r="M230" s="7"/>
      <c r="N230" s="7"/>
      <c r="Q230" s="8"/>
      <c r="R230" s="7"/>
      <c r="S230" s="9"/>
      <c r="T230" s="7"/>
      <c r="U230" s="7"/>
      <c r="V230" s="7"/>
      <c r="AC230" s="7"/>
      <c r="AD230" s="7"/>
      <c r="AE230" s="7"/>
    </row>
    <row r="231">
      <c r="A231" s="7"/>
      <c r="B231" s="7"/>
      <c r="C231" s="7"/>
      <c r="D231" s="9"/>
      <c r="E231" s="10"/>
      <c r="F231" s="11"/>
      <c r="G231" s="11"/>
      <c r="J231" s="7"/>
      <c r="K231" s="8"/>
      <c r="L231" s="7"/>
      <c r="M231" s="7"/>
      <c r="N231" s="7"/>
      <c r="Q231" s="8"/>
      <c r="R231" s="7"/>
      <c r="S231" s="9"/>
      <c r="T231" s="7"/>
      <c r="U231" s="7"/>
      <c r="V231" s="7"/>
      <c r="AC231" s="7"/>
      <c r="AD231" s="7"/>
      <c r="AE231" s="7"/>
    </row>
    <row r="232">
      <c r="A232" s="7"/>
      <c r="B232" s="7"/>
      <c r="C232" s="7"/>
      <c r="D232" s="9"/>
      <c r="E232" s="10"/>
      <c r="F232" s="11"/>
      <c r="G232" s="11"/>
      <c r="J232" s="7"/>
      <c r="K232" s="8"/>
      <c r="L232" s="7"/>
      <c r="M232" s="7"/>
      <c r="N232" s="7"/>
      <c r="Q232" s="8"/>
      <c r="R232" s="7"/>
      <c r="S232" s="9"/>
      <c r="T232" s="7"/>
      <c r="U232" s="7"/>
      <c r="V232" s="7"/>
      <c r="AC232" s="7"/>
      <c r="AD232" s="7"/>
      <c r="AE232" s="7"/>
    </row>
    <row r="233">
      <c r="A233" s="7"/>
      <c r="B233" s="7"/>
      <c r="C233" s="7"/>
      <c r="D233" s="9"/>
      <c r="E233" s="10"/>
      <c r="F233" s="11"/>
      <c r="G233" s="11"/>
      <c r="J233" s="7"/>
      <c r="K233" s="8"/>
      <c r="L233" s="7"/>
      <c r="M233" s="7"/>
      <c r="N233" s="7"/>
      <c r="Q233" s="8"/>
      <c r="R233" s="7"/>
      <c r="S233" s="9"/>
      <c r="T233" s="7"/>
      <c r="U233" s="7"/>
      <c r="V233" s="7"/>
      <c r="AC233" s="7"/>
      <c r="AD233" s="7"/>
      <c r="AE233" s="7"/>
    </row>
    <row r="234">
      <c r="A234" s="7"/>
      <c r="B234" s="7"/>
      <c r="C234" s="7"/>
      <c r="D234" s="9"/>
      <c r="E234" s="10"/>
      <c r="F234" s="11"/>
      <c r="G234" s="11"/>
      <c r="J234" s="7"/>
      <c r="K234" s="8"/>
      <c r="L234" s="7"/>
      <c r="M234" s="7"/>
      <c r="N234" s="7"/>
      <c r="Q234" s="8"/>
      <c r="R234" s="7"/>
      <c r="S234" s="9"/>
      <c r="T234" s="7"/>
      <c r="U234" s="7"/>
      <c r="V234" s="7"/>
      <c r="AC234" s="7"/>
      <c r="AD234" s="7"/>
      <c r="AE234" s="7"/>
    </row>
    <row r="235">
      <c r="A235" s="7"/>
      <c r="B235" s="7"/>
      <c r="C235" s="7"/>
      <c r="D235" s="9"/>
      <c r="E235" s="10"/>
      <c r="F235" s="11"/>
      <c r="G235" s="11"/>
      <c r="J235" s="7"/>
      <c r="K235" s="8"/>
      <c r="L235" s="7"/>
      <c r="M235" s="7"/>
      <c r="N235" s="7"/>
      <c r="Q235" s="8"/>
      <c r="R235" s="7"/>
      <c r="S235" s="9"/>
      <c r="T235" s="7"/>
      <c r="U235" s="7"/>
      <c r="V235" s="7"/>
      <c r="AC235" s="7"/>
      <c r="AD235" s="7"/>
      <c r="AE235" s="7"/>
    </row>
    <row r="236">
      <c r="A236" s="7"/>
      <c r="B236" s="7"/>
      <c r="C236" s="7"/>
      <c r="D236" s="9"/>
      <c r="E236" s="10"/>
      <c r="F236" s="11"/>
      <c r="G236" s="11"/>
      <c r="J236" s="7"/>
      <c r="K236" s="8"/>
      <c r="L236" s="7"/>
      <c r="M236" s="7"/>
      <c r="N236" s="7"/>
      <c r="Q236" s="8"/>
      <c r="R236" s="7"/>
      <c r="S236" s="9"/>
      <c r="T236" s="7"/>
      <c r="U236" s="7"/>
      <c r="V236" s="7"/>
      <c r="AC236" s="7"/>
      <c r="AD236" s="7"/>
      <c r="AE236" s="7"/>
    </row>
    <row r="237">
      <c r="A237" s="7"/>
      <c r="B237" s="7"/>
      <c r="C237" s="7"/>
      <c r="D237" s="9"/>
      <c r="E237" s="10"/>
      <c r="F237" s="11"/>
      <c r="G237" s="11"/>
      <c r="J237" s="7"/>
      <c r="K237" s="8"/>
      <c r="L237" s="7"/>
      <c r="M237" s="7"/>
      <c r="N237" s="7"/>
      <c r="Q237" s="8"/>
      <c r="R237" s="7"/>
      <c r="S237" s="9"/>
      <c r="T237" s="7"/>
      <c r="U237" s="7"/>
      <c r="V237" s="7"/>
      <c r="AC237" s="7"/>
      <c r="AD237" s="7"/>
      <c r="AE237" s="7"/>
    </row>
    <row r="238">
      <c r="A238" s="7"/>
      <c r="B238" s="7"/>
      <c r="C238" s="7"/>
      <c r="D238" s="9"/>
      <c r="E238" s="10"/>
      <c r="F238" s="11"/>
      <c r="G238" s="11"/>
      <c r="J238" s="7"/>
      <c r="K238" s="8"/>
      <c r="L238" s="7"/>
      <c r="M238" s="7"/>
      <c r="N238" s="7"/>
      <c r="Q238" s="8"/>
      <c r="R238" s="7"/>
      <c r="S238" s="9"/>
      <c r="T238" s="7"/>
      <c r="U238" s="7"/>
      <c r="V238" s="7"/>
      <c r="AC238" s="7"/>
      <c r="AD238" s="7"/>
      <c r="AE238" s="7"/>
    </row>
    <row r="239">
      <c r="A239" s="7"/>
      <c r="B239" s="7"/>
      <c r="C239" s="7"/>
      <c r="D239" s="9"/>
      <c r="E239" s="10"/>
      <c r="F239" s="11"/>
      <c r="G239" s="11"/>
      <c r="J239" s="7"/>
      <c r="K239" s="8"/>
      <c r="L239" s="7"/>
      <c r="M239" s="7"/>
      <c r="N239" s="7"/>
      <c r="Q239" s="8"/>
      <c r="R239" s="7"/>
      <c r="S239" s="9"/>
      <c r="T239" s="7"/>
      <c r="U239" s="7"/>
      <c r="V239" s="7"/>
      <c r="AC239" s="7"/>
      <c r="AD239" s="7"/>
      <c r="AE239" s="7"/>
    </row>
    <row r="240">
      <c r="A240" s="7"/>
      <c r="B240" s="7"/>
      <c r="C240" s="7"/>
      <c r="D240" s="9"/>
      <c r="E240" s="10"/>
      <c r="F240" s="11"/>
      <c r="G240" s="11"/>
      <c r="J240" s="7"/>
      <c r="K240" s="8"/>
      <c r="L240" s="7"/>
      <c r="M240" s="7"/>
      <c r="N240" s="7"/>
      <c r="Q240" s="8"/>
      <c r="R240" s="7"/>
      <c r="S240" s="9"/>
      <c r="T240" s="7"/>
      <c r="U240" s="7"/>
      <c r="V240" s="7"/>
      <c r="AC240" s="7"/>
      <c r="AD240" s="7"/>
      <c r="AE240" s="7"/>
    </row>
    <row r="241">
      <c r="A241" s="7"/>
      <c r="B241" s="7"/>
      <c r="C241" s="7"/>
      <c r="D241" s="9"/>
      <c r="E241" s="10"/>
      <c r="F241" s="11"/>
      <c r="G241" s="11"/>
      <c r="J241" s="7"/>
      <c r="K241" s="8"/>
      <c r="L241" s="7"/>
      <c r="M241" s="7"/>
      <c r="N241" s="7"/>
      <c r="Q241" s="8"/>
      <c r="R241" s="7"/>
      <c r="S241" s="9"/>
      <c r="T241" s="7"/>
      <c r="U241" s="7"/>
      <c r="V241" s="7"/>
      <c r="AC241" s="7"/>
      <c r="AD241" s="7"/>
      <c r="AE241" s="7"/>
    </row>
    <row r="242">
      <c r="A242" s="7"/>
      <c r="B242" s="7"/>
      <c r="C242" s="7"/>
      <c r="D242" s="9"/>
      <c r="E242" s="10"/>
      <c r="F242" s="11"/>
      <c r="G242" s="11"/>
      <c r="J242" s="7"/>
      <c r="K242" s="8"/>
      <c r="L242" s="7"/>
      <c r="M242" s="7"/>
      <c r="N242" s="7"/>
      <c r="Q242" s="8"/>
      <c r="R242" s="7"/>
      <c r="S242" s="9"/>
      <c r="T242" s="7"/>
      <c r="U242" s="7"/>
      <c r="V242" s="7"/>
      <c r="AC242" s="7"/>
      <c r="AD242" s="7"/>
      <c r="AE242" s="7"/>
    </row>
    <row r="243">
      <c r="A243" s="7"/>
      <c r="B243" s="7"/>
      <c r="C243" s="7"/>
      <c r="D243" s="9"/>
      <c r="E243" s="10"/>
      <c r="F243" s="11"/>
      <c r="G243" s="11"/>
      <c r="J243" s="7"/>
      <c r="K243" s="8"/>
      <c r="L243" s="7"/>
      <c r="M243" s="7"/>
      <c r="N243" s="7"/>
      <c r="Q243" s="8"/>
      <c r="R243" s="7"/>
      <c r="S243" s="9"/>
      <c r="T243" s="7"/>
      <c r="U243" s="7"/>
      <c r="V243" s="7"/>
      <c r="AC243" s="7"/>
      <c r="AD243" s="7"/>
      <c r="AE243" s="7"/>
    </row>
    <row r="244">
      <c r="A244" s="7"/>
      <c r="B244" s="7"/>
      <c r="C244" s="7"/>
      <c r="D244" s="9"/>
      <c r="E244" s="10"/>
      <c r="F244" s="11"/>
      <c r="G244" s="11"/>
      <c r="J244" s="7"/>
      <c r="K244" s="8"/>
      <c r="L244" s="7"/>
      <c r="M244" s="7"/>
      <c r="N244" s="7"/>
      <c r="Q244" s="8"/>
      <c r="R244" s="7"/>
      <c r="S244" s="9"/>
      <c r="T244" s="7"/>
      <c r="U244" s="7"/>
      <c r="V244" s="7"/>
      <c r="AC244" s="7"/>
      <c r="AD244" s="7"/>
      <c r="AE244" s="7"/>
    </row>
    <row r="245">
      <c r="A245" s="7"/>
      <c r="B245" s="7"/>
      <c r="C245" s="7"/>
      <c r="D245" s="9"/>
      <c r="E245" s="10"/>
      <c r="F245" s="11"/>
      <c r="G245" s="11"/>
      <c r="J245" s="7"/>
      <c r="K245" s="8"/>
      <c r="L245" s="7"/>
      <c r="M245" s="7"/>
      <c r="N245" s="7"/>
      <c r="Q245" s="8"/>
      <c r="R245" s="7"/>
      <c r="S245" s="9"/>
      <c r="T245" s="7"/>
      <c r="U245" s="7"/>
      <c r="V245" s="7"/>
      <c r="AC245" s="7"/>
      <c r="AD245" s="7"/>
      <c r="AE245" s="7"/>
    </row>
    <row r="246">
      <c r="A246" s="7"/>
      <c r="B246" s="7"/>
      <c r="C246" s="7"/>
      <c r="D246" s="9"/>
      <c r="E246" s="10"/>
      <c r="F246" s="11"/>
      <c r="G246" s="11"/>
      <c r="J246" s="7"/>
      <c r="K246" s="8"/>
      <c r="L246" s="7"/>
      <c r="M246" s="7"/>
      <c r="N246" s="7"/>
      <c r="Q246" s="8"/>
      <c r="R246" s="7"/>
      <c r="S246" s="9"/>
      <c r="T246" s="7"/>
      <c r="U246" s="7"/>
      <c r="V246" s="7"/>
      <c r="AC246" s="7"/>
      <c r="AD246" s="7"/>
      <c r="AE246" s="7"/>
    </row>
    <row r="247">
      <c r="A247" s="7"/>
      <c r="B247" s="7"/>
      <c r="C247" s="7"/>
      <c r="D247" s="9"/>
      <c r="E247" s="10"/>
      <c r="F247" s="11"/>
      <c r="G247" s="11"/>
      <c r="J247" s="7"/>
      <c r="K247" s="8"/>
      <c r="L247" s="7"/>
      <c r="M247" s="7"/>
      <c r="N247" s="7"/>
      <c r="Q247" s="8"/>
      <c r="R247" s="7"/>
      <c r="S247" s="9"/>
      <c r="T247" s="7"/>
      <c r="U247" s="7"/>
      <c r="V247" s="7"/>
      <c r="AC247" s="7"/>
      <c r="AD247" s="7"/>
      <c r="AE247" s="7"/>
    </row>
    <row r="248">
      <c r="A248" s="7"/>
      <c r="B248" s="7"/>
      <c r="C248" s="7"/>
      <c r="D248" s="9"/>
      <c r="E248" s="10"/>
      <c r="F248" s="11"/>
      <c r="G248" s="11"/>
      <c r="J248" s="7"/>
      <c r="K248" s="8"/>
      <c r="L248" s="7"/>
      <c r="M248" s="7"/>
      <c r="N248" s="7"/>
      <c r="Q248" s="8"/>
      <c r="R248" s="7"/>
      <c r="S248" s="9"/>
      <c r="T248" s="7"/>
      <c r="U248" s="7"/>
      <c r="V248" s="7"/>
      <c r="AC248" s="7"/>
      <c r="AD248" s="7"/>
      <c r="AE248" s="7"/>
    </row>
    <row r="249">
      <c r="A249" s="7"/>
      <c r="B249" s="7"/>
      <c r="C249" s="7"/>
      <c r="D249" s="9"/>
      <c r="E249" s="10"/>
      <c r="F249" s="11"/>
      <c r="G249" s="11"/>
      <c r="J249" s="7"/>
      <c r="K249" s="8"/>
      <c r="L249" s="7"/>
      <c r="M249" s="7"/>
      <c r="N249" s="7"/>
      <c r="Q249" s="8"/>
      <c r="R249" s="7"/>
      <c r="S249" s="9"/>
      <c r="T249" s="7"/>
      <c r="U249" s="7"/>
      <c r="V249" s="7"/>
      <c r="AC249" s="7"/>
      <c r="AD249" s="7"/>
      <c r="AE249" s="7"/>
    </row>
    <row r="250">
      <c r="A250" s="7"/>
      <c r="B250" s="7"/>
      <c r="C250" s="7"/>
      <c r="D250" s="9"/>
      <c r="E250" s="10"/>
      <c r="F250" s="11"/>
      <c r="G250" s="11"/>
      <c r="J250" s="7"/>
      <c r="K250" s="8"/>
      <c r="L250" s="7"/>
      <c r="M250" s="7"/>
      <c r="N250" s="7"/>
      <c r="Q250" s="8"/>
      <c r="R250" s="7"/>
      <c r="S250" s="9"/>
      <c r="T250" s="7"/>
      <c r="U250" s="7"/>
      <c r="V250" s="7"/>
      <c r="AC250" s="7"/>
      <c r="AD250" s="7"/>
      <c r="AE250" s="7"/>
    </row>
    <row r="251">
      <c r="A251" s="7"/>
      <c r="B251" s="7"/>
      <c r="C251" s="7"/>
      <c r="D251" s="9"/>
      <c r="E251" s="10"/>
      <c r="F251" s="11"/>
      <c r="G251" s="11"/>
      <c r="J251" s="7"/>
      <c r="K251" s="8"/>
      <c r="L251" s="7"/>
      <c r="M251" s="7"/>
      <c r="N251" s="7"/>
      <c r="Q251" s="8"/>
      <c r="R251" s="7"/>
      <c r="S251" s="9"/>
      <c r="T251" s="7"/>
      <c r="U251" s="7"/>
      <c r="V251" s="7"/>
      <c r="AC251" s="7"/>
      <c r="AD251" s="7"/>
      <c r="AE251" s="7"/>
    </row>
    <row r="252">
      <c r="A252" s="7"/>
      <c r="B252" s="7"/>
      <c r="C252" s="7"/>
      <c r="D252" s="9"/>
      <c r="E252" s="10"/>
      <c r="F252" s="11"/>
      <c r="G252" s="11"/>
      <c r="J252" s="7"/>
      <c r="K252" s="8"/>
      <c r="L252" s="7"/>
      <c r="M252" s="7"/>
      <c r="N252" s="7"/>
      <c r="Q252" s="8"/>
      <c r="R252" s="7"/>
      <c r="S252" s="9"/>
      <c r="T252" s="7"/>
      <c r="U252" s="7"/>
      <c r="V252" s="7"/>
      <c r="AC252" s="7"/>
      <c r="AD252" s="7"/>
      <c r="AE252" s="7"/>
    </row>
    <row r="253">
      <c r="A253" s="7"/>
      <c r="B253" s="7"/>
      <c r="C253" s="7"/>
      <c r="D253" s="9"/>
      <c r="E253" s="10"/>
      <c r="F253" s="11"/>
      <c r="G253" s="11"/>
      <c r="J253" s="7"/>
      <c r="K253" s="8"/>
      <c r="L253" s="7"/>
      <c r="M253" s="7"/>
      <c r="N253" s="7"/>
      <c r="Q253" s="8"/>
      <c r="R253" s="7"/>
      <c r="S253" s="9"/>
      <c r="T253" s="7"/>
      <c r="U253" s="7"/>
      <c r="V253" s="7"/>
      <c r="AC253" s="7"/>
      <c r="AD253" s="7"/>
      <c r="AE253" s="7"/>
    </row>
    <row r="254">
      <c r="A254" s="7"/>
      <c r="B254" s="7"/>
      <c r="C254" s="7"/>
      <c r="D254" s="9"/>
      <c r="E254" s="10"/>
      <c r="F254" s="11"/>
      <c r="G254" s="11"/>
      <c r="J254" s="7"/>
      <c r="K254" s="8"/>
      <c r="L254" s="7"/>
      <c r="M254" s="7"/>
      <c r="N254" s="7"/>
      <c r="Q254" s="8"/>
      <c r="R254" s="7"/>
      <c r="S254" s="9"/>
      <c r="T254" s="7"/>
      <c r="U254" s="7"/>
      <c r="V254" s="7"/>
      <c r="AC254" s="7"/>
      <c r="AD254" s="7"/>
      <c r="AE254" s="7"/>
    </row>
    <row r="255">
      <c r="A255" s="7"/>
      <c r="B255" s="7"/>
      <c r="C255" s="7"/>
      <c r="D255" s="9"/>
      <c r="E255" s="10"/>
      <c r="F255" s="11"/>
      <c r="G255" s="11"/>
      <c r="J255" s="7"/>
      <c r="K255" s="8"/>
      <c r="L255" s="7"/>
      <c r="M255" s="7"/>
      <c r="N255" s="7"/>
      <c r="Q255" s="8"/>
      <c r="R255" s="7"/>
      <c r="S255" s="9"/>
      <c r="T255" s="7"/>
      <c r="U255" s="7"/>
      <c r="V255" s="7"/>
      <c r="AC255" s="7"/>
      <c r="AD255" s="7"/>
      <c r="AE255" s="7"/>
    </row>
    <row r="256">
      <c r="A256" s="7"/>
      <c r="B256" s="7"/>
      <c r="C256" s="7"/>
      <c r="D256" s="9"/>
      <c r="E256" s="10"/>
      <c r="F256" s="11"/>
      <c r="G256" s="11"/>
      <c r="J256" s="7"/>
      <c r="K256" s="8"/>
      <c r="L256" s="7"/>
      <c r="M256" s="7"/>
      <c r="N256" s="7"/>
      <c r="Q256" s="8"/>
      <c r="R256" s="7"/>
      <c r="S256" s="9"/>
      <c r="T256" s="7"/>
      <c r="U256" s="7"/>
      <c r="V256" s="7"/>
      <c r="AC256" s="7"/>
      <c r="AD256" s="7"/>
      <c r="AE256" s="7"/>
    </row>
    <row r="257">
      <c r="A257" s="7"/>
      <c r="B257" s="7"/>
      <c r="C257" s="7"/>
      <c r="D257" s="9"/>
      <c r="E257" s="10"/>
      <c r="F257" s="11"/>
      <c r="G257" s="11"/>
      <c r="J257" s="7"/>
      <c r="K257" s="8"/>
      <c r="L257" s="7"/>
      <c r="M257" s="7"/>
      <c r="N257" s="7"/>
      <c r="Q257" s="8"/>
      <c r="R257" s="7"/>
      <c r="S257" s="9"/>
      <c r="T257" s="7"/>
      <c r="U257" s="7"/>
      <c r="V257" s="7"/>
      <c r="AC257" s="7"/>
      <c r="AD257" s="7"/>
      <c r="AE257" s="7"/>
    </row>
    <row r="258">
      <c r="A258" s="7"/>
      <c r="B258" s="7"/>
      <c r="C258" s="7"/>
      <c r="D258" s="9"/>
      <c r="E258" s="10"/>
      <c r="F258" s="11"/>
      <c r="G258" s="11"/>
      <c r="J258" s="7"/>
      <c r="K258" s="8"/>
      <c r="L258" s="7"/>
      <c r="M258" s="7"/>
      <c r="N258" s="7"/>
      <c r="Q258" s="8"/>
      <c r="R258" s="7"/>
      <c r="S258" s="9"/>
      <c r="T258" s="7"/>
      <c r="U258" s="7"/>
      <c r="V258" s="7"/>
      <c r="AC258" s="7"/>
      <c r="AD258" s="7"/>
      <c r="AE258" s="7"/>
    </row>
    <row r="259">
      <c r="A259" s="7"/>
      <c r="B259" s="7"/>
      <c r="C259" s="7"/>
      <c r="D259" s="9"/>
      <c r="E259" s="10"/>
      <c r="F259" s="11"/>
      <c r="G259" s="11"/>
      <c r="J259" s="7"/>
      <c r="K259" s="8"/>
      <c r="L259" s="7"/>
      <c r="M259" s="7"/>
      <c r="N259" s="7"/>
      <c r="Q259" s="8"/>
      <c r="R259" s="7"/>
      <c r="S259" s="9"/>
      <c r="T259" s="7"/>
      <c r="U259" s="7"/>
      <c r="V259" s="7"/>
      <c r="AC259" s="7"/>
      <c r="AD259" s="7"/>
      <c r="AE259" s="7"/>
    </row>
    <row r="260">
      <c r="A260" s="7"/>
      <c r="B260" s="7"/>
      <c r="C260" s="7"/>
      <c r="D260" s="9"/>
      <c r="E260" s="10"/>
      <c r="F260" s="11"/>
      <c r="G260" s="11"/>
      <c r="J260" s="7"/>
      <c r="K260" s="8"/>
      <c r="L260" s="7"/>
      <c r="M260" s="7"/>
      <c r="N260" s="7"/>
      <c r="Q260" s="8"/>
      <c r="R260" s="7"/>
      <c r="S260" s="9"/>
      <c r="T260" s="7"/>
      <c r="U260" s="7"/>
      <c r="V260" s="7"/>
      <c r="AC260" s="7"/>
      <c r="AD260" s="7"/>
      <c r="AE260" s="7"/>
    </row>
    <row r="261">
      <c r="A261" s="7"/>
      <c r="B261" s="7"/>
      <c r="C261" s="7"/>
      <c r="D261" s="9"/>
      <c r="E261" s="10"/>
      <c r="F261" s="11"/>
      <c r="G261" s="11"/>
      <c r="J261" s="7"/>
      <c r="K261" s="8"/>
      <c r="L261" s="7"/>
      <c r="M261" s="7"/>
      <c r="N261" s="7"/>
      <c r="Q261" s="8"/>
      <c r="R261" s="7"/>
      <c r="S261" s="9"/>
      <c r="T261" s="7"/>
      <c r="U261" s="7"/>
      <c r="V261" s="7"/>
      <c r="AC261" s="7"/>
      <c r="AD261" s="7"/>
      <c r="AE261" s="7"/>
    </row>
    <row r="262">
      <c r="A262" s="7"/>
      <c r="B262" s="7"/>
      <c r="C262" s="7"/>
      <c r="D262" s="9"/>
      <c r="E262" s="10"/>
      <c r="F262" s="11"/>
      <c r="G262" s="11"/>
      <c r="J262" s="7"/>
      <c r="K262" s="8"/>
      <c r="L262" s="7"/>
      <c r="M262" s="7"/>
      <c r="N262" s="7"/>
      <c r="Q262" s="8"/>
      <c r="R262" s="7"/>
      <c r="S262" s="9"/>
      <c r="T262" s="7"/>
      <c r="U262" s="7"/>
      <c r="V262" s="7"/>
      <c r="AC262" s="7"/>
      <c r="AD262" s="7"/>
      <c r="AE262" s="7"/>
    </row>
    <row r="263">
      <c r="A263" s="7"/>
      <c r="B263" s="7"/>
      <c r="C263" s="7"/>
      <c r="D263" s="9"/>
      <c r="E263" s="10"/>
      <c r="F263" s="11"/>
      <c r="G263" s="11"/>
      <c r="J263" s="7"/>
      <c r="K263" s="8"/>
      <c r="L263" s="7"/>
      <c r="M263" s="7"/>
      <c r="N263" s="7"/>
      <c r="Q263" s="8"/>
      <c r="R263" s="7"/>
      <c r="S263" s="9"/>
      <c r="T263" s="7"/>
      <c r="U263" s="7"/>
      <c r="V263" s="7"/>
      <c r="AC263" s="7"/>
      <c r="AD263" s="7"/>
      <c r="AE263" s="7"/>
    </row>
    <row r="264">
      <c r="A264" s="7"/>
      <c r="B264" s="7"/>
      <c r="C264" s="7"/>
      <c r="D264" s="9"/>
      <c r="E264" s="10"/>
      <c r="F264" s="11"/>
      <c r="G264" s="11"/>
      <c r="J264" s="7"/>
      <c r="K264" s="8"/>
      <c r="L264" s="7"/>
      <c r="M264" s="7"/>
      <c r="N264" s="7"/>
      <c r="Q264" s="8"/>
      <c r="R264" s="7"/>
      <c r="S264" s="9"/>
      <c r="T264" s="7"/>
      <c r="U264" s="7"/>
      <c r="V264" s="7"/>
      <c r="AC264" s="7"/>
      <c r="AD264" s="7"/>
      <c r="AE264" s="7"/>
    </row>
    <row r="265">
      <c r="A265" s="7"/>
      <c r="B265" s="7"/>
      <c r="C265" s="7"/>
      <c r="D265" s="9"/>
      <c r="E265" s="10"/>
      <c r="F265" s="11"/>
      <c r="G265" s="11"/>
      <c r="J265" s="7"/>
      <c r="K265" s="8"/>
      <c r="L265" s="7"/>
      <c r="M265" s="7"/>
      <c r="N265" s="7"/>
      <c r="Q265" s="8"/>
      <c r="R265" s="7"/>
      <c r="S265" s="9"/>
      <c r="T265" s="7"/>
      <c r="U265" s="7"/>
      <c r="V265" s="7"/>
      <c r="AC265" s="7"/>
      <c r="AD265" s="7"/>
      <c r="AE265" s="7"/>
    </row>
    <row r="266">
      <c r="A266" s="7"/>
      <c r="B266" s="7"/>
      <c r="C266" s="7"/>
      <c r="D266" s="9"/>
      <c r="E266" s="10"/>
      <c r="F266" s="11"/>
      <c r="G266" s="11"/>
      <c r="J266" s="7"/>
      <c r="K266" s="8"/>
      <c r="L266" s="7"/>
      <c r="M266" s="7"/>
      <c r="N266" s="7"/>
      <c r="Q266" s="8"/>
      <c r="R266" s="7"/>
      <c r="S266" s="9"/>
      <c r="T266" s="7"/>
      <c r="U266" s="7"/>
      <c r="V266" s="7"/>
      <c r="AC266" s="7"/>
      <c r="AD266" s="7"/>
      <c r="AE266" s="7"/>
    </row>
    <row r="267">
      <c r="A267" s="7"/>
      <c r="B267" s="7"/>
      <c r="C267" s="7"/>
      <c r="D267" s="9"/>
      <c r="E267" s="10"/>
      <c r="F267" s="11"/>
      <c r="G267" s="11"/>
      <c r="J267" s="7"/>
      <c r="K267" s="8"/>
      <c r="L267" s="7"/>
      <c r="M267" s="7"/>
      <c r="N267" s="7"/>
      <c r="Q267" s="8"/>
      <c r="R267" s="7"/>
      <c r="S267" s="9"/>
      <c r="T267" s="7"/>
      <c r="U267" s="7"/>
      <c r="V267" s="7"/>
      <c r="AC267" s="7"/>
      <c r="AD267" s="7"/>
      <c r="AE267" s="7"/>
    </row>
    <row r="268">
      <c r="A268" s="7"/>
      <c r="B268" s="7"/>
      <c r="C268" s="7"/>
      <c r="D268" s="9"/>
      <c r="E268" s="10"/>
      <c r="F268" s="11"/>
      <c r="G268" s="11"/>
      <c r="J268" s="7"/>
      <c r="K268" s="8"/>
      <c r="L268" s="7"/>
      <c r="M268" s="7"/>
      <c r="N268" s="7"/>
      <c r="Q268" s="8"/>
      <c r="R268" s="7"/>
      <c r="S268" s="9"/>
      <c r="T268" s="7"/>
      <c r="U268" s="7"/>
      <c r="V268" s="7"/>
      <c r="AC268" s="7"/>
      <c r="AD268" s="7"/>
      <c r="AE268" s="7"/>
    </row>
    <row r="269">
      <c r="A269" s="7"/>
      <c r="B269" s="7"/>
      <c r="C269" s="7"/>
      <c r="D269" s="9"/>
      <c r="E269" s="10"/>
      <c r="F269" s="11"/>
      <c r="G269" s="11"/>
      <c r="J269" s="7"/>
      <c r="K269" s="8"/>
      <c r="L269" s="7"/>
      <c r="M269" s="7"/>
      <c r="N269" s="7"/>
      <c r="Q269" s="8"/>
      <c r="R269" s="7"/>
      <c r="S269" s="9"/>
      <c r="T269" s="7"/>
      <c r="U269" s="7"/>
      <c r="V269" s="7"/>
      <c r="AC269" s="7"/>
      <c r="AD269" s="7"/>
      <c r="AE269" s="7"/>
    </row>
    <row r="270">
      <c r="A270" s="7"/>
      <c r="B270" s="7"/>
      <c r="C270" s="7"/>
      <c r="D270" s="9"/>
      <c r="E270" s="10"/>
      <c r="F270" s="11"/>
      <c r="G270" s="11"/>
      <c r="J270" s="7"/>
      <c r="K270" s="8"/>
      <c r="L270" s="7"/>
      <c r="M270" s="7"/>
      <c r="N270" s="7"/>
      <c r="Q270" s="8"/>
      <c r="R270" s="7"/>
      <c r="S270" s="9"/>
      <c r="T270" s="7"/>
      <c r="U270" s="7"/>
      <c r="V270" s="7"/>
      <c r="AC270" s="7"/>
      <c r="AD270" s="7"/>
      <c r="AE270" s="7"/>
    </row>
    <row r="271">
      <c r="A271" s="7"/>
      <c r="B271" s="7"/>
      <c r="C271" s="7"/>
      <c r="D271" s="9"/>
      <c r="E271" s="10"/>
      <c r="F271" s="11"/>
      <c r="G271" s="11"/>
      <c r="J271" s="7"/>
      <c r="K271" s="8"/>
      <c r="L271" s="7"/>
      <c r="M271" s="7"/>
      <c r="N271" s="7"/>
      <c r="Q271" s="8"/>
      <c r="R271" s="7"/>
      <c r="S271" s="9"/>
      <c r="T271" s="7"/>
      <c r="U271" s="7"/>
      <c r="V271" s="7"/>
      <c r="AC271" s="7"/>
      <c r="AD271" s="7"/>
      <c r="AE271" s="7"/>
    </row>
    <row r="272">
      <c r="A272" s="7"/>
      <c r="B272" s="7"/>
      <c r="C272" s="7"/>
      <c r="D272" s="9"/>
      <c r="E272" s="10"/>
      <c r="F272" s="11"/>
      <c r="G272" s="11"/>
      <c r="J272" s="7"/>
      <c r="K272" s="8"/>
      <c r="L272" s="7"/>
      <c r="M272" s="7"/>
      <c r="N272" s="7"/>
      <c r="Q272" s="8"/>
      <c r="R272" s="7"/>
      <c r="S272" s="9"/>
      <c r="T272" s="7"/>
      <c r="U272" s="7"/>
      <c r="V272" s="7"/>
      <c r="AC272" s="7"/>
      <c r="AD272" s="7"/>
      <c r="AE272" s="7"/>
    </row>
    <row r="273">
      <c r="A273" s="7"/>
      <c r="B273" s="7"/>
      <c r="C273" s="7"/>
      <c r="D273" s="9"/>
      <c r="E273" s="10"/>
      <c r="F273" s="11"/>
      <c r="G273" s="11"/>
      <c r="J273" s="7"/>
      <c r="K273" s="8"/>
      <c r="L273" s="7"/>
      <c r="M273" s="7"/>
      <c r="N273" s="7"/>
      <c r="Q273" s="8"/>
      <c r="R273" s="7"/>
      <c r="S273" s="9"/>
      <c r="T273" s="7"/>
      <c r="U273" s="7"/>
      <c r="V273" s="7"/>
      <c r="AC273" s="7"/>
      <c r="AD273" s="7"/>
      <c r="AE273" s="7"/>
    </row>
    <row r="274">
      <c r="A274" s="7"/>
      <c r="B274" s="7"/>
      <c r="C274" s="7"/>
      <c r="D274" s="9"/>
      <c r="E274" s="10"/>
      <c r="F274" s="11"/>
      <c r="G274" s="11"/>
      <c r="J274" s="7"/>
      <c r="K274" s="8"/>
      <c r="L274" s="7"/>
      <c r="M274" s="7"/>
      <c r="N274" s="7"/>
      <c r="Q274" s="8"/>
      <c r="R274" s="7"/>
      <c r="S274" s="9"/>
      <c r="T274" s="7"/>
      <c r="U274" s="7"/>
      <c r="V274" s="7"/>
      <c r="AC274" s="7"/>
      <c r="AD274" s="7"/>
      <c r="AE274" s="7"/>
    </row>
    <row r="275">
      <c r="A275" s="7"/>
      <c r="B275" s="7"/>
      <c r="C275" s="7"/>
      <c r="D275" s="9"/>
      <c r="E275" s="10"/>
      <c r="F275" s="11"/>
      <c r="G275" s="11"/>
      <c r="J275" s="7"/>
      <c r="K275" s="8"/>
      <c r="L275" s="7"/>
      <c r="M275" s="7"/>
      <c r="N275" s="7"/>
      <c r="Q275" s="8"/>
      <c r="R275" s="7"/>
      <c r="S275" s="9"/>
      <c r="T275" s="7"/>
      <c r="U275" s="7"/>
      <c r="V275" s="7"/>
      <c r="AC275" s="7"/>
      <c r="AD275" s="7"/>
      <c r="AE275" s="7"/>
    </row>
    <row r="276">
      <c r="A276" s="7"/>
      <c r="B276" s="7"/>
      <c r="C276" s="7"/>
      <c r="D276" s="9"/>
      <c r="E276" s="10"/>
      <c r="F276" s="11"/>
      <c r="G276" s="11"/>
      <c r="J276" s="7"/>
      <c r="K276" s="8"/>
      <c r="L276" s="7"/>
      <c r="M276" s="7"/>
      <c r="N276" s="7"/>
      <c r="Q276" s="8"/>
      <c r="R276" s="7"/>
      <c r="S276" s="9"/>
      <c r="T276" s="7"/>
      <c r="U276" s="7"/>
      <c r="V276" s="7"/>
      <c r="AC276" s="7"/>
      <c r="AD276" s="7"/>
      <c r="AE276" s="7"/>
    </row>
    <row r="277">
      <c r="A277" s="7"/>
      <c r="B277" s="7"/>
      <c r="C277" s="7"/>
      <c r="D277" s="9"/>
      <c r="E277" s="10"/>
      <c r="F277" s="11"/>
      <c r="G277" s="11"/>
      <c r="J277" s="7"/>
      <c r="K277" s="8"/>
      <c r="L277" s="7"/>
      <c r="M277" s="7"/>
      <c r="N277" s="7"/>
      <c r="Q277" s="8"/>
      <c r="R277" s="7"/>
      <c r="S277" s="9"/>
      <c r="T277" s="7"/>
      <c r="U277" s="7"/>
      <c r="V277" s="7"/>
      <c r="AC277" s="7"/>
      <c r="AD277" s="7"/>
      <c r="AE277" s="7"/>
    </row>
    <row r="278">
      <c r="A278" s="7"/>
      <c r="B278" s="7"/>
      <c r="C278" s="7"/>
      <c r="D278" s="9"/>
      <c r="E278" s="10"/>
      <c r="F278" s="11"/>
      <c r="G278" s="11"/>
      <c r="J278" s="7"/>
      <c r="K278" s="8"/>
      <c r="L278" s="7"/>
      <c r="M278" s="7"/>
      <c r="N278" s="7"/>
      <c r="Q278" s="8"/>
      <c r="R278" s="7"/>
      <c r="S278" s="9"/>
      <c r="T278" s="7"/>
      <c r="U278" s="7"/>
      <c r="V278" s="7"/>
      <c r="AC278" s="7"/>
      <c r="AD278" s="7"/>
      <c r="AE278" s="7"/>
    </row>
    <row r="279">
      <c r="A279" s="7"/>
      <c r="B279" s="7"/>
      <c r="C279" s="7"/>
      <c r="D279" s="9"/>
      <c r="E279" s="10"/>
      <c r="F279" s="11"/>
      <c r="G279" s="11"/>
      <c r="J279" s="7"/>
      <c r="K279" s="8"/>
      <c r="L279" s="7"/>
      <c r="M279" s="7"/>
      <c r="N279" s="7"/>
      <c r="Q279" s="8"/>
      <c r="R279" s="7"/>
      <c r="S279" s="9"/>
      <c r="T279" s="7"/>
      <c r="U279" s="7"/>
      <c r="V279" s="7"/>
      <c r="AC279" s="7"/>
      <c r="AD279" s="7"/>
      <c r="AE279" s="7"/>
    </row>
    <row r="280">
      <c r="A280" s="7"/>
      <c r="B280" s="7"/>
      <c r="C280" s="7"/>
      <c r="D280" s="9"/>
      <c r="E280" s="10"/>
      <c r="F280" s="11"/>
      <c r="G280" s="11"/>
      <c r="J280" s="7"/>
      <c r="K280" s="8"/>
      <c r="L280" s="7"/>
      <c r="M280" s="7"/>
      <c r="N280" s="7"/>
      <c r="Q280" s="8"/>
      <c r="R280" s="7"/>
      <c r="S280" s="9"/>
      <c r="T280" s="7"/>
      <c r="U280" s="7"/>
      <c r="V280" s="7"/>
      <c r="AC280" s="7"/>
      <c r="AD280" s="7"/>
      <c r="AE280" s="7"/>
    </row>
    <row r="281">
      <c r="A281" s="7"/>
      <c r="B281" s="7"/>
      <c r="C281" s="7"/>
      <c r="D281" s="9"/>
      <c r="E281" s="10"/>
      <c r="F281" s="11"/>
      <c r="G281" s="11"/>
      <c r="J281" s="7"/>
      <c r="K281" s="8"/>
      <c r="L281" s="7"/>
      <c r="M281" s="7"/>
      <c r="N281" s="7"/>
      <c r="Q281" s="8"/>
      <c r="R281" s="7"/>
      <c r="S281" s="9"/>
      <c r="T281" s="7"/>
      <c r="U281" s="7"/>
      <c r="V281" s="7"/>
      <c r="AC281" s="7"/>
      <c r="AD281" s="7"/>
      <c r="AE281" s="7"/>
    </row>
    <row r="282">
      <c r="A282" s="7"/>
      <c r="B282" s="7"/>
      <c r="C282" s="7"/>
      <c r="D282" s="9"/>
      <c r="E282" s="10"/>
      <c r="F282" s="11"/>
      <c r="G282" s="11"/>
      <c r="J282" s="7"/>
      <c r="K282" s="8"/>
      <c r="L282" s="7"/>
      <c r="M282" s="7"/>
      <c r="N282" s="7"/>
      <c r="Q282" s="8"/>
      <c r="R282" s="7"/>
      <c r="S282" s="9"/>
      <c r="T282" s="7"/>
      <c r="U282" s="7"/>
      <c r="V282" s="7"/>
      <c r="AC282" s="7"/>
      <c r="AD282" s="7"/>
      <c r="AE282" s="7"/>
    </row>
    <row r="283">
      <c r="A283" s="7"/>
      <c r="B283" s="7"/>
      <c r="C283" s="7"/>
      <c r="D283" s="9"/>
      <c r="E283" s="10"/>
      <c r="F283" s="11"/>
      <c r="G283" s="11"/>
      <c r="J283" s="7"/>
      <c r="K283" s="8"/>
      <c r="L283" s="7"/>
      <c r="M283" s="7"/>
      <c r="N283" s="7"/>
      <c r="Q283" s="8"/>
      <c r="R283" s="7"/>
      <c r="S283" s="9"/>
      <c r="T283" s="7"/>
      <c r="U283" s="7"/>
      <c r="V283" s="7"/>
      <c r="AC283" s="7"/>
      <c r="AD283" s="7"/>
      <c r="AE283" s="7"/>
    </row>
    <row r="284">
      <c r="A284" s="7"/>
      <c r="B284" s="7"/>
      <c r="C284" s="7"/>
      <c r="D284" s="9"/>
      <c r="E284" s="10"/>
      <c r="F284" s="11"/>
      <c r="G284" s="11"/>
      <c r="J284" s="7"/>
      <c r="K284" s="8"/>
      <c r="L284" s="7"/>
      <c r="M284" s="7"/>
      <c r="N284" s="7"/>
      <c r="Q284" s="8"/>
      <c r="R284" s="7"/>
      <c r="S284" s="9"/>
      <c r="T284" s="7"/>
      <c r="U284" s="7"/>
      <c r="V284" s="7"/>
      <c r="AC284" s="7"/>
      <c r="AD284" s="7"/>
      <c r="AE284" s="7"/>
    </row>
    <row r="285">
      <c r="A285" s="7"/>
      <c r="B285" s="7"/>
      <c r="C285" s="7"/>
      <c r="D285" s="9"/>
      <c r="E285" s="10"/>
      <c r="F285" s="11"/>
      <c r="G285" s="11"/>
      <c r="J285" s="7"/>
      <c r="K285" s="8"/>
      <c r="L285" s="7"/>
      <c r="M285" s="7"/>
      <c r="N285" s="7"/>
      <c r="Q285" s="8"/>
      <c r="R285" s="7"/>
      <c r="S285" s="9"/>
      <c r="T285" s="7"/>
      <c r="U285" s="7"/>
      <c r="V285" s="7"/>
      <c r="AC285" s="7"/>
      <c r="AD285" s="7"/>
      <c r="AE285" s="7"/>
    </row>
    <row r="286">
      <c r="A286" s="7"/>
      <c r="B286" s="7"/>
      <c r="C286" s="7"/>
      <c r="D286" s="9"/>
      <c r="E286" s="10"/>
      <c r="F286" s="11"/>
      <c r="G286" s="11"/>
      <c r="J286" s="7"/>
      <c r="K286" s="8"/>
      <c r="L286" s="7"/>
      <c r="M286" s="7"/>
      <c r="N286" s="7"/>
      <c r="Q286" s="8"/>
      <c r="R286" s="7"/>
      <c r="S286" s="9"/>
      <c r="T286" s="7"/>
      <c r="U286" s="7"/>
      <c r="V286" s="7"/>
      <c r="AC286" s="7"/>
      <c r="AD286" s="7"/>
      <c r="AE286" s="7"/>
    </row>
    <row r="287">
      <c r="A287" s="7"/>
      <c r="B287" s="7"/>
      <c r="C287" s="7"/>
      <c r="D287" s="9"/>
      <c r="E287" s="10"/>
      <c r="F287" s="11"/>
      <c r="G287" s="11"/>
      <c r="J287" s="7"/>
      <c r="K287" s="8"/>
      <c r="L287" s="7"/>
      <c r="M287" s="7"/>
      <c r="N287" s="7"/>
      <c r="Q287" s="8"/>
      <c r="R287" s="7"/>
      <c r="S287" s="9"/>
      <c r="T287" s="7"/>
      <c r="U287" s="7"/>
      <c r="V287" s="7"/>
      <c r="AC287" s="7"/>
      <c r="AD287" s="7"/>
      <c r="AE287" s="7"/>
    </row>
    <row r="288">
      <c r="A288" s="7"/>
      <c r="B288" s="7"/>
      <c r="C288" s="7"/>
      <c r="D288" s="9"/>
      <c r="E288" s="10"/>
      <c r="F288" s="11"/>
      <c r="G288" s="11"/>
      <c r="J288" s="7"/>
      <c r="K288" s="8"/>
      <c r="L288" s="7"/>
      <c r="M288" s="7"/>
      <c r="N288" s="7"/>
      <c r="Q288" s="8"/>
      <c r="R288" s="7"/>
      <c r="S288" s="9"/>
      <c r="T288" s="7"/>
      <c r="U288" s="7"/>
      <c r="V288" s="7"/>
      <c r="AC288" s="7"/>
      <c r="AD288" s="7"/>
      <c r="AE288" s="7"/>
    </row>
    <row r="289">
      <c r="A289" s="7"/>
      <c r="B289" s="7"/>
      <c r="C289" s="7"/>
      <c r="D289" s="9"/>
      <c r="E289" s="10"/>
      <c r="F289" s="11"/>
      <c r="G289" s="11"/>
      <c r="J289" s="7"/>
      <c r="K289" s="8"/>
      <c r="L289" s="7"/>
      <c r="M289" s="7"/>
      <c r="N289" s="7"/>
      <c r="Q289" s="8"/>
      <c r="R289" s="7"/>
      <c r="S289" s="9"/>
      <c r="T289" s="7"/>
      <c r="U289" s="7"/>
      <c r="V289" s="7"/>
      <c r="AC289" s="7"/>
      <c r="AD289" s="7"/>
      <c r="AE289" s="7"/>
    </row>
    <row r="290">
      <c r="A290" s="7"/>
      <c r="B290" s="7"/>
      <c r="C290" s="7"/>
      <c r="D290" s="9"/>
      <c r="E290" s="10"/>
      <c r="F290" s="11"/>
      <c r="G290" s="11"/>
      <c r="J290" s="7"/>
      <c r="K290" s="8"/>
      <c r="L290" s="7"/>
      <c r="M290" s="7"/>
      <c r="N290" s="7"/>
      <c r="Q290" s="8"/>
      <c r="R290" s="7"/>
      <c r="S290" s="9"/>
      <c r="T290" s="7"/>
      <c r="U290" s="7"/>
      <c r="V290" s="7"/>
      <c r="AC290" s="7"/>
      <c r="AD290" s="7"/>
      <c r="AE290" s="7"/>
    </row>
    <row r="291">
      <c r="A291" s="7"/>
      <c r="B291" s="7"/>
      <c r="C291" s="7"/>
      <c r="D291" s="9"/>
      <c r="E291" s="10"/>
      <c r="F291" s="11"/>
      <c r="G291" s="11"/>
      <c r="J291" s="7"/>
      <c r="K291" s="8"/>
      <c r="L291" s="7"/>
      <c r="M291" s="7"/>
      <c r="N291" s="7"/>
      <c r="Q291" s="8"/>
      <c r="R291" s="7"/>
      <c r="S291" s="9"/>
      <c r="T291" s="7"/>
      <c r="U291" s="7"/>
      <c r="V291" s="7"/>
      <c r="AC291" s="7"/>
      <c r="AD291" s="7"/>
      <c r="AE291" s="7"/>
    </row>
    <row r="292">
      <c r="A292" s="7"/>
      <c r="B292" s="7"/>
      <c r="C292" s="7"/>
      <c r="D292" s="9"/>
      <c r="E292" s="10"/>
      <c r="F292" s="11"/>
      <c r="G292" s="11"/>
      <c r="J292" s="7"/>
      <c r="K292" s="8"/>
      <c r="L292" s="7"/>
      <c r="M292" s="7"/>
      <c r="N292" s="7"/>
      <c r="Q292" s="8"/>
      <c r="R292" s="7"/>
      <c r="S292" s="9"/>
      <c r="T292" s="7"/>
      <c r="U292" s="7"/>
      <c r="V292" s="7"/>
      <c r="AC292" s="7"/>
      <c r="AD292" s="7"/>
      <c r="AE292" s="7"/>
    </row>
    <row r="293">
      <c r="A293" s="7"/>
      <c r="B293" s="7"/>
      <c r="C293" s="7"/>
      <c r="D293" s="9"/>
      <c r="E293" s="10"/>
      <c r="F293" s="11"/>
      <c r="G293" s="11"/>
      <c r="J293" s="7"/>
      <c r="K293" s="8"/>
      <c r="L293" s="7"/>
      <c r="M293" s="7"/>
      <c r="N293" s="7"/>
      <c r="Q293" s="8"/>
      <c r="R293" s="7"/>
      <c r="S293" s="9"/>
      <c r="T293" s="7"/>
      <c r="U293" s="7"/>
      <c r="V293" s="7"/>
      <c r="AC293" s="7"/>
      <c r="AD293" s="7"/>
      <c r="AE293" s="7"/>
    </row>
    <row r="294">
      <c r="A294" s="7"/>
      <c r="B294" s="7"/>
      <c r="C294" s="7"/>
      <c r="D294" s="9"/>
      <c r="E294" s="10"/>
      <c r="F294" s="11"/>
      <c r="G294" s="11"/>
      <c r="J294" s="7"/>
      <c r="K294" s="8"/>
      <c r="L294" s="7"/>
      <c r="M294" s="7"/>
      <c r="N294" s="7"/>
      <c r="Q294" s="8"/>
      <c r="R294" s="7"/>
      <c r="S294" s="9"/>
      <c r="T294" s="7"/>
      <c r="U294" s="7"/>
      <c r="V294" s="7"/>
      <c r="AC294" s="7"/>
      <c r="AD294" s="7"/>
      <c r="AE294" s="7"/>
    </row>
    <row r="295">
      <c r="A295" s="7"/>
      <c r="B295" s="7"/>
      <c r="C295" s="7"/>
      <c r="D295" s="9"/>
      <c r="E295" s="10"/>
      <c r="F295" s="11"/>
      <c r="G295" s="11"/>
      <c r="J295" s="7"/>
      <c r="K295" s="8"/>
      <c r="L295" s="7"/>
      <c r="M295" s="7"/>
      <c r="N295" s="7"/>
      <c r="Q295" s="8"/>
      <c r="R295" s="7"/>
      <c r="S295" s="9"/>
      <c r="T295" s="7"/>
      <c r="U295" s="7"/>
      <c r="V295" s="7"/>
      <c r="AC295" s="7"/>
      <c r="AD295" s="7"/>
      <c r="AE295" s="7"/>
    </row>
    <row r="296">
      <c r="A296" s="7"/>
      <c r="B296" s="7"/>
      <c r="C296" s="7"/>
      <c r="D296" s="9"/>
      <c r="E296" s="10"/>
      <c r="F296" s="11"/>
      <c r="G296" s="11"/>
      <c r="J296" s="7"/>
      <c r="K296" s="8"/>
      <c r="L296" s="7"/>
      <c r="M296" s="7"/>
      <c r="N296" s="7"/>
      <c r="Q296" s="8"/>
      <c r="R296" s="7"/>
      <c r="S296" s="9"/>
      <c r="T296" s="7"/>
      <c r="U296" s="7"/>
      <c r="V296" s="7"/>
      <c r="AC296" s="7"/>
      <c r="AD296" s="7"/>
      <c r="AE296" s="7"/>
    </row>
    <row r="297">
      <c r="A297" s="7"/>
      <c r="B297" s="7"/>
      <c r="C297" s="7"/>
      <c r="D297" s="9"/>
      <c r="E297" s="10"/>
      <c r="F297" s="11"/>
      <c r="G297" s="11"/>
      <c r="J297" s="7"/>
      <c r="K297" s="8"/>
      <c r="L297" s="7"/>
      <c r="M297" s="7"/>
      <c r="N297" s="7"/>
      <c r="Q297" s="8"/>
      <c r="R297" s="7"/>
      <c r="S297" s="9"/>
      <c r="T297" s="7"/>
      <c r="U297" s="7"/>
      <c r="V297" s="7"/>
      <c r="AC297" s="7"/>
      <c r="AD297" s="7"/>
      <c r="AE297" s="7"/>
    </row>
    <row r="298">
      <c r="A298" s="7"/>
      <c r="B298" s="7"/>
      <c r="C298" s="7"/>
      <c r="D298" s="9"/>
      <c r="E298" s="10"/>
      <c r="F298" s="11"/>
      <c r="G298" s="11"/>
      <c r="J298" s="7"/>
      <c r="K298" s="8"/>
      <c r="L298" s="7"/>
      <c r="M298" s="7"/>
      <c r="N298" s="7"/>
      <c r="Q298" s="8"/>
      <c r="R298" s="7"/>
      <c r="S298" s="9"/>
      <c r="T298" s="7"/>
      <c r="U298" s="7"/>
      <c r="V298" s="7"/>
      <c r="AC298" s="7"/>
      <c r="AD298" s="7"/>
      <c r="AE298" s="7"/>
    </row>
    <row r="299">
      <c r="A299" s="7"/>
      <c r="B299" s="7"/>
      <c r="C299" s="7"/>
      <c r="D299" s="9"/>
      <c r="E299" s="10"/>
      <c r="F299" s="11"/>
      <c r="G299" s="11"/>
      <c r="J299" s="7"/>
      <c r="K299" s="8"/>
      <c r="L299" s="7"/>
      <c r="M299" s="7"/>
      <c r="N299" s="7"/>
      <c r="Q299" s="8"/>
      <c r="R299" s="7"/>
      <c r="S299" s="9"/>
      <c r="T299" s="7"/>
      <c r="U299" s="7"/>
      <c r="V299" s="7"/>
      <c r="AC299" s="7"/>
      <c r="AD299" s="7"/>
      <c r="AE299" s="7"/>
    </row>
    <row r="300">
      <c r="A300" s="7"/>
      <c r="B300" s="7"/>
      <c r="C300" s="7"/>
      <c r="D300" s="9"/>
      <c r="E300" s="10"/>
      <c r="F300" s="11"/>
      <c r="G300" s="11"/>
      <c r="J300" s="7"/>
      <c r="K300" s="8"/>
      <c r="L300" s="7"/>
      <c r="M300" s="7"/>
      <c r="N300" s="7"/>
      <c r="Q300" s="8"/>
      <c r="R300" s="7"/>
      <c r="S300" s="9"/>
      <c r="T300" s="7"/>
      <c r="U300" s="7"/>
      <c r="V300" s="7"/>
      <c r="AC300" s="7"/>
      <c r="AD300" s="7"/>
      <c r="AE300" s="7"/>
    </row>
    <row r="301">
      <c r="A301" s="7"/>
      <c r="B301" s="7"/>
      <c r="C301" s="7"/>
      <c r="D301" s="9"/>
      <c r="E301" s="10"/>
      <c r="F301" s="11"/>
      <c r="G301" s="11"/>
      <c r="J301" s="7"/>
      <c r="K301" s="8"/>
      <c r="L301" s="7"/>
      <c r="M301" s="7"/>
      <c r="N301" s="7"/>
      <c r="Q301" s="8"/>
      <c r="R301" s="7"/>
      <c r="S301" s="9"/>
      <c r="T301" s="7"/>
      <c r="U301" s="7"/>
      <c r="V301" s="7"/>
      <c r="AC301" s="7"/>
      <c r="AD301" s="7"/>
      <c r="AE301" s="7"/>
    </row>
    <row r="302">
      <c r="A302" s="7"/>
      <c r="B302" s="7"/>
      <c r="C302" s="7"/>
      <c r="D302" s="9"/>
      <c r="E302" s="10"/>
      <c r="F302" s="11"/>
      <c r="G302" s="11"/>
      <c r="J302" s="7"/>
      <c r="K302" s="8"/>
      <c r="L302" s="7"/>
      <c r="M302" s="7"/>
      <c r="N302" s="7"/>
      <c r="Q302" s="8"/>
      <c r="R302" s="7"/>
      <c r="S302" s="9"/>
      <c r="T302" s="7"/>
      <c r="U302" s="7"/>
      <c r="V302" s="7"/>
      <c r="AC302" s="7"/>
      <c r="AD302" s="7"/>
      <c r="AE302" s="7"/>
    </row>
    <row r="303">
      <c r="A303" s="7"/>
      <c r="B303" s="7"/>
      <c r="C303" s="7"/>
      <c r="D303" s="9"/>
      <c r="E303" s="10"/>
      <c r="F303" s="11"/>
      <c r="G303" s="11"/>
      <c r="J303" s="7"/>
      <c r="K303" s="8"/>
      <c r="L303" s="7"/>
      <c r="M303" s="7"/>
      <c r="N303" s="7"/>
      <c r="Q303" s="8"/>
      <c r="R303" s="7"/>
      <c r="S303" s="9"/>
      <c r="T303" s="7"/>
      <c r="U303" s="7"/>
      <c r="V303" s="7"/>
      <c r="AC303" s="7"/>
      <c r="AD303" s="7"/>
      <c r="AE303" s="7"/>
    </row>
    <row r="304">
      <c r="A304" s="7"/>
      <c r="B304" s="7"/>
      <c r="C304" s="7"/>
      <c r="D304" s="9"/>
      <c r="E304" s="10"/>
      <c r="F304" s="11"/>
      <c r="G304" s="11"/>
      <c r="J304" s="7"/>
      <c r="K304" s="8"/>
      <c r="L304" s="7"/>
      <c r="M304" s="7"/>
      <c r="N304" s="7"/>
      <c r="Q304" s="8"/>
      <c r="R304" s="7"/>
      <c r="S304" s="9"/>
      <c r="T304" s="7"/>
      <c r="U304" s="7"/>
      <c r="V304" s="7"/>
      <c r="AC304" s="7"/>
      <c r="AD304" s="7"/>
      <c r="AE304" s="7"/>
    </row>
    <row r="305">
      <c r="A305" s="7"/>
      <c r="B305" s="7"/>
      <c r="C305" s="7"/>
      <c r="D305" s="9"/>
      <c r="E305" s="10"/>
      <c r="F305" s="11"/>
      <c r="G305" s="11"/>
      <c r="J305" s="7"/>
      <c r="K305" s="8"/>
      <c r="L305" s="7"/>
      <c r="M305" s="7"/>
      <c r="N305" s="7"/>
      <c r="Q305" s="8"/>
      <c r="R305" s="7"/>
      <c r="S305" s="9"/>
      <c r="T305" s="7"/>
      <c r="U305" s="7"/>
      <c r="V305" s="7"/>
      <c r="AC305" s="7"/>
      <c r="AD305" s="7"/>
      <c r="AE305" s="7"/>
    </row>
    <row r="306">
      <c r="A306" s="7"/>
      <c r="B306" s="7"/>
      <c r="C306" s="7"/>
      <c r="D306" s="9"/>
      <c r="E306" s="10"/>
      <c r="F306" s="11"/>
      <c r="G306" s="11"/>
      <c r="J306" s="7"/>
      <c r="K306" s="8"/>
      <c r="L306" s="7"/>
      <c r="M306" s="7"/>
      <c r="N306" s="7"/>
      <c r="Q306" s="8"/>
      <c r="R306" s="7"/>
      <c r="S306" s="9"/>
      <c r="T306" s="7"/>
      <c r="U306" s="7"/>
      <c r="V306" s="7"/>
      <c r="AC306" s="7"/>
      <c r="AD306" s="7"/>
      <c r="AE306" s="7"/>
    </row>
    <row r="307">
      <c r="A307" s="7"/>
      <c r="B307" s="7"/>
      <c r="C307" s="7"/>
      <c r="D307" s="9"/>
      <c r="E307" s="10"/>
      <c r="F307" s="11"/>
      <c r="G307" s="11"/>
      <c r="J307" s="7"/>
      <c r="K307" s="8"/>
      <c r="L307" s="7"/>
      <c r="M307" s="7"/>
      <c r="N307" s="7"/>
      <c r="Q307" s="8"/>
      <c r="R307" s="7"/>
      <c r="S307" s="9"/>
      <c r="T307" s="7"/>
      <c r="U307" s="7"/>
      <c r="V307" s="7"/>
      <c r="AC307" s="7"/>
      <c r="AD307" s="7"/>
      <c r="AE307" s="7"/>
    </row>
    <row r="308">
      <c r="A308" s="7"/>
      <c r="B308" s="7"/>
      <c r="C308" s="7"/>
      <c r="D308" s="9"/>
      <c r="E308" s="10"/>
      <c r="F308" s="11"/>
      <c r="G308" s="11"/>
      <c r="J308" s="7"/>
      <c r="K308" s="8"/>
      <c r="L308" s="7"/>
      <c r="M308" s="7"/>
      <c r="N308" s="7"/>
      <c r="Q308" s="8"/>
      <c r="R308" s="7"/>
      <c r="S308" s="9"/>
      <c r="T308" s="7"/>
      <c r="U308" s="7"/>
      <c r="V308" s="7"/>
      <c r="AC308" s="7"/>
      <c r="AD308" s="7"/>
      <c r="AE308" s="7"/>
    </row>
    <row r="309">
      <c r="A309" s="7"/>
      <c r="B309" s="7"/>
      <c r="C309" s="7"/>
      <c r="D309" s="9"/>
      <c r="E309" s="10"/>
      <c r="F309" s="11"/>
      <c r="G309" s="11"/>
      <c r="J309" s="7"/>
      <c r="K309" s="8"/>
      <c r="L309" s="7"/>
      <c r="M309" s="7"/>
      <c r="N309" s="7"/>
      <c r="Q309" s="8"/>
      <c r="R309" s="7"/>
      <c r="S309" s="9"/>
      <c r="T309" s="7"/>
      <c r="U309" s="7"/>
      <c r="V309" s="7"/>
      <c r="AC309" s="7"/>
      <c r="AD309" s="7"/>
      <c r="AE309" s="7"/>
    </row>
    <row r="310">
      <c r="A310" s="7"/>
      <c r="B310" s="7"/>
      <c r="C310" s="7"/>
      <c r="D310" s="9"/>
      <c r="E310" s="10"/>
      <c r="F310" s="11"/>
      <c r="G310" s="11"/>
      <c r="J310" s="7"/>
      <c r="K310" s="8"/>
      <c r="L310" s="7"/>
      <c r="M310" s="7"/>
      <c r="N310" s="7"/>
      <c r="Q310" s="8"/>
      <c r="R310" s="7"/>
      <c r="S310" s="9"/>
      <c r="T310" s="7"/>
      <c r="U310" s="7"/>
      <c r="V310" s="7"/>
      <c r="AC310" s="7"/>
      <c r="AD310" s="7"/>
      <c r="AE310" s="7"/>
    </row>
    <row r="311">
      <c r="A311" s="7"/>
      <c r="B311" s="7"/>
      <c r="C311" s="7"/>
      <c r="D311" s="9"/>
      <c r="E311" s="10"/>
      <c r="F311" s="11"/>
      <c r="G311" s="11"/>
      <c r="J311" s="7"/>
      <c r="K311" s="8"/>
      <c r="L311" s="7"/>
      <c r="M311" s="7"/>
      <c r="N311" s="7"/>
      <c r="Q311" s="8"/>
      <c r="R311" s="7"/>
      <c r="S311" s="9"/>
      <c r="T311" s="7"/>
      <c r="U311" s="7"/>
      <c r="V311" s="7"/>
      <c r="AC311" s="7"/>
      <c r="AD311" s="7"/>
      <c r="AE311" s="7"/>
    </row>
    <row r="312">
      <c r="A312" s="7"/>
      <c r="B312" s="7"/>
      <c r="C312" s="7"/>
      <c r="D312" s="9"/>
      <c r="E312" s="10"/>
      <c r="F312" s="11"/>
      <c r="G312" s="11"/>
      <c r="J312" s="7"/>
      <c r="K312" s="8"/>
      <c r="L312" s="7"/>
      <c r="M312" s="7"/>
      <c r="N312" s="7"/>
      <c r="Q312" s="8"/>
      <c r="R312" s="7"/>
      <c r="S312" s="9"/>
      <c r="T312" s="7"/>
      <c r="U312" s="7"/>
      <c r="V312" s="7"/>
      <c r="AC312" s="7"/>
      <c r="AD312" s="7"/>
      <c r="AE312" s="7"/>
    </row>
    <row r="313">
      <c r="A313" s="7"/>
      <c r="B313" s="7"/>
      <c r="C313" s="7"/>
      <c r="D313" s="9"/>
      <c r="E313" s="10"/>
      <c r="F313" s="11"/>
      <c r="G313" s="11"/>
      <c r="J313" s="7"/>
      <c r="K313" s="8"/>
      <c r="L313" s="7"/>
      <c r="M313" s="7"/>
      <c r="N313" s="7"/>
      <c r="Q313" s="8"/>
      <c r="R313" s="7"/>
      <c r="S313" s="9"/>
      <c r="T313" s="7"/>
      <c r="U313" s="7"/>
      <c r="V313" s="7"/>
      <c r="AC313" s="7"/>
      <c r="AD313" s="7"/>
      <c r="AE313" s="7"/>
    </row>
    <row r="314">
      <c r="A314" s="7"/>
      <c r="B314" s="7"/>
      <c r="C314" s="7"/>
      <c r="D314" s="9"/>
      <c r="E314" s="10"/>
      <c r="F314" s="11"/>
      <c r="G314" s="11"/>
      <c r="J314" s="7"/>
      <c r="K314" s="8"/>
      <c r="L314" s="7"/>
      <c r="M314" s="7"/>
      <c r="N314" s="7"/>
      <c r="Q314" s="8"/>
      <c r="R314" s="7"/>
      <c r="S314" s="9"/>
      <c r="T314" s="7"/>
      <c r="U314" s="7"/>
      <c r="V314" s="7"/>
      <c r="AC314" s="7"/>
      <c r="AD314" s="7"/>
      <c r="AE314" s="7"/>
    </row>
    <row r="315">
      <c r="A315" s="7"/>
      <c r="B315" s="7"/>
      <c r="C315" s="7"/>
      <c r="D315" s="9"/>
      <c r="E315" s="10"/>
      <c r="F315" s="11"/>
      <c r="G315" s="11"/>
      <c r="J315" s="7"/>
      <c r="K315" s="8"/>
      <c r="L315" s="7"/>
      <c r="M315" s="7"/>
      <c r="N315" s="7"/>
      <c r="Q315" s="8"/>
      <c r="R315" s="7"/>
      <c r="S315" s="9"/>
      <c r="T315" s="7"/>
      <c r="U315" s="7"/>
      <c r="V315" s="7"/>
      <c r="AC315" s="7"/>
      <c r="AD315" s="7"/>
      <c r="AE315" s="7"/>
    </row>
    <row r="316">
      <c r="A316" s="7"/>
      <c r="B316" s="7"/>
      <c r="C316" s="7"/>
      <c r="D316" s="9"/>
      <c r="E316" s="10"/>
      <c r="F316" s="11"/>
      <c r="G316" s="11"/>
      <c r="J316" s="7"/>
      <c r="K316" s="8"/>
      <c r="L316" s="7"/>
      <c r="M316" s="7"/>
      <c r="N316" s="7"/>
      <c r="Q316" s="8"/>
      <c r="R316" s="7"/>
      <c r="S316" s="9"/>
      <c r="T316" s="7"/>
      <c r="U316" s="7"/>
      <c r="V316" s="7"/>
      <c r="AC316" s="7"/>
      <c r="AD316" s="7"/>
      <c r="AE316" s="7"/>
    </row>
    <row r="317">
      <c r="A317" s="7"/>
      <c r="B317" s="7"/>
      <c r="C317" s="7"/>
      <c r="D317" s="9"/>
      <c r="E317" s="10"/>
      <c r="F317" s="11"/>
      <c r="G317" s="11"/>
      <c r="J317" s="7"/>
      <c r="K317" s="8"/>
      <c r="L317" s="7"/>
      <c r="M317" s="7"/>
      <c r="N317" s="7"/>
      <c r="Q317" s="8"/>
      <c r="R317" s="7"/>
      <c r="S317" s="9"/>
      <c r="T317" s="7"/>
      <c r="U317" s="7"/>
      <c r="V317" s="7"/>
      <c r="AC317" s="7"/>
      <c r="AD317" s="7"/>
      <c r="AE317" s="7"/>
    </row>
    <row r="318">
      <c r="A318" s="7"/>
      <c r="B318" s="7"/>
      <c r="C318" s="7"/>
      <c r="D318" s="9"/>
      <c r="E318" s="10"/>
      <c r="F318" s="11"/>
      <c r="G318" s="11"/>
      <c r="J318" s="7"/>
      <c r="K318" s="8"/>
      <c r="L318" s="7"/>
      <c r="M318" s="7"/>
      <c r="N318" s="7"/>
      <c r="Q318" s="8"/>
      <c r="R318" s="7"/>
      <c r="S318" s="9"/>
      <c r="T318" s="7"/>
      <c r="U318" s="7"/>
      <c r="V318" s="7"/>
      <c r="AC318" s="7"/>
      <c r="AD318" s="7"/>
      <c r="AE318" s="7"/>
    </row>
    <row r="319">
      <c r="A319" s="7"/>
      <c r="B319" s="7"/>
      <c r="C319" s="7"/>
      <c r="D319" s="9"/>
      <c r="E319" s="10"/>
      <c r="F319" s="11"/>
      <c r="G319" s="11"/>
      <c r="J319" s="7"/>
      <c r="K319" s="8"/>
      <c r="L319" s="7"/>
      <c r="M319" s="7"/>
      <c r="N319" s="7"/>
      <c r="Q319" s="8"/>
      <c r="R319" s="7"/>
      <c r="S319" s="9"/>
      <c r="T319" s="7"/>
      <c r="U319" s="7"/>
      <c r="V319" s="7"/>
      <c r="AC319" s="7"/>
      <c r="AD319" s="7"/>
      <c r="AE319" s="7"/>
    </row>
    <row r="320">
      <c r="A320" s="7"/>
      <c r="B320" s="7"/>
      <c r="C320" s="7"/>
      <c r="D320" s="9"/>
      <c r="E320" s="10"/>
      <c r="F320" s="11"/>
      <c r="G320" s="11"/>
      <c r="J320" s="7"/>
      <c r="K320" s="8"/>
      <c r="L320" s="7"/>
      <c r="M320" s="7"/>
      <c r="N320" s="7"/>
      <c r="Q320" s="8"/>
      <c r="R320" s="7"/>
      <c r="S320" s="9"/>
      <c r="T320" s="7"/>
      <c r="U320" s="7"/>
      <c r="V320" s="7"/>
      <c r="AC320" s="7"/>
      <c r="AD320" s="7"/>
      <c r="AE320" s="7"/>
    </row>
    <row r="321">
      <c r="A321" s="7"/>
      <c r="B321" s="7"/>
      <c r="C321" s="7"/>
      <c r="D321" s="9"/>
      <c r="E321" s="10"/>
      <c r="F321" s="11"/>
      <c r="G321" s="11"/>
      <c r="J321" s="7"/>
      <c r="K321" s="8"/>
      <c r="L321" s="7"/>
      <c r="M321" s="7"/>
      <c r="N321" s="7"/>
      <c r="Q321" s="8"/>
      <c r="R321" s="7"/>
      <c r="S321" s="9"/>
      <c r="T321" s="7"/>
      <c r="U321" s="7"/>
      <c r="V321" s="7"/>
      <c r="AC321" s="7"/>
      <c r="AD321" s="7"/>
      <c r="AE321" s="7"/>
    </row>
    <row r="322">
      <c r="A322" s="7"/>
      <c r="B322" s="7"/>
      <c r="C322" s="7"/>
      <c r="D322" s="9"/>
      <c r="E322" s="10"/>
      <c r="F322" s="11"/>
      <c r="G322" s="11"/>
      <c r="J322" s="7"/>
      <c r="K322" s="8"/>
      <c r="L322" s="7"/>
      <c r="M322" s="7"/>
      <c r="N322" s="7"/>
      <c r="Q322" s="8"/>
      <c r="R322" s="7"/>
      <c r="S322" s="9"/>
      <c r="T322" s="7"/>
      <c r="U322" s="7"/>
      <c r="V322" s="7"/>
      <c r="AC322" s="7"/>
      <c r="AD322" s="7"/>
      <c r="AE322" s="7"/>
    </row>
    <row r="323">
      <c r="A323" s="7"/>
      <c r="B323" s="7"/>
      <c r="C323" s="7"/>
      <c r="D323" s="9"/>
      <c r="E323" s="10"/>
      <c r="F323" s="11"/>
      <c r="G323" s="11"/>
      <c r="J323" s="7"/>
      <c r="K323" s="8"/>
      <c r="L323" s="7"/>
      <c r="M323" s="7"/>
      <c r="N323" s="7"/>
      <c r="Q323" s="8"/>
      <c r="R323" s="7"/>
      <c r="S323" s="9"/>
      <c r="T323" s="7"/>
      <c r="U323" s="7"/>
      <c r="V323" s="7"/>
      <c r="AC323" s="7"/>
      <c r="AD323" s="7"/>
      <c r="AE323" s="7"/>
    </row>
    <row r="324">
      <c r="A324" s="7"/>
      <c r="B324" s="7"/>
      <c r="C324" s="7"/>
      <c r="D324" s="9"/>
      <c r="E324" s="10"/>
      <c r="F324" s="11"/>
      <c r="G324" s="11"/>
      <c r="J324" s="7"/>
      <c r="K324" s="8"/>
      <c r="L324" s="7"/>
      <c r="M324" s="7"/>
      <c r="N324" s="7"/>
      <c r="Q324" s="8"/>
      <c r="R324" s="7"/>
      <c r="S324" s="9"/>
      <c r="T324" s="7"/>
      <c r="U324" s="7"/>
      <c r="V324" s="7"/>
      <c r="AC324" s="7"/>
      <c r="AD324" s="7"/>
      <c r="AE324" s="7"/>
    </row>
    <row r="325">
      <c r="A325" s="7"/>
      <c r="B325" s="7"/>
      <c r="C325" s="7"/>
      <c r="D325" s="9"/>
      <c r="E325" s="10"/>
      <c r="F325" s="11"/>
      <c r="G325" s="11"/>
      <c r="J325" s="7"/>
      <c r="K325" s="8"/>
      <c r="L325" s="7"/>
      <c r="M325" s="7"/>
      <c r="N325" s="7"/>
      <c r="Q325" s="8"/>
      <c r="R325" s="7"/>
      <c r="S325" s="9"/>
      <c r="T325" s="7"/>
      <c r="U325" s="7"/>
      <c r="V325" s="7"/>
      <c r="AC325" s="7"/>
      <c r="AD325" s="7"/>
      <c r="AE325" s="7"/>
    </row>
    <row r="326">
      <c r="A326" s="7"/>
      <c r="B326" s="7"/>
      <c r="C326" s="7"/>
      <c r="D326" s="9"/>
      <c r="E326" s="10"/>
      <c r="F326" s="11"/>
      <c r="G326" s="11"/>
      <c r="J326" s="7"/>
      <c r="K326" s="8"/>
      <c r="L326" s="7"/>
      <c r="M326" s="7"/>
      <c r="N326" s="7"/>
      <c r="Q326" s="8"/>
      <c r="R326" s="7"/>
      <c r="S326" s="9"/>
      <c r="T326" s="7"/>
      <c r="U326" s="7"/>
      <c r="V326" s="7"/>
      <c r="AC326" s="7"/>
      <c r="AD326" s="7"/>
      <c r="AE326" s="7"/>
    </row>
    <row r="327">
      <c r="A327" s="7"/>
      <c r="B327" s="7"/>
      <c r="C327" s="7"/>
      <c r="D327" s="9"/>
      <c r="E327" s="10"/>
      <c r="F327" s="11"/>
      <c r="G327" s="11"/>
      <c r="J327" s="7"/>
      <c r="K327" s="8"/>
      <c r="L327" s="7"/>
      <c r="M327" s="7"/>
      <c r="N327" s="7"/>
      <c r="Q327" s="8"/>
      <c r="R327" s="7"/>
      <c r="S327" s="9"/>
      <c r="T327" s="7"/>
      <c r="U327" s="7"/>
      <c r="V327" s="7"/>
      <c r="AC327" s="7"/>
      <c r="AD327" s="7"/>
      <c r="AE327" s="7"/>
    </row>
    <row r="328">
      <c r="A328" s="7"/>
      <c r="B328" s="7"/>
      <c r="C328" s="7"/>
      <c r="D328" s="9"/>
      <c r="E328" s="10"/>
      <c r="F328" s="11"/>
      <c r="G328" s="11"/>
      <c r="J328" s="7"/>
      <c r="K328" s="8"/>
      <c r="L328" s="7"/>
      <c r="M328" s="7"/>
      <c r="N328" s="7"/>
      <c r="Q328" s="8"/>
      <c r="R328" s="7"/>
      <c r="S328" s="9"/>
      <c r="T328" s="7"/>
      <c r="U328" s="7"/>
      <c r="V328" s="7"/>
      <c r="AC328" s="7"/>
      <c r="AD328" s="7"/>
      <c r="AE328" s="7"/>
    </row>
    <row r="329">
      <c r="A329" s="7"/>
      <c r="B329" s="7"/>
      <c r="C329" s="7"/>
      <c r="D329" s="9"/>
      <c r="E329" s="10"/>
      <c r="F329" s="11"/>
      <c r="G329" s="11"/>
      <c r="J329" s="7"/>
      <c r="K329" s="8"/>
      <c r="L329" s="7"/>
      <c r="M329" s="7"/>
      <c r="N329" s="7"/>
      <c r="Q329" s="8"/>
      <c r="R329" s="7"/>
      <c r="S329" s="9"/>
      <c r="T329" s="7"/>
      <c r="U329" s="7"/>
      <c r="V329" s="7"/>
      <c r="AC329" s="7"/>
      <c r="AD329" s="7"/>
      <c r="AE329" s="7"/>
    </row>
    <row r="330">
      <c r="A330" s="7"/>
      <c r="B330" s="7"/>
      <c r="C330" s="7"/>
      <c r="D330" s="9"/>
      <c r="E330" s="10"/>
      <c r="F330" s="11"/>
      <c r="G330" s="11"/>
      <c r="J330" s="7"/>
      <c r="K330" s="8"/>
      <c r="L330" s="7"/>
      <c r="M330" s="7"/>
      <c r="N330" s="7"/>
      <c r="Q330" s="8"/>
      <c r="R330" s="7"/>
      <c r="S330" s="9"/>
      <c r="T330" s="7"/>
      <c r="U330" s="7"/>
      <c r="V330" s="7"/>
      <c r="AC330" s="7"/>
      <c r="AD330" s="7"/>
      <c r="AE330" s="7"/>
    </row>
    <row r="331">
      <c r="A331" s="7"/>
      <c r="B331" s="7"/>
      <c r="C331" s="7"/>
      <c r="D331" s="9"/>
      <c r="E331" s="10"/>
      <c r="F331" s="11"/>
      <c r="G331" s="11"/>
      <c r="J331" s="7"/>
      <c r="K331" s="8"/>
      <c r="L331" s="7"/>
      <c r="M331" s="7"/>
      <c r="N331" s="7"/>
      <c r="Q331" s="8"/>
      <c r="R331" s="7"/>
      <c r="S331" s="9"/>
      <c r="T331" s="7"/>
      <c r="U331" s="7"/>
      <c r="V331" s="7"/>
      <c r="AC331" s="7"/>
      <c r="AD331" s="7"/>
      <c r="AE331" s="7"/>
    </row>
    <row r="332">
      <c r="A332" s="7"/>
      <c r="B332" s="7"/>
      <c r="C332" s="7"/>
      <c r="D332" s="9"/>
      <c r="E332" s="10"/>
      <c r="F332" s="11"/>
      <c r="G332" s="11"/>
      <c r="J332" s="7"/>
      <c r="K332" s="8"/>
      <c r="L332" s="7"/>
      <c r="M332" s="7"/>
      <c r="N332" s="7"/>
      <c r="Q332" s="8"/>
      <c r="R332" s="7"/>
      <c r="S332" s="9"/>
      <c r="T332" s="7"/>
      <c r="U332" s="7"/>
      <c r="V332" s="7"/>
      <c r="AC332" s="7"/>
      <c r="AD332" s="7"/>
      <c r="AE332" s="7"/>
    </row>
    <row r="333">
      <c r="A333" s="7"/>
      <c r="B333" s="7"/>
      <c r="C333" s="7"/>
      <c r="D333" s="9"/>
      <c r="E333" s="10"/>
      <c r="F333" s="11"/>
      <c r="G333" s="11"/>
      <c r="J333" s="7"/>
      <c r="K333" s="8"/>
      <c r="L333" s="7"/>
      <c r="M333" s="7"/>
      <c r="N333" s="7"/>
      <c r="Q333" s="8"/>
      <c r="R333" s="7"/>
      <c r="S333" s="9"/>
      <c r="T333" s="7"/>
      <c r="U333" s="7"/>
      <c r="V333" s="7"/>
      <c r="AC333" s="7"/>
      <c r="AD333" s="7"/>
      <c r="AE333" s="7"/>
    </row>
    <row r="334">
      <c r="A334" s="7"/>
      <c r="B334" s="7"/>
      <c r="C334" s="7"/>
      <c r="D334" s="9"/>
      <c r="E334" s="10"/>
      <c r="F334" s="11"/>
      <c r="G334" s="11"/>
      <c r="J334" s="7"/>
      <c r="K334" s="8"/>
      <c r="L334" s="7"/>
      <c r="M334" s="7"/>
      <c r="N334" s="7"/>
      <c r="Q334" s="8"/>
      <c r="R334" s="7"/>
      <c r="S334" s="9"/>
      <c r="T334" s="7"/>
      <c r="U334" s="7"/>
      <c r="V334" s="7"/>
      <c r="AC334" s="7"/>
      <c r="AD334" s="7"/>
      <c r="AE334" s="7"/>
    </row>
    <row r="335">
      <c r="A335" s="7"/>
      <c r="B335" s="7"/>
      <c r="C335" s="7"/>
      <c r="D335" s="9"/>
      <c r="E335" s="10"/>
      <c r="F335" s="11"/>
      <c r="G335" s="11"/>
      <c r="J335" s="7"/>
      <c r="K335" s="8"/>
      <c r="L335" s="7"/>
      <c r="M335" s="7"/>
      <c r="N335" s="7"/>
      <c r="Q335" s="8"/>
      <c r="R335" s="7"/>
      <c r="S335" s="9"/>
      <c r="T335" s="7"/>
      <c r="U335" s="7"/>
      <c r="V335" s="7"/>
      <c r="AC335" s="7"/>
      <c r="AD335" s="7"/>
      <c r="AE335" s="7"/>
    </row>
    <row r="336">
      <c r="A336" s="7"/>
      <c r="B336" s="7"/>
      <c r="C336" s="7"/>
      <c r="D336" s="9"/>
      <c r="E336" s="10"/>
      <c r="F336" s="11"/>
      <c r="G336" s="11"/>
      <c r="J336" s="7"/>
      <c r="K336" s="8"/>
      <c r="L336" s="7"/>
      <c r="M336" s="7"/>
      <c r="N336" s="7"/>
      <c r="Q336" s="8"/>
      <c r="R336" s="7"/>
      <c r="S336" s="9"/>
      <c r="T336" s="7"/>
      <c r="U336" s="7"/>
      <c r="V336" s="7"/>
      <c r="AC336" s="7"/>
      <c r="AD336" s="7"/>
      <c r="AE336" s="7"/>
    </row>
    <row r="337">
      <c r="A337" s="7"/>
      <c r="B337" s="7"/>
      <c r="C337" s="7"/>
      <c r="D337" s="9"/>
      <c r="E337" s="10"/>
      <c r="F337" s="11"/>
      <c r="G337" s="11"/>
      <c r="J337" s="7"/>
      <c r="K337" s="8"/>
      <c r="L337" s="7"/>
      <c r="M337" s="7"/>
      <c r="N337" s="7"/>
      <c r="Q337" s="8"/>
      <c r="R337" s="7"/>
      <c r="S337" s="9"/>
      <c r="T337" s="7"/>
      <c r="U337" s="7"/>
      <c r="V337" s="7"/>
      <c r="AC337" s="7"/>
      <c r="AD337" s="7"/>
      <c r="AE337" s="7"/>
    </row>
    <row r="338">
      <c r="A338" s="7"/>
      <c r="B338" s="7"/>
      <c r="C338" s="7"/>
      <c r="D338" s="9"/>
      <c r="E338" s="10"/>
      <c r="F338" s="11"/>
      <c r="G338" s="11"/>
      <c r="J338" s="7"/>
      <c r="K338" s="8"/>
      <c r="L338" s="7"/>
      <c r="M338" s="7"/>
      <c r="N338" s="7"/>
      <c r="Q338" s="8"/>
      <c r="R338" s="7"/>
      <c r="S338" s="9"/>
      <c r="T338" s="7"/>
      <c r="U338" s="7"/>
      <c r="V338" s="7"/>
      <c r="AC338" s="7"/>
      <c r="AD338" s="7"/>
      <c r="AE338" s="7"/>
    </row>
    <row r="339">
      <c r="A339" s="7"/>
      <c r="B339" s="7"/>
      <c r="C339" s="7"/>
      <c r="D339" s="9"/>
      <c r="E339" s="10"/>
      <c r="F339" s="11"/>
      <c r="G339" s="11"/>
      <c r="J339" s="7"/>
      <c r="K339" s="8"/>
      <c r="L339" s="7"/>
      <c r="M339" s="7"/>
      <c r="N339" s="7"/>
      <c r="Q339" s="8"/>
      <c r="R339" s="7"/>
      <c r="S339" s="9"/>
      <c r="T339" s="7"/>
      <c r="U339" s="7"/>
      <c r="V339" s="7"/>
      <c r="AC339" s="7"/>
      <c r="AD339" s="7"/>
      <c r="AE339" s="7"/>
    </row>
    <row r="340">
      <c r="A340" s="7"/>
      <c r="B340" s="7"/>
      <c r="C340" s="7"/>
      <c r="D340" s="9"/>
      <c r="E340" s="10"/>
      <c r="F340" s="11"/>
      <c r="G340" s="11"/>
      <c r="J340" s="7"/>
      <c r="K340" s="8"/>
      <c r="L340" s="7"/>
      <c r="M340" s="7"/>
      <c r="N340" s="7"/>
      <c r="Q340" s="8"/>
      <c r="R340" s="7"/>
      <c r="S340" s="9"/>
      <c r="T340" s="7"/>
      <c r="U340" s="7"/>
      <c r="V340" s="7"/>
      <c r="AC340" s="7"/>
      <c r="AD340" s="7"/>
      <c r="AE340" s="7"/>
    </row>
    <row r="341">
      <c r="A341" s="7"/>
      <c r="B341" s="7"/>
      <c r="C341" s="7"/>
      <c r="D341" s="9"/>
      <c r="E341" s="10"/>
      <c r="F341" s="11"/>
      <c r="G341" s="11"/>
      <c r="J341" s="7"/>
      <c r="K341" s="8"/>
      <c r="L341" s="7"/>
      <c r="M341" s="7"/>
      <c r="N341" s="7"/>
      <c r="Q341" s="8"/>
      <c r="R341" s="7"/>
      <c r="S341" s="9"/>
      <c r="T341" s="7"/>
      <c r="U341" s="7"/>
      <c r="V341" s="7"/>
      <c r="AC341" s="7"/>
      <c r="AD341" s="7"/>
      <c r="AE341" s="7"/>
    </row>
    <row r="342">
      <c r="A342" s="7"/>
      <c r="B342" s="7"/>
      <c r="C342" s="7"/>
      <c r="D342" s="9"/>
      <c r="E342" s="10"/>
      <c r="F342" s="11"/>
      <c r="G342" s="11"/>
      <c r="J342" s="7"/>
      <c r="K342" s="8"/>
      <c r="L342" s="7"/>
      <c r="M342" s="7"/>
      <c r="N342" s="7"/>
      <c r="Q342" s="8"/>
      <c r="R342" s="7"/>
      <c r="S342" s="9"/>
      <c r="T342" s="7"/>
      <c r="U342" s="7"/>
      <c r="V342" s="7"/>
      <c r="AC342" s="7"/>
      <c r="AD342" s="7"/>
      <c r="AE342" s="7"/>
    </row>
    <row r="343">
      <c r="A343" s="7"/>
      <c r="B343" s="7"/>
      <c r="C343" s="7"/>
      <c r="D343" s="9"/>
      <c r="E343" s="10"/>
      <c r="F343" s="11"/>
      <c r="G343" s="11"/>
      <c r="J343" s="7"/>
      <c r="K343" s="8"/>
      <c r="L343" s="7"/>
      <c r="M343" s="7"/>
      <c r="N343" s="7"/>
      <c r="Q343" s="8"/>
      <c r="R343" s="7"/>
      <c r="S343" s="9"/>
      <c r="T343" s="7"/>
      <c r="U343" s="7"/>
      <c r="V343" s="7"/>
      <c r="AC343" s="7"/>
      <c r="AD343" s="7"/>
      <c r="AE343" s="7"/>
    </row>
    <row r="344">
      <c r="A344" s="7"/>
      <c r="B344" s="7"/>
      <c r="C344" s="7"/>
      <c r="D344" s="9"/>
      <c r="E344" s="10"/>
      <c r="F344" s="11"/>
      <c r="G344" s="11"/>
      <c r="J344" s="7"/>
      <c r="K344" s="8"/>
      <c r="L344" s="7"/>
      <c r="M344" s="7"/>
      <c r="N344" s="7"/>
      <c r="Q344" s="8"/>
      <c r="R344" s="7"/>
      <c r="S344" s="9"/>
      <c r="T344" s="7"/>
      <c r="U344" s="7"/>
      <c r="V344" s="7"/>
      <c r="AC344" s="7"/>
      <c r="AD344" s="7"/>
      <c r="AE344" s="7"/>
    </row>
    <row r="345">
      <c r="A345" s="7"/>
      <c r="B345" s="7"/>
      <c r="C345" s="7"/>
      <c r="D345" s="9"/>
      <c r="E345" s="10"/>
      <c r="F345" s="11"/>
      <c r="G345" s="11"/>
      <c r="J345" s="7"/>
      <c r="K345" s="8"/>
      <c r="L345" s="7"/>
      <c r="M345" s="7"/>
      <c r="N345" s="7"/>
      <c r="Q345" s="8"/>
      <c r="R345" s="7"/>
      <c r="S345" s="9"/>
      <c r="T345" s="7"/>
      <c r="U345" s="7"/>
      <c r="V345" s="7"/>
      <c r="AC345" s="7"/>
      <c r="AD345" s="7"/>
      <c r="AE345" s="7"/>
    </row>
    <row r="346">
      <c r="A346" s="7"/>
      <c r="B346" s="7"/>
      <c r="C346" s="7"/>
      <c r="D346" s="9"/>
      <c r="E346" s="10"/>
      <c r="F346" s="11"/>
      <c r="G346" s="11"/>
      <c r="J346" s="7"/>
      <c r="K346" s="8"/>
      <c r="L346" s="7"/>
      <c r="M346" s="7"/>
      <c r="N346" s="7"/>
      <c r="Q346" s="8"/>
      <c r="R346" s="7"/>
      <c r="S346" s="9"/>
      <c r="T346" s="7"/>
      <c r="U346" s="7"/>
      <c r="V346" s="7"/>
      <c r="AC346" s="7"/>
      <c r="AD346" s="7"/>
      <c r="AE346" s="7"/>
    </row>
    <row r="347">
      <c r="A347" s="7"/>
      <c r="B347" s="7"/>
      <c r="C347" s="7"/>
      <c r="D347" s="9"/>
      <c r="E347" s="10"/>
      <c r="F347" s="11"/>
      <c r="G347" s="11"/>
      <c r="J347" s="7"/>
      <c r="K347" s="8"/>
      <c r="L347" s="7"/>
      <c r="M347" s="7"/>
      <c r="N347" s="7"/>
      <c r="Q347" s="8"/>
      <c r="R347" s="7"/>
      <c r="S347" s="9"/>
      <c r="T347" s="7"/>
      <c r="U347" s="7"/>
      <c r="V347" s="7"/>
      <c r="AC347" s="7"/>
      <c r="AD347" s="7"/>
      <c r="AE347" s="7"/>
    </row>
    <row r="348">
      <c r="A348" s="7"/>
      <c r="B348" s="7"/>
      <c r="C348" s="7"/>
      <c r="D348" s="9"/>
      <c r="E348" s="10"/>
      <c r="F348" s="11"/>
      <c r="G348" s="11"/>
      <c r="J348" s="7"/>
      <c r="K348" s="8"/>
      <c r="L348" s="7"/>
      <c r="M348" s="7"/>
      <c r="N348" s="7"/>
      <c r="Q348" s="8"/>
      <c r="R348" s="7"/>
      <c r="S348" s="9"/>
      <c r="T348" s="7"/>
      <c r="U348" s="7"/>
      <c r="V348" s="7"/>
      <c r="AC348" s="7"/>
      <c r="AD348" s="7"/>
      <c r="AE348" s="7"/>
    </row>
    <row r="349">
      <c r="A349" s="7"/>
      <c r="B349" s="7"/>
      <c r="C349" s="7"/>
      <c r="D349" s="9"/>
      <c r="E349" s="10"/>
      <c r="F349" s="11"/>
      <c r="G349" s="11"/>
      <c r="J349" s="7"/>
      <c r="K349" s="8"/>
      <c r="L349" s="7"/>
      <c r="M349" s="7"/>
      <c r="N349" s="7"/>
      <c r="Q349" s="8"/>
      <c r="R349" s="7"/>
      <c r="S349" s="9"/>
      <c r="T349" s="7"/>
      <c r="U349" s="7"/>
      <c r="V349" s="7"/>
      <c r="AC349" s="7"/>
      <c r="AD349" s="7"/>
      <c r="AE349" s="7"/>
    </row>
    <row r="350">
      <c r="A350" s="7"/>
      <c r="B350" s="7"/>
      <c r="C350" s="7"/>
      <c r="D350" s="9"/>
      <c r="E350" s="10"/>
      <c r="F350" s="11"/>
      <c r="G350" s="11"/>
      <c r="J350" s="7"/>
      <c r="K350" s="8"/>
      <c r="L350" s="7"/>
      <c r="M350" s="7"/>
      <c r="N350" s="7"/>
      <c r="Q350" s="8"/>
      <c r="R350" s="7"/>
      <c r="S350" s="9"/>
      <c r="T350" s="7"/>
      <c r="U350" s="7"/>
      <c r="V350" s="7"/>
      <c r="AC350" s="7"/>
      <c r="AD350" s="7"/>
      <c r="AE350" s="7"/>
    </row>
    <row r="351">
      <c r="A351" s="7"/>
      <c r="B351" s="7"/>
      <c r="C351" s="7"/>
      <c r="D351" s="9"/>
      <c r="E351" s="10"/>
      <c r="F351" s="11"/>
      <c r="G351" s="11"/>
      <c r="J351" s="7"/>
      <c r="K351" s="8"/>
      <c r="L351" s="7"/>
      <c r="M351" s="7"/>
      <c r="N351" s="7"/>
      <c r="Q351" s="8"/>
      <c r="R351" s="7"/>
      <c r="S351" s="9"/>
      <c r="T351" s="7"/>
      <c r="U351" s="7"/>
      <c r="V351" s="7"/>
      <c r="AC351" s="7"/>
      <c r="AD351" s="7"/>
      <c r="AE351" s="7"/>
    </row>
    <row r="352">
      <c r="A352" s="7"/>
      <c r="B352" s="7"/>
      <c r="C352" s="7"/>
      <c r="D352" s="9"/>
      <c r="E352" s="10"/>
      <c r="F352" s="11"/>
      <c r="G352" s="11"/>
      <c r="J352" s="7"/>
      <c r="K352" s="8"/>
      <c r="L352" s="7"/>
      <c r="M352" s="7"/>
      <c r="N352" s="7"/>
      <c r="Q352" s="8"/>
      <c r="R352" s="7"/>
      <c r="S352" s="9"/>
      <c r="T352" s="7"/>
      <c r="U352" s="7"/>
      <c r="V352" s="7"/>
      <c r="AC352" s="7"/>
      <c r="AD352" s="7"/>
      <c r="AE352" s="7"/>
    </row>
    <row r="353">
      <c r="A353" s="7"/>
      <c r="B353" s="7"/>
      <c r="C353" s="7"/>
      <c r="D353" s="9"/>
      <c r="E353" s="10"/>
      <c r="F353" s="11"/>
      <c r="G353" s="11"/>
      <c r="J353" s="7"/>
      <c r="K353" s="8"/>
      <c r="L353" s="7"/>
      <c r="M353" s="7"/>
      <c r="N353" s="7"/>
      <c r="Q353" s="8"/>
      <c r="R353" s="7"/>
      <c r="S353" s="9"/>
      <c r="T353" s="7"/>
      <c r="U353" s="7"/>
      <c r="V353" s="7"/>
      <c r="AC353" s="7"/>
      <c r="AD353" s="7"/>
      <c r="AE353" s="7"/>
    </row>
    <row r="354">
      <c r="A354" s="7"/>
      <c r="B354" s="7"/>
      <c r="C354" s="7"/>
      <c r="D354" s="9"/>
      <c r="E354" s="10"/>
      <c r="F354" s="11"/>
      <c r="G354" s="11"/>
      <c r="J354" s="7"/>
      <c r="K354" s="8"/>
      <c r="L354" s="7"/>
      <c r="M354" s="7"/>
      <c r="N354" s="7"/>
      <c r="Q354" s="8"/>
      <c r="R354" s="7"/>
      <c r="S354" s="9"/>
      <c r="T354" s="7"/>
      <c r="U354" s="7"/>
      <c r="V354" s="7"/>
      <c r="AC354" s="7"/>
      <c r="AD354" s="7"/>
      <c r="AE354" s="7"/>
    </row>
    <row r="355">
      <c r="A355" s="7"/>
      <c r="B355" s="7"/>
      <c r="C355" s="7"/>
      <c r="D355" s="9"/>
      <c r="E355" s="10"/>
      <c r="F355" s="11"/>
      <c r="G355" s="11"/>
      <c r="J355" s="7"/>
      <c r="K355" s="8"/>
      <c r="L355" s="7"/>
      <c r="M355" s="7"/>
      <c r="N355" s="7"/>
      <c r="Q355" s="8"/>
      <c r="R355" s="7"/>
      <c r="S355" s="9"/>
      <c r="T355" s="7"/>
      <c r="U355" s="7"/>
      <c r="V355" s="7"/>
      <c r="AC355" s="7"/>
      <c r="AD355" s="7"/>
      <c r="AE355" s="7"/>
    </row>
    <row r="356">
      <c r="A356" s="7"/>
      <c r="B356" s="7"/>
      <c r="C356" s="7"/>
      <c r="D356" s="9"/>
      <c r="E356" s="10"/>
      <c r="F356" s="11"/>
      <c r="G356" s="11"/>
      <c r="J356" s="7"/>
      <c r="K356" s="8"/>
      <c r="L356" s="7"/>
      <c r="M356" s="7"/>
      <c r="N356" s="7"/>
      <c r="Q356" s="8"/>
      <c r="R356" s="7"/>
      <c r="S356" s="9"/>
      <c r="T356" s="7"/>
      <c r="U356" s="7"/>
      <c r="V356" s="7"/>
      <c r="AC356" s="7"/>
      <c r="AD356" s="7"/>
      <c r="AE356" s="7"/>
    </row>
    <row r="357">
      <c r="A357" s="7"/>
      <c r="B357" s="7"/>
      <c r="C357" s="7"/>
      <c r="D357" s="9"/>
      <c r="E357" s="10"/>
      <c r="F357" s="11"/>
      <c r="G357" s="11"/>
      <c r="J357" s="7"/>
      <c r="K357" s="8"/>
      <c r="L357" s="7"/>
      <c r="M357" s="7"/>
      <c r="N357" s="7"/>
      <c r="Q357" s="8"/>
      <c r="R357" s="7"/>
      <c r="S357" s="9"/>
      <c r="T357" s="7"/>
      <c r="U357" s="7"/>
      <c r="V357" s="7"/>
      <c r="AC357" s="7"/>
      <c r="AD357" s="7"/>
      <c r="AE357" s="7"/>
    </row>
    <row r="358">
      <c r="A358" s="7"/>
      <c r="B358" s="7"/>
      <c r="C358" s="7"/>
      <c r="D358" s="9"/>
      <c r="E358" s="10"/>
      <c r="F358" s="11"/>
      <c r="G358" s="11"/>
      <c r="J358" s="7"/>
      <c r="K358" s="8"/>
      <c r="L358" s="7"/>
      <c r="M358" s="7"/>
      <c r="N358" s="7"/>
      <c r="Q358" s="8"/>
      <c r="R358" s="7"/>
      <c r="S358" s="9"/>
      <c r="T358" s="7"/>
      <c r="U358" s="7"/>
      <c r="V358" s="7"/>
      <c r="AC358" s="7"/>
      <c r="AD358" s="7"/>
      <c r="AE358" s="7"/>
    </row>
    <row r="359">
      <c r="A359" s="7"/>
      <c r="B359" s="7"/>
      <c r="C359" s="7"/>
      <c r="D359" s="9"/>
      <c r="E359" s="10"/>
      <c r="F359" s="11"/>
      <c r="G359" s="11"/>
      <c r="J359" s="7"/>
      <c r="K359" s="8"/>
      <c r="L359" s="7"/>
      <c r="M359" s="7"/>
      <c r="N359" s="7"/>
      <c r="Q359" s="8"/>
      <c r="R359" s="7"/>
      <c r="S359" s="9"/>
      <c r="T359" s="7"/>
      <c r="U359" s="7"/>
      <c r="V359" s="7"/>
      <c r="AC359" s="7"/>
      <c r="AD359" s="7"/>
      <c r="AE359" s="7"/>
    </row>
    <row r="360">
      <c r="A360" s="7"/>
      <c r="B360" s="7"/>
      <c r="C360" s="7"/>
      <c r="D360" s="9"/>
      <c r="E360" s="10"/>
      <c r="F360" s="11"/>
      <c r="G360" s="11"/>
      <c r="J360" s="7"/>
      <c r="K360" s="8"/>
      <c r="L360" s="7"/>
      <c r="M360" s="7"/>
      <c r="N360" s="7"/>
      <c r="Q360" s="8"/>
      <c r="R360" s="7"/>
      <c r="S360" s="9"/>
      <c r="T360" s="7"/>
      <c r="U360" s="7"/>
      <c r="V360" s="7"/>
      <c r="AC360" s="7"/>
      <c r="AD360" s="7"/>
      <c r="AE360" s="7"/>
    </row>
    <row r="361">
      <c r="A361" s="7"/>
      <c r="B361" s="7"/>
      <c r="C361" s="7"/>
      <c r="D361" s="9"/>
      <c r="E361" s="10"/>
      <c r="F361" s="11"/>
      <c r="G361" s="11"/>
      <c r="J361" s="7"/>
      <c r="K361" s="8"/>
      <c r="L361" s="7"/>
      <c r="M361" s="7"/>
      <c r="N361" s="7"/>
      <c r="Q361" s="8"/>
      <c r="R361" s="7"/>
      <c r="S361" s="9"/>
      <c r="T361" s="7"/>
      <c r="U361" s="7"/>
      <c r="V361" s="7"/>
      <c r="AC361" s="7"/>
      <c r="AD361" s="7"/>
      <c r="AE361" s="7"/>
    </row>
    <row r="362">
      <c r="A362" s="7"/>
      <c r="B362" s="7"/>
      <c r="C362" s="7"/>
      <c r="D362" s="9"/>
      <c r="E362" s="10"/>
      <c r="F362" s="11"/>
      <c r="G362" s="11"/>
      <c r="J362" s="7"/>
      <c r="K362" s="8"/>
      <c r="L362" s="7"/>
      <c r="M362" s="7"/>
      <c r="N362" s="7"/>
      <c r="Q362" s="8"/>
      <c r="R362" s="7"/>
      <c r="S362" s="9"/>
      <c r="T362" s="7"/>
      <c r="U362" s="7"/>
      <c r="V362" s="7"/>
      <c r="AC362" s="7"/>
      <c r="AD362" s="7"/>
      <c r="AE362" s="7"/>
    </row>
    <row r="363">
      <c r="A363" s="7"/>
      <c r="B363" s="7"/>
      <c r="C363" s="7"/>
      <c r="D363" s="9"/>
      <c r="E363" s="10"/>
      <c r="F363" s="11"/>
      <c r="G363" s="11"/>
      <c r="J363" s="7"/>
      <c r="K363" s="8"/>
      <c r="L363" s="7"/>
      <c r="M363" s="7"/>
      <c r="N363" s="7"/>
      <c r="Q363" s="8"/>
      <c r="R363" s="7"/>
      <c r="S363" s="9"/>
      <c r="T363" s="7"/>
      <c r="U363" s="7"/>
      <c r="V363" s="7"/>
      <c r="AC363" s="7"/>
      <c r="AD363" s="7"/>
      <c r="AE363" s="7"/>
    </row>
    <row r="364">
      <c r="A364" s="7"/>
      <c r="B364" s="7"/>
      <c r="C364" s="7"/>
      <c r="D364" s="9"/>
      <c r="E364" s="10"/>
      <c r="F364" s="11"/>
      <c r="G364" s="11"/>
      <c r="J364" s="7"/>
      <c r="K364" s="8"/>
      <c r="L364" s="7"/>
      <c r="M364" s="7"/>
      <c r="N364" s="7"/>
      <c r="Q364" s="8"/>
      <c r="R364" s="7"/>
      <c r="S364" s="9"/>
      <c r="T364" s="7"/>
      <c r="U364" s="7"/>
      <c r="V364" s="7"/>
      <c r="AC364" s="7"/>
      <c r="AD364" s="7"/>
      <c r="AE364" s="7"/>
    </row>
    <row r="365">
      <c r="A365" s="7"/>
      <c r="B365" s="7"/>
      <c r="C365" s="7"/>
      <c r="D365" s="9"/>
      <c r="E365" s="10"/>
      <c r="F365" s="11"/>
      <c r="G365" s="11"/>
      <c r="J365" s="7"/>
      <c r="K365" s="8"/>
      <c r="L365" s="7"/>
      <c r="M365" s="7"/>
      <c r="N365" s="7"/>
      <c r="Q365" s="8"/>
      <c r="R365" s="7"/>
      <c r="S365" s="9"/>
      <c r="T365" s="7"/>
      <c r="U365" s="7"/>
      <c r="V365" s="7"/>
      <c r="AC365" s="7"/>
      <c r="AD365" s="7"/>
      <c r="AE365" s="7"/>
    </row>
    <row r="366">
      <c r="A366" s="7"/>
      <c r="B366" s="7"/>
      <c r="C366" s="7"/>
      <c r="D366" s="9"/>
      <c r="E366" s="10"/>
      <c r="F366" s="11"/>
      <c r="G366" s="11"/>
      <c r="J366" s="7"/>
      <c r="K366" s="8"/>
      <c r="L366" s="7"/>
      <c r="M366" s="7"/>
      <c r="N366" s="7"/>
      <c r="Q366" s="8"/>
      <c r="R366" s="7"/>
      <c r="S366" s="9"/>
      <c r="T366" s="7"/>
      <c r="U366" s="7"/>
      <c r="V366" s="7"/>
      <c r="AC366" s="7"/>
      <c r="AD366" s="7"/>
      <c r="AE366" s="7"/>
    </row>
    <row r="367">
      <c r="A367" s="7"/>
      <c r="B367" s="7"/>
      <c r="C367" s="7"/>
      <c r="D367" s="9"/>
      <c r="E367" s="10"/>
      <c r="F367" s="11"/>
      <c r="G367" s="11"/>
      <c r="J367" s="7"/>
      <c r="K367" s="8"/>
      <c r="L367" s="7"/>
      <c r="M367" s="7"/>
      <c r="N367" s="7"/>
      <c r="Q367" s="8"/>
      <c r="R367" s="7"/>
      <c r="S367" s="9"/>
      <c r="T367" s="7"/>
      <c r="U367" s="7"/>
      <c r="V367" s="7"/>
      <c r="AC367" s="7"/>
      <c r="AD367" s="7"/>
      <c r="AE367" s="7"/>
    </row>
    <row r="368">
      <c r="A368" s="7"/>
      <c r="B368" s="7"/>
      <c r="C368" s="7"/>
      <c r="D368" s="9"/>
      <c r="E368" s="10"/>
      <c r="F368" s="11"/>
      <c r="G368" s="11"/>
      <c r="J368" s="7"/>
      <c r="K368" s="8"/>
      <c r="L368" s="7"/>
      <c r="M368" s="7"/>
      <c r="N368" s="7"/>
      <c r="Q368" s="8"/>
      <c r="R368" s="7"/>
      <c r="S368" s="9"/>
      <c r="T368" s="7"/>
      <c r="U368" s="7"/>
      <c r="V368" s="7"/>
      <c r="AC368" s="7"/>
      <c r="AD368" s="7"/>
      <c r="AE368" s="7"/>
    </row>
    <row r="369">
      <c r="A369" s="7"/>
      <c r="B369" s="7"/>
      <c r="C369" s="7"/>
      <c r="D369" s="9"/>
      <c r="E369" s="10"/>
      <c r="F369" s="11"/>
      <c r="G369" s="11"/>
      <c r="J369" s="7"/>
      <c r="K369" s="8"/>
      <c r="L369" s="7"/>
      <c r="M369" s="7"/>
      <c r="N369" s="7"/>
      <c r="Q369" s="8"/>
      <c r="R369" s="7"/>
      <c r="S369" s="9"/>
      <c r="T369" s="7"/>
      <c r="U369" s="7"/>
      <c r="V369" s="7"/>
      <c r="AC369" s="7"/>
      <c r="AD369" s="7"/>
      <c r="AE369" s="7"/>
    </row>
    <row r="370">
      <c r="A370" s="7"/>
      <c r="B370" s="7"/>
      <c r="C370" s="7"/>
      <c r="D370" s="9"/>
      <c r="E370" s="10"/>
      <c r="F370" s="11"/>
      <c r="G370" s="11"/>
      <c r="J370" s="7"/>
      <c r="K370" s="8"/>
      <c r="L370" s="7"/>
      <c r="M370" s="7"/>
      <c r="N370" s="7"/>
      <c r="Q370" s="8"/>
      <c r="R370" s="7"/>
      <c r="S370" s="9"/>
      <c r="T370" s="7"/>
      <c r="U370" s="7"/>
      <c r="V370" s="7"/>
      <c r="AC370" s="7"/>
      <c r="AD370" s="7"/>
      <c r="AE370" s="7"/>
    </row>
    <row r="371">
      <c r="A371" s="7"/>
      <c r="B371" s="7"/>
      <c r="C371" s="7"/>
      <c r="D371" s="9"/>
      <c r="E371" s="10"/>
      <c r="F371" s="11"/>
      <c r="G371" s="11"/>
      <c r="J371" s="7"/>
      <c r="K371" s="8"/>
      <c r="L371" s="7"/>
      <c r="M371" s="7"/>
      <c r="N371" s="7"/>
      <c r="Q371" s="8"/>
      <c r="R371" s="7"/>
      <c r="S371" s="9"/>
      <c r="T371" s="7"/>
      <c r="U371" s="7"/>
      <c r="V371" s="7"/>
      <c r="AC371" s="7"/>
      <c r="AD371" s="7"/>
      <c r="AE371" s="7"/>
    </row>
    <row r="372">
      <c r="A372" s="7"/>
      <c r="B372" s="7"/>
      <c r="C372" s="7"/>
      <c r="D372" s="9"/>
      <c r="E372" s="10"/>
      <c r="F372" s="11"/>
      <c r="G372" s="11"/>
      <c r="J372" s="7"/>
      <c r="K372" s="8"/>
      <c r="L372" s="7"/>
      <c r="M372" s="7"/>
      <c r="N372" s="7"/>
      <c r="Q372" s="8"/>
      <c r="R372" s="7"/>
      <c r="S372" s="9"/>
      <c r="T372" s="7"/>
      <c r="U372" s="7"/>
      <c r="V372" s="7"/>
      <c r="AC372" s="7"/>
      <c r="AD372" s="7"/>
      <c r="AE372" s="7"/>
    </row>
    <row r="373">
      <c r="A373" s="7"/>
      <c r="B373" s="7"/>
      <c r="C373" s="7"/>
      <c r="D373" s="9"/>
      <c r="E373" s="10"/>
      <c r="F373" s="11"/>
      <c r="G373" s="11"/>
      <c r="J373" s="7"/>
      <c r="K373" s="8"/>
      <c r="L373" s="7"/>
      <c r="M373" s="7"/>
      <c r="N373" s="7"/>
      <c r="Q373" s="8"/>
      <c r="R373" s="7"/>
      <c r="S373" s="9"/>
      <c r="T373" s="7"/>
      <c r="U373" s="7"/>
      <c r="V373" s="7"/>
      <c r="AC373" s="7"/>
      <c r="AD373" s="7"/>
      <c r="AE373" s="7"/>
    </row>
    <row r="374">
      <c r="A374" s="7"/>
      <c r="B374" s="7"/>
      <c r="C374" s="7"/>
      <c r="D374" s="9"/>
      <c r="E374" s="10"/>
      <c r="F374" s="11"/>
      <c r="G374" s="11"/>
      <c r="J374" s="7"/>
      <c r="K374" s="8"/>
      <c r="L374" s="7"/>
      <c r="M374" s="7"/>
      <c r="N374" s="7"/>
      <c r="Q374" s="8"/>
      <c r="R374" s="7"/>
      <c r="S374" s="9"/>
      <c r="T374" s="7"/>
      <c r="U374" s="7"/>
      <c r="V374" s="7"/>
      <c r="AC374" s="7"/>
      <c r="AD374" s="7"/>
      <c r="AE374" s="7"/>
    </row>
    <row r="375">
      <c r="A375" s="7"/>
      <c r="B375" s="7"/>
      <c r="C375" s="7"/>
      <c r="D375" s="9"/>
      <c r="E375" s="10"/>
      <c r="F375" s="11"/>
      <c r="G375" s="11"/>
      <c r="J375" s="7"/>
      <c r="K375" s="8"/>
      <c r="L375" s="7"/>
      <c r="M375" s="7"/>
      <c r="N375" s="7"/>
      <c r="Q375" s="8"/>
      <c r="R375" s="7"/>
      <c r="S375" s="9"/>
      <c r="T375" s="7"/>
      <c r="U375" s="7"/>
      <c r="V375" s="7"/>
      <c r="AC375" s="7"/>
      <c r="AD375" s="7"/>
      <c r="AE375" s="7"/>
    </row>
    <row r="376">
      <c r="A376" s="7"/>
      <c r="B376" s="7"/>
      <c r="C376" s="7"/>
      <c r="D376" s="9"/>
      <c r="E376" s="10"/>
      <c r="F376" s="11"/>
      <c r="G376" s="11"/>
      <c r="J376" s="7"/>
      <c r="K376" s="8"/>
      <c r="L376" s="7"/>
      <c r="M376" s="7"/>
      <c r="N376" s="7"/>
      <c r="Q376" s="8"/>
      <c r="R376" s="7"/>
      <c r="S376" s="9"/>
      <c r="T376" s="7"/>
      <c r="U376" s="7"/>
      <c r="V376" s="7"/>
      <c r="AC376" s="7"/>
      <c r="AD376" s="7"/>
      <c r="AE376" s="7"/>
    </row>
    <row r="377">
      <c r="A377" s="7"/>
      <c r="B377" s="7"/>
      <c r="C377" s="7"/>
      <c r="D377" s="9"/>
      <c r="E377" s="10"/>
      <c r="F377" s="11"/>
      <c r="G377" s="11"/>
      <c r="J377" s="7"/>
      <c r="K377" s="8"/>
      <c r="L377" s="7"/>
      <c r="M377" s="7"/>
      <c r="N377" s="7"/>
      <c r="Q377" s="8"/>
      <c r="R377" s="7"/>
      <c r="S377" s="9"/>
      <c r="T377" s="7"/>
      <c r="U377" s="7"/>
      <c r="V377" s="7"/>
      <c r="AC377" s="7"/>
      <c r="AD377" s="7"/>
      <c r="AE377" s="7"/>
    </row>
    <row r="378">
      <c r="A378" s="7"/>
      <c r="B378" s="7"/>
      <c r="C378" s="7"/>
      <c r="D378" s="9"/>
      <c r="E378" s="10"/>
      <c r="F378" s="11"/>
      <c r="G378" s="11"/>
      <c r="J378" s="7"/>
      <c r="K378" s="8"/>
      <c r="L378" s="7"/>
      <c r="M378" s="7"/>
      <c r="N378" s="7"/>
      <c r="Q378" s="8"/>
      <c r="R378" s="7"/>
      <c r="S378" s="9"/>
      <c r="T378" s="7"/>
      <c r="U378" s="7"/>
      <c r="V378" s="7"/>
      <c r="AC378" s="7"/>
      <c r="AD378" s="7"/>
      <c r="AE378" s="7"/>
    </row>
    <row r="379">
      <c r="A379" s="7"/>
      <c r="B379" s="7"/>
      <c r="C379" s="7"/>
      <c r="D379" s="9"/>
      <c r="E379" s="10"/>
      <c r="F379" s="11"/>
      <c r="G379" s="11"/>
      <c r="J379" s="7"/>
      <c r="K379" s="8"/>
      <c r="L379" s="7"/>
      <c r="M379" s="7"/>
      <c r="N379" s="7"/>
      <c r="Q379" s="8"/>
      <c r="R379" s="7"/>
      <c r="S379" s="9"/>
      <c r="T379" s="7"/>
      <c r="U379" s="7"/>
      <c r="V379" s="7"/>
      <c r="AC379" s="7"/>
      <c r="AD379" s="7"/>
      <c r="AE379" s="7"/>
    </row>
    <row r="380">
      <c r="A380" s="7"/>
      <c r="B380" s="7"/>
      <c r="C380" s="7"/>
      <c r="D380" s="9"/>
      <c r="E380" s="10"/>
      <c r="F380" s="11"/>
      <c r="G380" s="11"/>
      <c r="J380" s="7"/>
      <c r="K380" s="8"/>
      <c r="L380" s="7"/>
      <c r="M380" s="7"/>
      <c r="N380" s="7"/>
      <c r="Q380" s="8"/>
      <c r="R380" s="7"/>
      <c r="S380" s="9"/>
      <c r="T380" s="7"/>
      <c r="U380" s="7"/>
      <c r="V380" s="7"/>
      <c r="AC380" s="7"/>
      <c r="AD380" s="7"/>
      <c r="AE380" s="7"/>
    </row>
    <row r="381">
      <c r="A381" s="7"/>
      <c r="B381" s="7"/>
      <c r="C381" s="7"/>
      <c r="D381" s="9"/>
      <c r="E381" s="10"/>
      <c r="F381" s="11"/>
      <c r="G381" s="11"/>
      <c r="J381" s="7"/>
      <c r="K381" s="8"/>
      <c r="L381" s="7"/>
      <c r="M381" s="7"/>
      <c r="N381" s="7"/>
      <c r="Q381" s="8"/>
      <c r="R381" s="7"/>
      <c r="S381" s="9"/>
      <c r="T381" s="7"/>
      <c r="U381" s="7"/>
      <c r="V381" s="7"/>
      <c r="AC381" s="7"/>
      <c r="AD381" s="7"/>
      <c r="AE381" s="7"/>
    </row>
    <row r="382">
      <c r="A382" s="7"/>
      <c r="B382" s="7"/>
      <c r="C382" s="7"/>
      <c r="D382" s="9"/>
      <c r="E382" s="10"/>
      <c r="F382" s="11"/>
      <c r="G382" s="11"/>
      <c r="J382" s="7"/>
      <c r="K382" s="8"/>
      <c r="L382" s="7"/>
      <c r="M382" s="7"/>
      <c r="N382" s="7"/>
      <c r="Q382" s="8"/>
      <c r="R382" s="7"/>
      <c r="S382" s="9"/>
      <c r="T382" s="7"/>
      <c r="U382" s="7"/>
      <c r="V382" s="7"/>
      <c r="AC382" s="7"/>
      <c r="AD382" s="7"/>
      <c r="AE382" s="7"/>
    </row>
    <row r="383">
      <c r="A383" s="7"/>
      <c r="B383" s="7"/>
      <c r="C383" s="7"/>
      <c r="D383" s="9"/>
      <c r="E383" s="10"/>
      <c r="F383" s="11"/>
      <c r="G383" s="11"/>
      <c r="J383" s="7"/>
      <c r="K383" s="8"/>
      <c r="L383" s="7"/>
      <c r="M383" s="7"/>
      <c r="N383" s="7"/>
      <c r="Q383" s="8"/>
      <c r="R383" s="7"/>
      <c r="S383" s="9"/>
      <c r="T383" s="7"/>
      <c r="U383" s="7"/>
      <c r="V383" s="7"/>
      <c r="AC383" s="7"/>
      <c r="AD383" s="7"/>
      <c r="AE383" s="7"/>
    </row>
    <row r="384">
      <c r="A384" s="7"/>
      <c r="B384" s="7"/>
      <c r="C384" s="7"/>
      <c r="D384" s="9"/>
      <c r="E384" s="10"/>
      <c r="F384" s="11"/>
      <c r="G384" s="11"/>
      <c r="J384" s="7"/>
      <c r="K384" s="8"/>
      <c r="L384" s="7"/>
      <c r="M384" s="7"/>
      <c r="N384" s="7"/>
      <c r="Q384" s="8"/>
      <c r="R384" s="7"/>
      <c r="S384" s="9"/>
      <c r="T384" s="7"/>
      <c r="U384" s="7"/>
      <c r="V384" s="7"/>
      <c r="AC384" s="7"/>
      <c r="AD384" s="7"/>
      <c r="AE384" s="7"/>
    </row>
    <row r="385">
      <c r="A385" s="7"/>
      <c r="B385" s="7"/>
      <c r="C385" s="7"/>
      <c r="D385" s="9"/>
      <c r="E385" s="10"/>
      <c r="F385" s="11"/>
      <c r="G385" s="11"/>
      <c r="J385" s="7"/>
      <c r="K385" s="8"/>
      <c r="L385" s="7"/>
      <c r="M385" s="7"/>
      <c r="N385" s="7"/>
      <c r="Q385" s="8"/>
      <c r="R385" s="7"/>
      <c r="S385" s="9"/>
      <c r="T385" s="7"/>
      <c r="U385" s="7"/>
      <c r="V385" s="7"/>
      <c r="AC385" s="7"/>
      <c r="AD385" s="7"/>
      <c r="AE385" s="7"/>
    </row>
    <row r="386">
      <c r="A386" s="7"/>
      <c r="B386" s="7"/>
      <c r="C386" s="7"/>
      <c r="D386" s="9"/>
      <c r="E386" s="10"/>
      <c r="F386" s="11"/>
      <c r="G386" s="11"/>
      <c r="J386" s="7"/>
      <c r="K386" s="8"/>
      <c r="L386" s="7"/>
      <c r="M386" s="7"/>
      <c r="N386" s="7"/>
      <c r="Q386" s="8"/>
      <c r="R386" s="7"/>
      <c r="S386" s="9"/>
      <c r="T386" s="7"/>
      <c r="U386" s="7"/>
      <c r="V386" s="7"/>
      <c r="AC386" s="7"/>
      <c r="AD386" s="7"/>
      <c r="AE386" s="7"/>
    </row>
    <row r="387">
      <c r="A387" s="7"/>
      <c r="B387" s="7"/>
      <c r="C387" s="7"/>
      <c r="D387" s="9"/>
      <c r="E387" s="10"/>
      <c r="F387" s="11"/>
      <c r="G387" s="11"/>
      <c r="J387" s="7"/>
      <c r="K387" s="8"/>
      <c r="L387" s="7"/>
      <c r="M387" s="7"/>
      <c r="N387" s="7"/>
      <c r="Q387" s="8"/>
      <c r="R387" s="7"/>
      <c r="S387" s="9"/>
      <c r="T387" s="7"/>
      <c r="U387" s="7"/>
      <c r="V387" s="7"/>
      <c r="AC387" s="7"/>
      <c r="AD387" s="7"/>
      <c r="AE387" s="7"/>
    </row>
    <row r="388">
      <c r="A388" s="7"/>
      <c r="B388" s="7"/>
      <c r="C388" s="7"/>
      <c r="D388" s="9"/>
      <c r="E388" s="10"/>
      <c r="F388" s="11"/>
      <c r="G388" s="11"/>
      <c r="J388" s="7"/>
      <c r="K388" s="8"/>
      <c r="L388" s="7"/>
      <c r="M388" s="7"/>
      <c r="N388" s="7"/>
      <c r="Q388" s="8"/>
      <c r="R388" s="7"/>
      <c r="S388" s="9"/>
      <c r="T388" s="7"/>
      <c r="U388" s="7"/>
      <c r="V388" s="7"/>
      <c r="AC388" s="7"/>
      <c r="AD388" s="7"/>
      <c r="AE388" s="7"/>
    </row>
    <row r="389">
      <c r="A389" s="7"/>
      <c r="B389" s="7"/>
      <c r="C389" s="7"/>
      <c r="D389" s="9"/>
      <c r="E389" s="10"/>
      <c r="F389" s="11"/>
      <c r="G389" s="11"/>
      <c r="J389" s="7"/>
      <c r="K389" s="8"/>
      <c r="L389" s="7"/>
      <c r="M389" s="7"/>
      <c r="N389" s="7"/>
      <c r="Q389" s="8"/>
      <c r="R389" s="7"/>
      <c r="S389" s="9"/>
      <c r="T389" s="7"/>
      <c r="U389" s="7"/>
      <c r="V389" s="7"/>
      <c r="AC389" s="7"/>
      <c r="AD389" s="7"/>
      <c r="AE389" s="7"/>
    </row>
    <row r="390">
      <c r="A390" s="7"/>
      <c r="B390" s="7"/>
      <c r="C390" s="7"/>
      <c r="D390" s="9"/>
      <c r="E390" s="10"/>
      <c r="F390" s="11"/>
      <c r="G390" s="11"/>
      <c r="J390" s="7"/>
      <c r="K390" s="8"/>
      <c r="L390" s="7"/>
      <c r="M390" s="7"/>
      <c r="N390" s="7"/>
      <c r="Q390" s="8"/>
      <c r="R390" s="7"/>
      <c r="S390" s="9"/>
      <c r="T390" s="7"/>
      <c r="U390" s="7"/>
      <c r="V390" s="7"/>
      <c r="AC390" s="7"/>
      <c r="AD390" s="7"/>
      <c r="AE390" s="7"/>
    </row>
    <row r="391">
      <c r="A391" s="7"/>
      <c r="B391" s="7"/>
      <c r="C391" s="7"/>
      <c r="D391" s="9"/>
      <c r="E391" s="10"/>
      <c r="F391" s="11"/>
      <c r="G391" s="11"/>
      <c r="J391" s="7"/>
      <c r="K391" s="8"/>
      <c r="L391" s="7"/>
      <c r="M391" s="7"/>
      <c r="N391" s="7"/>
      <c r="Q391" s="8"/>
      <c r="R391" s="7"/>
      <c r="S391" s="9"/>
      <c r="T391" s="7"/>
      <c r="U391" s="7"/>
      <c r="V391" s="7"/>
      <c r="AC391" s="7"/>
      <c r="AD391" s="7"/>
      <c r="AE391" s="7"/>
    </row>
    <row r="392">
      <c r="A392" s="7"/>
      <c r="B392" s="7"/>
      <c r="C392" s="7"/>
      <c r="D392" s="9"/>
      <c r="E392" s="10"/>
      <c r="F392" s="11"/>
      <c r="G392" s="11"/>
      <c r="J392" s="7"/>
      <c r="K392" s="8"/>
      <c r="L392" s="7"/>
      <c r="M392" s="7"/>
      <c r="N392" s="7"/>
      <c r="Q392" s="8"/>
      <c r="R392" s="7"/>
      <c r="S392" s="9"/>
      <c r="T392" s="7"/>
      <c r="U392" s="7"/>
      <c r="V392" s="7"/>
      <c r="AC392" s="7"/>
      <c r="AD392" s="7"/>
      <c r="AE392" s="7"/>
    </row>
    <row r="393">
      <c r="A393" s="7"/>
      <c r="B393" s="7"/>
      <c r="C393" s="7"/>
      <c r="D393" s="9"/>
      <c r="E393" s="10"/>
      <c r="F393" s="11"/>
      <c r="G393" s="11"/>
      <c r="J393" s="7"/>
      <c r="K393" s="8"/>
      <c r="L393" s="7"/>
      <c r="M393" s="7"/>
      <c r="N393" s="7"/>
      <c r="Q393" s="8"/>
      <c r="R393" s="7"/>
      <c r="S393" s="9"/>
      <c r="T393" s="7"/>
      <c r="U393" s="7"/>
      <c r="V393" s="7"/>
      <c r="AC393" s="7"/>
      <c r="AD393" s="7"/>
      <c r="AE393" s="7"/>
    </row>
    <row r="394">
      <c r="A394" s="7"/>
      <c r="B394" s="7"/>
      <c r="C394" s="7"/>
      <c r="D394" s="9"/>
      <c r="E394" s="10"/>
      <c r="F394" s="11"/>
      <c r="G394" s="11"/>
      <c r="J394" s="7"/>
      <c r="K394" s="8"/>
      <c r="L394" s="7"/>
      <c r="M394" s="7"/>
      <c r="N394" s="7"/>
      <c r="Q394" s="8"/>
      <c r="R394" s="7"/>
      <c r="S394" s="9"/>
      <c r="T394" s="7"/>
      <c r="U394" s="7"/>
      <c r="V394" s="7"/>
      <c r="AC394" s="7"/>
      <c r="AD394" s="7"/>
      <c r="AE394" s="7"/>
    </row>
    <row r="395">
      <c r="A395" s="7"/>
      <c r="B395" s="7"/>
      <c r="C395" s="7"/>
      <c r="D395" s="9"/>
      <c r="E395" s="10"/>
      <c r="F395" s="11"/>
      <c r="G395" s="11"/>
      <c r="J395" s="7"/>
      <c r="K395" s="8"/>
      <c r="L395" s="7"/>
      <c r="M395" s="7"/>
      <c r="N395" s="7"/>
      <c r="Q395" s="8"/>
      <c r="R395" s="7"/>
      <c r="S395" s="9"/>
      <c r="T395" s="7"/>
      <c r="U395" s="7"/>
      <c r="V395" s="7"/>
      <c r="AC395" s="7"/>
      <c r="AD395" s="7"/>
      <c r="AE395" s="7"/>
    </row>
    <row r="396">
      <c r="A396" s="7"/>
      <c r="B396" s="7"/>
      <c r="C396" s="7"/>
      <c r="D396" s="9"/>
      <c r="E396" s="10"/>
      <c r="F396" s="11"/>
      <c r="G396" s="11"/>
      <c r="J396" s="7"/>
      <c r="K396" s="8"/>
      <c r="L396" s="7"/>
      <c r="M396" s="7"/>
      <c r="N396" s="7"/>
      <c r="Q396" s="8"/>
      <c r="R396" s="7"/>
      <c r="S396" s="9"/>
      <c r="T396" s="7"/>
      <c r="U396" s="7"/>
      <c r="V396" s="7"/>
      <c r="AC396" s="7"/>
      <c r="AD396" s="7"/>
      <c r="AE396" s="7"/>
    </row>
    <row r="397">
      <c r="A397" s="7"/>
      <c r="B397" s="7"/>
      <c r="C397" s="7"/>
      <c r="D397" s="9"/>
      <c r="E397" s="10"/>
      <c r="F397" s="11"/>
      <c r="G397" s="11"/>
      <c r="J397" s="7"/>
      <c r="K397" s="8"/>
      <c r="L397" s="7"/>
      <c r="M397" s="7"/>
      <c r="N397" s="7"/>
      <c r="Q397" s="8"/>
      <c r="R397" s="7"/>
      <c r="S397" s="9"/>
      <c r="T397" s="7"/>
      <c r="U397" s="7"/>
      <c r="V397" s="7"/>
      <c r="AC397" s="7"/>
      <c r="AD397" s="7"/>
      <c r="AE397" s="7"/>
    </row>
    <row r="398">
      <c r="A398" s="7"/>
      <c r="B398" s="7"/>
      <c r="C398" s="7"/>
      <c r="D398" s="9"/>
      <c r="E398" s="10"/>
      <c r="F398" s="11"/>
      <c r="G398" s="11"/>
      <c r="J398" s="7"/>
      <c r="K398" s="8"/>
      <c r="L398" s="7"/>
      <c r="M398" s="7"/>
      <c r="N398" s="7"/>
      <c r="Q398" s="8"/>
      <c r="R398" s="7"/>
      <c r="S398" s="9"/>
      <c r="T398" s="7"/>
      <c r="U398" s="7"/>
      <c r="V398" s="7"/>
      <c r="AC398" s="7"/>
      <c r="AD398" s="7"/>
      <c r="AE398" s="7"/>
    </row>
    <row r="399">
      <c r="A399" s="7"/>
      <c r="B399" s="7"/>
      <c r="C399" s="7"/>
      <c r="D399" s="9"/>
      <c r="E399" s="10"/>
      <c r="F399" s="11"/>
      <c r="G399" s="11"/>
      <c r="J399" s="7"/>
      <c r="K399" s="8"/>
      <c r="L399" s="7"/>
      <c r="M399" s="7"/>
      <c r="N399" s="7"/>
      <c r="Q399" s="8"/>
      <c r="R399" s="7"/>
      <c r="S399" s="9"/>
      <c r="T399" s="7"/>
      <c r="U399" s="7"/>
      <c r="V399" s="7"/>
      <c r="AC399" s="7"/>
      <c r="AD399" s="7"/>
      <c r="AE399" s="7"/>
    </row>
    <row r="400">
      <c r="A400" s="7"/>
      <c r="B400" s="7"/>
      <c r="C400" s="7"/>
      <c r="D400" s="9"/>
      <c r="E400" s="10"/>
      <c r="F400" s="11"/>
      <c r="G400" s="11"/>
      <c r="J400" s="7"/>
      <c r="K400" s="8"/>
      <c r="L400" s="7"/>
      <c r="M400" s="7"/>
      <c r="N400" s="7"/>
      <c r="Q400" s="8"/>
      <c r="R400" s="7"/>
      <c r="S400" s="9"/>
      <c r="T400" s="7"/>
      <c r="U400" s="7"/>
      <c r="V400" s="7"/>
      <c r="AC400" s="7"/>
      <c r="AD400" s="7"/>
      <c r="AE400" s="7"/>
    </row>
    <row r="401">
      <c r="A401" s="7"/>
      <c r="B401" s="7"/>
      <c r="C401" s="7"/>
      <c r="D401" s="9"/>
      <c r="E401" s="10"/>
      <c r="F401" s="11"/>
      <c r="G401" s="11"/>
      <c r="J401" s="7"/>
      <c r="K401" s="8"/>
      <c r="L401" s="7"/>
      <c r="M401" s="7"/>
      <c r="N401" s="7"/>
      <c r="Q401" s="8"/>
      <c r="R401" s="7"/>
      <c r="S401" s="9"/>
      <c r="T401" s="7"/>
      <c r="U401" s="7"/>
      <c r="V401" s="7"/>
      <c r="AC401" s="7"/>
      <c r="AD401" s="7"/>
      <c r="AE401" s="7"/>
    </row>
    <row r="402">
      <c r="A402" s="7"/>
      <c r="B402" s="7"/>
      <c r="C402" s="7"/>
      <c r="D402" s="9"/>
      <c r="E402" s="10"/>
      <c r="F402" s="11"/>
      <c r="G402" s="11"/>
      <c r="J402" s="7"/>
      <c r="K402" s="8"/>
      <c r="L402" s="7"/>
      <c r="M402" s="7"/>
      <c r="N402" s="7"/>
      <c r="Q402" s="8"/>
      <c r="R402" s="7"/>
      <c r="S402" s="9"/>
      <c r="T402" s="7"/>
      <c r="U402" s="7"/>
      <c r="V402" s="7"/>
      <c r="AC402" s="7"/>
      <c r="AD402" s="7"/>
      <c r="AE402" s="7"/>
    </row>
    <row r="403">
      <c r="A403" s="7"/>
      <c r="B403" s="7"/>
      <c r="C403" s="7"/>
      <c r="D403" s="9"/>
      <c r="E403" s="10"/>
      <c r="F403" s="11"/>
      <c r="G403" s="11"/>
      <c r="J403" s="7"/>
      <c r="K403" s="8"/>
      <c r="L403" s="7"/>
      <c r="M403" s="7"/>
      <c r="N403" s="7"/>
      <c r="Q403" s="8"/>
      <c r="R403" s="7"/>
      <c r="S403" s="9"/>
      <c r="T403" s="7"/>
      <c r="U403" s="7"/>
      <c r="V403" s="7"/>
      <c r="AC403" s="7"/>
      <c r="AD403" s="7"/>
      <c r="AE403" s="7"/>
    </row>
    <row r="404">
      <c r="A404" s="7"/>
      <c r="B404" s="7"/>
      <c r="C404" s="7"/>
      <c r="D404" s="9"/>
      <c r="E404" s="10"/>
      <c r="F404" s="11"/>
      <c r="G404" s="11"/>
      <c r="J404" s="7"/>
      <c r="K404" s="8"/>
      <c r="L404" s="7"/>
      <c r="M404" s="7"/>
      <c r="N404" s="7"/>
      <c r="Q404" s="8"/>
      <c r="R404" s="7"/>
      <c r="S404" s="9"/>
      <c r="T404" s="7"/>
      <c r="U404" s="7"/>
      <c r="V404" s="7"/>
      <c r="AC404" s="7"/>
      <c r="AD404" s="7"/>
      <c r="AE404" s="7"/>
    </row>
    <row r="405">
      <c r="A405" s="7"/>
      <c r="B405" s="7"/>
      <c r="C405" s="7"/>
      <c r="D405" s="9"/>
      <c r="E405" s="10"/>
      <c r="F405" s="11"/>
      <c r="G405" s="11"/>
      <c r="J405" s="7"/>
      <c r="K405" s="8"/>
      <c r="L405" s="7"/>
      <c r="M405" s="7"/>
      <c r="N405" s="7"/>
      <c r="Q405" s="8"/>
      <c r="R405" s="7"/>
      <c r="S405" s="9"/>
      <c r="T405" s="7"/>
      <c r="U405" s="7"/>
      <c r="V405" s="7"/>
      <c r="AC405" s="7"/>
      <c r="AD405" s="7"/>
      <c r="AE405" s="7"/>
    </row>
    <row r="406">
      <c r="A406" s="7"/>
      <c r="B406" s="7"/>
      <c r="C406" s="7"/>
      <c r="D406" s="9"/>
      <c r="E406" s="10"/>
      <c r="F406" s="11"/>
      <c r="G406" s="11"/>
      <c r="J406" s="7"/>
      <c r="K406" s="8"/>
      <c r="L406" s="7"/>
      <c r="M406" s="7"/>
      <c r="N406" s="7"/>
      <c r="Q406" s="8"/>
      <c r="R406" s="7"/>
      <c r="S406" s="9"/>
      <c r="T406" s="7"/>
      <c r="U406" s="7"/>
      <c r="V406" s="7"/>
      <c r="AC406" s="7"/>
      <c r="AD406" s="7"/>
      <c r="AE406" s="7"/>
    </row>
    <row r="407">
      <c r="A407" s="7"/>
      <c r="B407" s="7"/>
      <c r="C407" s="7"/>
      <c r="D407" s="9"/>
      <c r="E407" s="10"/>
      <c r="F407" s="11"/>
      <c r="G407" s="11"/>
      <c r="J407" s="7"/>
      <c r="K407" s="8"/>
      <c r="L407" s="7"/>
      <c r="M407" s="7"/>
      <c r="N407" s="7"/>
      <c r="Q407" s="8"/>
      <c r="R407" s="7"/>
      <c r="S407" s="9"/>
      <c r="T407" s="7"/>
      <c r="U407" s="7"/>
      <c r="V407" s="7"/>
      <c r="AC407" s="7"/>
      <c r="AD407" s="7"/>
      <c r="AE407" s="7"/>
    </row>
    <row r="408">
      <c r="A408" s="7"/>
      <c r="B408" s="7"/>
      <c r="C408" s="7"/>
      <c r="D408" s="9"/>
      <c r="E408" s="10"/>
      <c r="F408" s="11"/>
      <c r="G408" s="11"/>
      <c r="J408" s="7"/>
      <c r="K408" s="8"/>
      <c r="L408" s="7"/>
      <c r="M408" s="7"/>
      <c r="N408" s="7"/>
      <c r="Q408" s="8"/>
      <c r="R408" s="7"/>
      <c r="S408" s="9"/>
      <c r="T408" s="7"/>
      <c r="U408" s="7"/>
      <c r="V408" s="7"/>
      <c r="AC408" s="7"/>
      <c r="AD408" s="7"/>
      <c r="AE408" s="7"/>
    </row>
    <row r="409">
      <c r="A409" s="7"/>
      <c r="B409" s="7"/>
      <c r="C409" s="7"/>
      <c r="D409" s="9"/>
      <c r="E409" s="10"/>
      <c r="F409" s="11"/>
      <c r="G409" s="11"/>
      <c r="J409" s="7"/>
      <c r="K409" s="8"/>
      <c r="L409" s="7"/>
      <c r="M409" s="7"/>
      <c r="N409" s="7"/>
      <c r="Q409" s="8"/>
      <c r="R409" s="7"/>
      <c r="S409" s="9"/>
      <c r="T409" s="7"/>
      <c r="U409" s="7"/>
      <c r="V409" s="7"/>
      <c r="AC409" s="7"/>
      <c r="AD409" s="7"/>
      <c r="AE409" s="7"/>
    </row>
    <row r="410">
      <c r="A410" s="7"/>
      <c r="B410" s="7"/>
      <c r="C410" s="7"/>
      <c r="D410" s="9"/>
      <c r="E410" s="10"/>
      <c r="F410" s="11"/>
      <c r="G410" s="11"/>
      <c r="J410" s="7"/>
      <c r="K410" s="8"/>
      <c r="L410" s="7"/>
      <c r="M410" s="7"/>
      <c r="N410" s="7"/>
      <c r="Q410" s="8"/>
      <c r="R410" s="7"/>
      <c r="S410" s="9"/>
      <c r="T410" s="7"/>
      <c r="U410" s="7"/>
      <c r="V410" s="7"/>
      <c r="AC410" s="7"/>
      <c r="AD410" s="7"/>
      <c r="AE410" s="7"/>
    </row>
    <row r="411">
      <c r="A411" s="7"/>
      <c r="B411" s="7"/>
      <c r="C411" s="7"/>
      <c r="D411" s="9"/>
      <c r="E411" s="10"/>
      <c r="F411" s="11"/>
      <c r="G411" s="11"/>
      <c r="J411" s="7"/>
      <c r="K411" s="8"/>
      <c r="L411" s="7"/>
      <c r="M411" s="7"/>
      <c r="N411" s="7"/>
      <c r="Q411" s="8"/>
      <c r="R411" s="7"/>
      <c r="S411" s="9"/>
      <c r="T411" s="7"/>
      <c r="U411" s="7"/>
      <c r="V411" s="7"/>
      <c r="AC411" s="7"/>
      <c r="AD411" s="7"/>
      <c r="AE411" s="7"/>
    </row>
    <row r="412">
      <c r="A412" s="7"/>
      <c r="B412" s="7"/>
      <c r="C412" s="7"/>
      <c r="D412" s="9"/>
      <c r="E412" s="10"/>
      <c r="F412" s="11"/>
      <c r="G412" s="11"/>
      <c r="J412" s="7"/>
      <c r="K412" s="8"/>
      <c r="L412" s="7"/>
      <c r="M412" s="7"/>
      <c r="N412" s="7"/>
      <c r="Q412" s="8"/>
      <c r="R412" s="7"/>
      <c r="S412" s="9"/>
      <c r="T412" s="7"/>
      <c r="U412" s="7"/>
      <c r="V412" s="7"/>
      <c r="AC412" s="7"/>
      <c r="AD412" s="7"/>
      <c r="AE412" s="7"/>
    </row>
    <row r="413">
      <c r="A413" s="7"/>
      <c r="B413" s="7"/>
      <c r="C413" s="7"/>
      <c r="D413" s="9"/>
      <c r="E413" s="10"/>
      <c r="F413" s="11"/>
      <c r="G413" s="11"/>
      <c r="J413" s="7"/>
      <c r="K413" s="8"/>
      <c r="L413" s="7"/>
      <c r="M413" s="7"/>
      <c r="N413" s="7"/>
      <c r="Q413" s="8"/>
      <c r="R413" s="7"/>
      <c r="S413" s="9"/>
      <c r="T413" s="7"/>
      <c r="U413" s="7"/>
      <c r="V413" s="7"/>
      <c r="AC413" s="7"/>
      <c r="AD413" s="7"/>
      <c r="AE413" s="7"/>
    </row>
    <row r="414">
      <c r="A414" s="7"/>
      <c r="B414" s="7"/>
      <c r="C414" s="7"/>
      <c r="D414" s="9"/>
      <c r="E414" s="10"/>
      <c r="F414" s="11"/>
      <c r="G414" s="11"/>
      <c r="J414" s="7"/>
      <c r="K414" s="8"/>
      <c r="L414" s="7"/>
      <c r="M414" s="7"/>
      <c r="N414" s="7"/>
      <c r="Q414" s="8"/>
      <c r="R414" s="7"/>
      <c r="S414" s="9"/>
      <c r="T414" s="7"/>
      <c r="U414" s="7"/>
      <c r="V414" s="7"/>
      <c r="AC414" s="7"/>
      <c r="AD414" s="7"/>
      <c r="AE414" s="7"/>
    </row>
    <row r="415">
      <c r="A415" s="7"/>
      <c r="B415" s="7"/>
      <c r="C415" s="7"/>
      <c r="D415" s="9"/>
      <c r="E415" s="10"/>
      <c r="F415" s="11"/>
      <c r="G415" s="11"/>
      <c r="J415" s="7"/>
      <c r="K415" s="8"/>
      <c r="L415" s="7"/>
      <c r="M415" s="7"/>
      <c r="N415" s="7"/>
      <c r="Q415" s="8"/>
      <c r="R415" s="7"/>
      <c r="S415" s="9"/>
      <c r="T415" s="7"/>
      <c r="U415" s="7"/>
      <c r="V415" s="7"/>
      <c r="AC415" s="7"/>
      <c r="AD415" s="7"/>
      <c r="AE415" s="7"/>
    </row>
    <row r="416">
      <c r="A416" s="7"/>
      <c r="B416" s="7"/>
      <c r="C416" s="7"/>
      <c r="D416" s="9"/>
      <c r="E416" s="10"/>
      <c r="F416" s="11"/>
      <c r="G416" s="11"/>
      <c r="J416" s="7"/>
      <c r="K416" s="8"/>
      <c r="L416" s="7"/>
      <c r="M416" s="7"/>
      <c r="N416" s="7"/>
      <c r="Q416" s="8"/>
      <c r="R416" s="7"/>
      <c r="S416" s="9"/>
      <c r="T416" s="7"/>
      <c r="U416" s="7"/>
      <c r="V416" s="7"/>
      <c r="AC416" s="7"/>
      <c r="AD416" s="7"/>
      <c r="AE416" s="7"/>
    </row>
    <row r="417">
      <c r="A417" s="7"/>
      <c r="B417" s="7"/>
      <c r="C417" s="7"/>
      <c r="D417" s="9"/>
      <c r="E417" s="10"/>
      <c r="F417" s="11"/>
      <c r="G417" s="11"/>
      <c r="J417" s="7"/>
      <c r="K417" s="8"/>
      <c r="L417" s="7"/>
      <c r="M417" s="7"/>
      <c r="N417" s="7"/>
      <c r="Q417" s="8"/>
      <c r="R417" s="7"/>
      <c r="S417" s="9"/>
      <c r="T417" s="7"/>
      <c r="U417" s="7"/>
      <c r="V417" s="7"/>
      <c r="AC417" s="7"/>
      <c r="AD417" s="7"/>
      <c r="AE417" s="7"/>
    </row>
    <row r="418">
      <c r="A418" s="7"/>
      <c r="B418" s="7"/>
      <c r="C418" s="7"/>
      <c r="D418" s="9"/>
      <c r="E418" s="10"/>
      <c r="F418" s="11"/>
      <c r="G418" s="11"/>
      <c r="J418" s="7"/>
      <c r="K418" s="8"/>
      <c r="L418" s="7"/>
      <c r="M418" s="7"/>
      <c r="N418" s="7"/>
      <c r="Q418" s="8"/>
      <c r="R418" s="7"/>
      <c r="S418" s="9"/>
      <c r="T418" s="7"/>
      <c r="U418" s="7"/>
      <c r="V418" s="7"/>
      <c r="AC418" s="7"/>
      <c r="AD418" s="7"/>
      <c r="AE418" s="7"/>
    </row>
    <row r="419">
      <c r="A419" s="7"/>
      <c r="B419" s="7"/>
      <c r="C419" s="7"/>
      <c r="D419" s="9"/>
      <c r="E419" s="10"/>
      <c r="F419" s="11"/>
      <c r="G419" s="11"/>
      <c r="J419" s="7"/>
      <c r="K419" s="8"/>
      <c r="L419" s="7"/>
      <c r="M419" s="7"/>
      <c r="N419" s="7"/>
      <c r="Q419" s="8"/>
      <c r="R419" s="7"/>
      <c r="S419" s="9"/>
      <c r="T419" s="7"/>
      <c r="U419" s="7"/>
      <c r="V419" s="7"/>
      <c r="AC419" s="7"/>
      <c r="AD419" s="7"/>
      <c r="AE419" s="7"/>
    </row>
    <row r="420">
      <c r="A420" s="7"/>
      <c r="B420" s="7"/>
      <c r="C420" s="7"/>
      <c r="D420" s="9"/>
      <c r="E420" s="10"/>
      <c r="F420" s="11"/>
      <c r="G420" s="11"/>
      <c r="J420" s="7"/>
      <c r="K420" s="8"/>
      <c r="L420" s="7"/>
      <c r="M420" s="7"/>
      <c r="N420" s="7"/>
      <c r="Q420" s="8"/>
      <c r="R420" s="7"/>
      <c r="S420" s="9"/>
      <c r="T420" s="7"/>
      <c r="U420" s="7"/>
      <c r="V420" s="7"/>
      <c r="AC420" s="7"/>
      <c r="AD420" s="7"/>
      <c r="AE420" s="7"/>
    </row>
    <row r="421">
      <c r="A421" s="7"/>
      <c r="B421" s="7"/>
      <c r="C421" s="7"/>
      <c r="D421" s="9"/>
      <c r="E421" s="10"/>
      <c r="F421" s="11"/>
      <c r="G421" s="11"/>
      <c r="J421" s="7"/>
      <c r="K421" s="8"/>
      <c r="L421" s="7"/>
      <c r="M421" s="7"/>
      <c r="N421" s="7"/>
      <c r="Q421" s="8"/>
      <c r="R421" s="7"/>
      <c r="S421" s="9"/>
      <c r="T421" s="7"/>
      <c r="U421" s="7"/>
      <c r="V421" s="7"/>
      <c r="AC421" s="7"/>
      <c r="AD421" s="7"/>
      <c r="AE421" s="7"/>
    </row>
    <row r="422">
      <c r="A422" s="7"/>
      <c r="B422" s="7"/>
      <c r="C422" s="7"/>
      <c r="D422" s="9"/>
      <c r="E422" s="10"/>
      <c r="F422" s="11"/>
      <c r="G422" s="11"/>
      <c r="J422" s="7"/>
      <c r="K422" s="8"/>
      <c r="L422" s="7"/>
      <c r="M422" s="7"/>
      <c r="N422" s="7"/>
      <c r="Q422" s="8"/>
      <c r="R422" s="7"/>
      <c r="S422" s="9"/>
      <c r="T422" s="7"/>
      <c r="U422" s="7"/>
      <c r="V422" s="7"/>
      <c r="AC422" s="7"/>
      <c r="AD422" s="7"/>
      <c r="AE422" s="7"/>
    </row>
    <row r="423">
      <c r="A423" s="7"/>
      <c r="B423" s="7"/>
      <c r="C423" s="7"/>
      <c r="D423" s="9"/>
      <c r="E423" s="10"/>
      <c r="F423" s="11"/>
      <c r="G423" s="11"/>
      <c r="J423" s="7"/>
      <c r="K423" s="8"/>
      <c r="L423" s="7"/>
      <c r="M423" s="7"/>
      <c r="N423" s="7"/>
      <c r="Q423" s="8"/>
      <c r="R423" s="7"/>
      <c r="S423" s="9"/>
      <c r="T423" s="7"/>
      <c r="U423" s="7"/>
      <c r="V423" s="7"/>
      <c r="AC423" s="7"/>
      <c r="AD423" s="7"/>
      <c r="AE423" s="7"/>
    </row>
    <row r="424">
      <c r="A424" s="7"/>
      <c r="B424" s="7"/>
      <c r="C424" s="7"/>
      <c r="D424" s="9"/>
      <c r="E424" s="10"/>
      <c r="F424" s="11"/>
      <c r="G424" s="11"/>
      <c r="J424" s="7"/>
      <c r="K424" s="8"/>
      <c r="L424" s="7"/>
      <c r="M424" s="7"/>
      <c r="N424" s="7"/>
      <c r="Q424" s="8"/>
      <c r="R424" s="7"/>
      <c r="S424" s="9"/>
      <c r="T424" s="7"/>
      <c r="U424" s="7"/>
      <c r="V424" s="7"/>
      <c r="AC424" s="7"/>
      <c r="AD424" s="7"/>
      <c r="AE424" s="7"/>
    </row>
    <row r="425">
      <c r="A425" s="7"/>
      <c r="B425" s="7"/>
      <c r="C425" s="7"/>
      <c r="D425" s="9"/>
      <c r="E425" s="10"/>
      <c r="F425" s="11"/>
      <c r="G425" s="11"/>
      <c r="J425" s="7"/>
      <c r="K425" s="8"/>
      <c r="L425" s="7"/>
      <c r="M425" s="7"/>
      <c r="N425" s="7"/>
      <c r="Q425" s="8"/>
      <c r="R425" s="7"/>
      <c r="S425" s="9"/>
      <c r="T425" s="7"/>
      <c r="U425" s="7"/>
      <c r="V425" s="7"/>
      <c r="AC425" s="7"/>
      <c r="AD425" s="7"/>
      <c r="AE425" s="7"/>
    </row>
    <row r="426">
      <c r="A426" s="7"/>
      <c r="B426" s="7"/>
      <c r="C426" s="7"/>
      <c r="D426" s="9"/>
      <c r="E426" s="10"/>
      <c r="F426" s="11"/>
      <c r="G426" s="11"/>
      <c r="J426" s="7"/>
      <c r="K426" s="8"/>
      <c r="L426" s="7"/>
      <c r="M426" s="7"/>
      <c r="N426" s="7"/>
      <c r="Q426" s="8"/>
      <c r="R426" s="7"/>
      <c r="S426" s="9"/>
      <c r="T426" s="7"/>
      <c r="U426" s="7"/>
      <c r="V426" s="7"/>
      <c r="AC426" s="7"/>
      <c r="AD426" s="7"/>
      <c r="AE426" s="7"/>
    </row>
    <row r="427">
      <c r="A427" s="7"/>
      <c r="B427" s="7"/>
      <c r="C427" s="7"/>
      <c r="D427" s="9"/>
      <c r="E427" s="10"/>
      <c r="F427" s="11"/>
      <c r="G427" s="11"/>
      <c r="J427" s="7"/>
      <c r="K427" s="8"/>
      <c r="L427" s="7"/>
      <c r="M427" s="7"/>
      <c r="N427" s="7"/>
      <c r="Q427" s="8"/>
      <c r="R427" s="7"/>
      <c r="S427" s="9"/>
      <c r="T427" s="7"/>
      <c r="U427" s="7"/>
      <c r="V427" s="7"/>
      <c r="AC427" s="7"/>
      <c r="AD427" s="7"/>
      <c r="AE427" s="7"/>
    </row>
    <row r="428">
      <c r="A428" s="7"/>
      <c r="B428" s="7"/>
      <c r="C428" s="7"/>
      <c r="D428" s="9"/>
      <c r="E428" s="10"/>
      <c r="F428" s="11"/>
      <c r="G428" s="11"/>
      <c r="J428" s="7"/>
      <c r="K428" s="8"/>
      <c r="L428" s="7"/>
      <c r="M428" s="7"/>
      <c r="N428" s="7"/>
      <c r="Q428" s="8"/>
      <c r="R428" s="7"/>
      <c r="S428" s="9"/>
      <c r="T428" s="7"/>
      <c r="U428" s="7"/>
      <c r="V428" s="7"/>
      <c r="AC428" s="7"/>
      <c r="AD428" s="7"/>
      <c r="AE428" s="7"/>
    </row>
    <row r="429">
      <c r="A429" s="7"/>
      <c r="B429" s="7"/>
      <c r="C429" s="7"/>
      <c r="D429" s="9"/>
      <c r="E429" s="10"/>
      <c r="F429" s="11"/>
      <c r="G429" s="11"/>
      <c r="J429" s="7"/>
      <c r="K429" s="8"/>
      <c r="L429" s="7"/>
      <c r="M429" s="7"/>
      <c r="N429" s="7"/>
      <c r="Q429" s="8"/>
      <c r="R429" s="7"/>
      <c r="S429" s="9"/>
      <c r="T429" s="7"/>
      <c r="U429" s="7"/>
      <c r="V429" s="7"/>
      <c r="AC429" s="7"/>
      <c r="AD429" s="7"/>
      <c r="AE429" s="7"/>
    </row>
    <row r="430">
      <c r="A430" s="7"/>
      <c r="B430" s="7"/>
      <c r="C430" s="7"/>
      <c r="D430" s="9"/>
      <c r="E430" s="10"/>
      <c r="F430" s="11"/>
      <c r="G430" s="11"/>
      <c r="J430" s="7"/>
      <c r="K430" s="8"/>
      <c r="L430" s="7"/>
      <c r="M430" s="7"/>
      <c r="N430" s="7"/>
      <c r="Q430" s="8"/>
      <c r="R430" s="7"/>
      <c r="S430" s="9"/>
      <c r="T430" s="7"/>
      <c r="U430" s="7"/>
      <c r="V430" s="7"/>
      <c r="AC430" s="7"/>
      <c r="AD430" s="7"/>
      <c r="AE430" s="7"/>
    </row>
    <row r="431">
      <c r="A431" s="7"/>
      <c r="B431" s="7"/>
      <c r="C431" s="7"/>
      <c r="D431" s="9"/>
      <c r="E431" s="10"/>
      <c r="F431" s="11"/>
      <c r="G431" s="11"/>
      <c r="J431" s="7"/>
      <c r="K431" s="8"/>
      <c r="L431" s="7"/>
      <c r="M431" s="7"/>
      <c r="N431" s="7"/>
      <c r="Q431" s="8"/>
      <c r="R431" s="7"/>
      <c r="S431" s="9"/>
      <c r="T431" s="7"/>
      <c r="U431" s="7"/>
      <c r="V431" s="7"/>
      <c r="AC431" s="7"/>
      <c r="AD431" s="7"/>
      <c r="AE431" s="7"/>
    </row>
    <row r="432">
      <c r="A432" s="7"/>
      <c r="B432" s="7"/>
      <c r="C432" s="7"/>
      <c r="D432" s="9"/>
      <c r="E432" s="10"/>
      <c r="F432" s="11"/>
      <c r="G432" s="11"/>
      <c r="J432" s="7"/>
      <c r="K432" s="8"/>
      <c r="L432" s="7"/>
      <c r="M432" s="7"/>
      <c r="N432" s="7"/>
      <c r="Q432" s="8"/>
      <c r="R432" s="7"/>
      <c r="S432" s="9"/>
      <c r="T432" s="7"/>
      <c r="U432" s="7"/>
      <c r="V432" s="7"/>
      <c r="AC432" s="7"/>
      <c r="AD432" s="7"/>
      <c r="AE432" s="7"/>
    </row>
    <row r="433">
      <c r="A433" s="7"/>
      <c r="B433" s="7"/>
      <c r="C433" s="7"/>
      <c r="D433" s="9"/>
      <c r="E433" s="10"/>
      <c r="F433" s="11"/>
      <c r="G433" s="11"/>
      <c r="J433" s="7"/>
      <c r="K433" s="8"/>
      <c r="L433" s="7"/>
      <c r="M433" s="7"/>
      <c r="N433" s="7"/>
      <c r="Q433" s="8"/>
      <c r="R433" s="7"/>
      <c r="S433" s="9"/>
      <c r="T433" s="7"/>
      <c r="U433" s="7"/>
      <c r="V433" s="7"/>
      <c r="AC433" s="7"/>
      <c r="AD433" s="7"/>
      <c r="AE433" s="7"/>
    </row>
    <row r="434">
      <c r="A434" s="7"/>
      <c r="B434" s="7"/>
      <c r="C434" s="7"/>
      <c r="D434" s="9"/>
      <c r="E434" s="10"/>
      <c r="F434" s="11"/>
      <c r="G434" s="11"/>
      <c r="J434" s="7"/>
      <c r="K434" s="8"/>
      <c r="L434" s="7"/>
      <c r="M434" s="7"/>
      <c r="N434" s="7"/>
      <c r="Q434" s="8"/>
      <c r="R434" s="7"/>
      <c r="S434" s="9"/>
      <c r="T434" s="7"/>
      <c r="U434" s="7"/>
      <c r="V434" s="7"/>
      <c r="AC434" s="7"/>
      <c r="AD434" s="7"/>
      <c r="AE434" s="7"/>
    </row>
    <row r="435">
      <c r="A435" s="7"/>
      <c r="B435" s="7"/>
      <c r="C435" s="7"/>
      <c r="D435" s="9"/>
      <c r="E435" s="10"/>
      <c r="F435" s="11"/>
      <c r="G435" s="11"/>
      <c r="J435" s="7"/>
      <c r="K435" s="8"/>
      <c r="L435" s="7"/>
      <c r="M435" s="7"/>
      <c r="N435" s="7"/>
      <c r="Q435" s="8"/>
      <c r="R435" s="7"/>
      <c r="S435" s="9"/>
      <c r="T435" s="7"/>
      <c r="U435" s="7"/>
      <c r="V435" s="7"/>
      <c r="AC435" s="7"/>
      <c r="AD435" s="7"/>
      <c r="AE435" s="7"/>
    </row>
    <row r="436">
      <c r="A436" s="7"/>
      <c r="B436" s="7"/>
      <c r="C436" s="7"/>
      <c r="D436" s="9"/>
      <c r="E436" s="10"/>
      <c r="F436" s="11"/>
      <c r="G436" s="11"/>
      <c r="J436" s="7"/>
      <c r="K436" s="8"/>
      <c r="L436" s="7"/>
      <c r="M436" s="7"/>
      <c r="N436" s="7"/>
      <c r="Q436" s="8"/>
      <c r="R436" s="7"/>
      <c r="S436" s="9"/>
      <c r="T436" s="7"/>
      <c r="U436" s="7"/>
      <c r="V436" s="7"/>
      <c r="AC436" s="7"/>
      <c r="AD436" s="7"/>
      <c r="AE436" s="7"/>
    </row>
    <row r="437">
      <c r="A437" s="7"/>
      <c r="B437" s="7"/>
      <c r="C437" s="7"/>
      <c r="D437" s="9"/>
      <c r="E437" s="10"/>
      <c r="F437" s="11"/>
      <c r="G437" s="11"/>
      <c r="J437" s="7"/>
      <c r="K437" s="8"/>
      <c r="L437" s="7"/>
      <c r="M437" s="7"/>
      <c r="N437" s="7"/>
      <c r="Q437" s="8"/>
      <c r="R437" s="7"/>
      <c r="S437" s="9"/>
      <c r="T437" s="7"/>
      <c r="U437" s="7"/>
      <c r="V437" s="7"/>
      <c r="AC437" s="7"/>
      <c r="AD437" s="7"/>
      <c r="AE437" s="7"/>
    </row>
    <row r="438">
      <c r="A438" s="7"/>
      <c r="B438" s="7"/>
      <c r="C438" s="7"/>
      <c r="D438" s="9"/>
      <c r="E438" s="10"/>
      <c r="F438" s="11"/>
      <c r="G438" s="11"/>
      <c r="J438" s="7"/>
      <c r="K438" s="8"/>
      <c r="L438" s="7"/>
      <c r="M438" s="7"/>
      <c r="N438" s="7"/>
      <c r="Q438" s="8"/>
      <c r="R438" s="7"/>
      <c r="S438" s="9"/>
      <c r="T438" s="7"/>
      <c r="U438" s="7"/>
      <c r="V438" s="7"/>
      <c r="AC438" s="7"/>
      <c r="AD438" s="7"/>
      <c r="AE438" s="7"/>
    </row>
    <row r="439">
      <c r="A439" s="7"/>
      <c r="B439" s="7"/>
      <c r="C439" s="7"/>
      <c r="D439" s="9"/>
      <c r="E439" s="10"/>
      <c r="F439" s="11"/>
      <c r="G439" s="11"/>
      <c r="J439" s="7"/>
      <c r="K439" s="8"/>
      <c r="L439" s="7"/>
      <c r="M439" s="7"/>
      <c r="N439" s="7"/>
      <c r="Q439" s="8"/>
      <c r="R439" s="7"/>
      <c r="S439" s="9"/>
      <c r="T439" s="7"/>
      <c r="U439" s="7"/>
      <c r="V439" s="7"/>
      <c r="AC439" s="7"/>
      <c r="AD439" s="7"/>
      <c r="AE439" s="7"/>
    </row>
    <row r="440">
      <c r="A440" s="7"/>
      <c r="B440" s="7"/>
      <c r="C440" s="7"/>
      <c r="D440" s="9"/>
      <c r="E440" s="10"/>
      <c r="F440" s="11"/>
      <c r="G440" s="11"/>
      <c r="J440" s="7"/>
      <c r="K440" s="8"/>
      <c r="L440" s="7"/>
      <c r="M440" s="7"/>
      <c r="N440" s="7"/>
      <c r="Q440" s="8"/>
      <c r="R440" s="7"/>
      <c r="S440" s="9"/>
      <c r="T440" s="7"/>
      <c r="U440" s="7"/>
      <c r="V440" s="7"/>
      <c r="AC440" s="7"/>
      <c r="AD440" s="7"/>
      <c r="AE440" s="7"/>
    </row>
    <row r="441">
      <c r="A441" s="7"/>
      <c r="B441" s="7"/>
      <c r="C441" s="7"/>
      <c r="D441" s="9"/>
      <c r="E441" s="10"/>
      <c r="F441" s="11"/>
      <c r="G441" s="11"/>
      <c r="J441" s="7"/>
      <c r="K441" s="8"/>
      <c r="L441" s="7"/>
      <c r="M441" s="7"/>
      <c r="N441" s="7"/>
      <c r="Q441" s="8"/>
      <c r="R441" s="7"/>
      <c r="S441" s="9"/>
      <c r="T441" s="7"/>
      <c r="U441" s="7"/>
      <c r="V441" s="7"/>
      <c r="AC441" s="7"/>
      <c r="AD441" s="7"/>
      <c r="AE441" s="7"/>
    </row>
    <row r="442">
      <c r="A442" s="7"/>
      <c r="B442" s="7"/>
      <c r="C442" s="7"/>
      <c r="D442" s="9"/>
      <c r="E442" s="10"/>
      <c r="F442" s="11"/>
      <c r="G442" s="11"/>
      <c r="J442" s="7"/>
      <c r="K442" s="8"/>
      <c r="L442" s="7"/>
      <c r="M442" s="7"/>
      <c r="N442" s="7"/>
      <c r="Q442" s="8"/>
      <c r="R442" s="7"/>
      <c r="S442" s="9"/>
      <c r="T442" s="7"/>
      <c r="U442" s="7"/>
      <c r="V442" s="7"/>
      <c r="AC442" s="7"/>
      <c r="AD442" s="7"/>
      <c r="AE442" s="7"/>
    </row>
    <row r="443">
      <c r="A443" s="7"/>
      <c r="B443" s="7"/>
      <c r="C443" s="7"/>
      <c r="D443" s="9"/>
      <c r="E443" s="10"/>
      <c r="F443" s="11"/>
      <c r="G443" s="11"/>
      <c r="J443" s="7"/>
      <c r="K443" s="8"/>
      <c r="L443" s="7"/>
      <c r="M443" s="7"/>
      <c r="N443" s="7"/>
      <c r="Q443" s="8"/>
      <c r="R443" s="7"/>
      <c r="S443" s="9"/>
      <c r="T443" s="7"/>
      <c r="U443" s="7"/>
      <c r="V443" s="7"/>
      <c r="AC443" s="7"/>
      <c r="AD443" s="7"/>
      <c r="AE443" s="7"/>
    </row>
    <row r="444">
      <c r="A444" s="7"/>
      <c r="B444" s="7"/>
      <c r="C444" s="7"/>
      <c r="D444" s="9"/>
      <c r="E444" s="10"/>
      <c r="F444" s="11"/>
      <c r="G444" s="11"/>
      <c r="J444" s="7"/>
      <c r="K444" s="8"/>
      <c r="L444" s="7"/>
      <c r="M444" s="7"/>
      <c r="N444" s="7"/>
      <c r="Q444" s="8"/>
      <c r="R444" s="7"/>
      <c r="S444" s="9"/>
      <c r="T444" s="7"/>
      <c r="U444" s="7"/>
      <c r="V444" s="7"/>
      <c r="AC444" s="7"/>
      <c r="AD444" s="7"/>
      <c r="AE444" s="7"/>
    </row>
    <row r="445">
      <c r="A445" s="7"/>
      <c r="B445" s="7"/>
      <c r="C445" s="7"/>
      <c r="D445" s="9"/>
      <c r="E445" s="10"/>
      <c r="F445" s="11"/>
      <c r="G445" s="11"/>
      <c r="J445" s="7"/>
      <c r="K445" s="8"/>
      <c r="L445" s="7"/>
      <c r="M445" s="7"/>
      <c r="N445" s="7"/>
      <c r="Q445" s="8"/>
      <c r="R445" s="7"/>
      <c r="S445" s="9"/>
      <c r="T445" s="7"/>
      <c r="U445" s="7"/>
      <c r="V445" s="7"/>
      <c r="AC445" s="7"/>
      <c r="AD445" s="7"/>
      <c r="AE445" s="7"/>
    </row>
    <row r="446">
      <c r="A446" s="7"/>
      <c r="B446" s="7"/>
      <c r="C446" s="7"/>
      <c r="D446" s="9"/>
      <c r="E446" s="10"/>
      <c r="F446" s="11"/>
      <c r="G446" s="11"/>
      <c r="J446" s="7"/>
      <c r="K446" s="8"/>
      <c r="L446" s="7"/>
      <c r="M446" s="7"/>
      <c r="N446" s="7"/>
      <c r="Q446" s="8"/>
      <c r="R446" s="7"/>
      <c r="S446" s="9"/>
      <c r="T446" s="7"/>
      <c r="U446" s="7"/>
      <c r="V446" s="7"/>
      <c r="AC446" s="7"/>
      <c r="AD446" s="7"/>
      <c r="AE446" s="7"/>
    </row>
    <row r="447">
      <c r="A447" s="7"/>
      <c r="B447" s="7"/>
      <c r="C447" s="7"/>
      <c r="D447" s="9"/>
      <c r="E447" s="10"/>
      <c r="F447" s="11"/>
      <c r="G447" s="11"/>
      <c r="J447" s="7"/>
      <c r="K447" s="8"/>
      <c r="L447" s="7"/>
      <c r="M447" s="7"/>
      <c r="N447" s="7"/>
      <c r="Q447" s="8"/>
      <c r="R447" s="7"/>
      <c r="S447" s="9"/>
      <c r="T447" s="7"/>
      <c r="U447" s="7"/>
      <c r="V447" s="7"/>
      <c r="AC447" s="7"/>
      <c r="AD447" s="7"/>
      <c r="AE447" s="7"/>
    </row>
    <row r="448">
      <c r="A448" s="7"/>
      <c r="B448" s="7"/>
      <c r="C448" s="7"/>
      <c r="D448" s="9"/>
      <c r="E448" s="10"/>
      <c r="F448" s="11"/>
      <c r="G448" s="11"/>
      <c r="J448" s="7"/>
      <c r="K448" s="8"/>
      <c r="L448" s="7"/>
      <c r="M448" s="7"/>
      <c r="N448" s="7"/>
      <c r="Q448" s="8"/>
      <c r="R448" s="7"/>
      <c r="S448" s="9"/>
      <c r="T448" s="7"/>
      <c r="U448" s="7"/>
      <c r="V448" s="7"/>
      <c r="AC448" s="7"/>
      <c r="AD448" s="7"/>
      <c r="AE448" s="7"/>
    </row>
    <row r="449">
      <c r="A449" s="7"/>
      <c r="B449" s="7"/>
      <c r="C449" s="7"/>
      <c r="D449" s="9"/>
      <c r="E449" s="10"/>
      <c r="F449" s="11"/>
      <c r="G449" s="11"/>
      <c r="J449" s="7"/>
      <c r="K449" s="8"/>
      <c r="L449" s="7"/>
      <c r="M449" s="7"/>
      <c r="N449" s="7"/>
      <c r="Q449" s="8"/>
      <c r="R449" s="7"/>
      <c r="S449" s="9"/>
      <c r="T449" s="7"/>
      <c r="U449" s="7"/>
      <c r="V449" s="7"/>
      <c r="AC449" s="7"/>
      <c r="AD449" s="7"/>
      <c r="AE449" s="7"/>
    </row>
    <row r="450">
      <c r="A450" s="7"/>
      <c r="B450" s="7"/>
      <c r="C450" s="7"/>
      <c r="D450" s="9"/>
      <c r="E450" s="10"/>
      <c r="F450" s="11"/>
      <c r="G450" s="11"/>
      <c r="J450" s="7"/>
      <c r="K450" s="8"/>
      <c r="L450" s="7"/>
      <c r="M450" s="7"/>
      <c r="N450" s="7"/>
      <c r="Q450" s="8"/>
      <c r="R450" s="7"/>
      <c r="S450" s="9"/>
      <c r="T450" s="7"/>
      <c r="U450" s="7"/>
      <c r="V450" s="7"/>
      <c r="AC450" s="7"/>
      <c r="AD450" s="7"/>
      <c r="AE450" s="7"/>
    </row>
    <row r="451">
      <c r="A451" s="7"/>
      <c r="B451" s="7"/>
      <c r="C451" s="7"/>
      <c r="D451" s="9"/>
      <c r="E451" s="10"/>
      <c r="F451" s="11"/>
      <c r="G451" s="11"/>
      <c r="J451" s="7"/>
      <c r="K451" s="8"/>
      <c r="L451" s="7"/>
      <c r="M451" s="7"/>
      <c r="N451" s="7"/>
      <c r="Q451" s="8"/>
      <c r="R451" s="7"/>
      <c r="S451" s="9"/>
      <c r="T451" s="7"/>
      <c r="U451" s="7"/>
      <c r="V451" s="7"/>
      <c r="AC451" s="7"/>
      <c r="AD451" s="7"/>
      <c r="AE451" s="7"/>
    </row>
    <row r="452">
      <c r="A452" s="7"/>
      <c r="B452" s="7"/>
      <c r="C452" s="7"/>
      <c r="D452" s="9"/>
      <c r="E452" s="10"/>
      <c r="F452" s="11"/>
      <c r="G452" s="11"/>
      <c r="J452" s="7"/>
      <c r="K452" s="8"/>
      <c r="L452" s="7"/>
      <c r="M452" s="7"/>
      <c r="N452" s="7"/>
      <c r="Q452" s="8"/>
      <c r="R452" s="7"/>
      <c r="S452" s="9"/>
      <c r="T452" s="7"/>
      <c r="U452" s="7"/>
      <c r="V452" s="7"/>
      <c r="AC452" s="7"/>
      <c r="AD452" s="7"/>
      <c r="AE452" s="7"/>
    </row>
    <row r="453">
      <c r="A453" s="7"/>
      <c r="B453" s="7"/>
      <c r="C453" s="7"/>
      <c r="D453" s="9"/>
      <c r="E453" s="10"/>
      <c r="F453" s="11"/>
      <c r="G453" s="11"/>
      <c r="J453" s="7"/>
      <c r="K453" s="8"/>
      <c r="L453" s="7"/>
      <c r="M453" s="7"/>
      <c r="N453" s="7"/>
      <c r="Q453" s="8"/>
      <c r="R453" s="7"/>
      <c r="S453" s="9"/>
      <c r="T453" s="7"/>
      <c r="U453" s="7"/>
      <c r="V453" s="7"/>
      <c r="AC453" s="7"/>
      <c r="AD453" s="7"/>
      <c r="AE453" s="7"/>
    </row>
    <row r="454">
      <c r="A454" s="7"/>
      <c r="B454" s="7"/>
      <c r="C454" s="7"/>
      <c r="D454" s="9"/>
      <c r="E454" s="10"/>
      <c r="F454" s="11"/>
      <c r="G454" s="11"/>
      <c r="J454" s="7"/>
      <c r="K454" s="8"/>
      <c r="L454" s="7"/>
      <c r="M454" s="7"/>
      <c r="N454" s="7"/>
      <c r="Q454" s="8"/>
      <c r="R454" s="7"/>
      <c r="S454" s="9"/>
      <c r="T454" s="7"/>
      <c r="U454" s="7"/>
      <c r="V454" s="7"/>
      <c r="AC454" s="7"/>
      <c r="AD454" s="7"/>
      <c r="AE454" s="7"/>
    </row>
    <row r="455">
      <c r="A455" s="7"/>
      <c r="B455" s="7"/>
      <c r="C455" s="7"/>
      <c r="D455" s="9"/>
      <c r="E455" s="10"/>
      <c r="F455" s="11"/>
      <c r="G455" s="11"/>
      <c r="J455" s="7"/>
      <c r="K455" s="8"/>
      <c r="L455" s="7"/>
      <c r="M455" s="7"/>
      <c r="N455" s="7"/>
      <c r="Q455" s="8"/>
      <c r="R455" s="7"/>
      <c r="S455" s="9"/>
      <c r="T455" s="7"/>
      <c r="U455" s="7"/>
      <c r="V455" s="7"/>
      <c r="AC455" s="7"/>
      <c r="AD455" s="7"/>
      <c r="AE455" s="7"/>
    </row>
    <row r="456">
      <c r="A456" s="7"/>
      <c r="B456" s="7"/>
      <c r="C456" s="7"/>
      <c r="D456" s="9"/>
      <c r="E456" s="10"/>
      <c r="F456" s="11"/>
      <c r="G456" s="11"/>
      <c r="J456" s="7"/>
      <c r="K456" s="8"/>
      <c r="L456" s="7"/>
      <c r="M456" s="7"/>
      <c r="N456" s="7"/>
      <c r="Q456" s="8"/>
      <c r="R456" s="7"/>
      <c r="S456" s="9"/>
      <c r="T456" s="7"/>
      <c r="U456" s="7"/>
      <c r="V456" s="7"/>
      <c r="AC456" s="7"/>
      <c r="AD456" s="7"/>
      <c r="AE456" s="7"/>
    </row>
    <row r="457">
      <c r="A457" s="7"/>
      <c r="B457" s="7"/>
      <c r="C457" s="7"/>
      <c r="D457" s="9"/>
      <c r="E457" s="10"/>
      <c r="F457" s="11"/>
      <c r="G457" s="11"/>
      <c r="J457" s="7"/>
      <c r="K457" s="8"/>
      <c r="L457" s="7"/>
      <c r="M457" s="7"/>
      <c r="N457" s="7"/>
      <c r="Q457" s="8"/>
      <c r="R457" s="7"/>
      <c r="S457" s="9"/>
      <c r="T457" s="7"/>
      <c r="U457" s="7"/>
      <c r="V457" s="7"/>
      <c r="AC457" s="7"/>
      <c r="AD457" s="7"/>
      <c r="AE457" s="7"/>
    </row>
    <row r="458">
      <c r="A458" s="7"/>
      <c r="B458" s="7"/>
      <c r="C458" s="7"/>
      <c r="D458" s="9"/>
      <c r="E458" s="10"/>
      <c r="F458" s="11"/>
      <c r="G458" s="11"/>
      <c r="J458" s="7"/>
      <c r="K458" s="8"/>
      <c r="L458" s="7"/>
      <c r="M458" s="7"/>
      <c r="N458" s="7"/>
      <c r="Q458" s="8"/>
      <c r="R458" s="7"/>
      <c r="S458" s="9"/>
      <c r="T458" s="7"/>
      <c r="U458" s="7"/>
      <c r="V458" s="7"/>
      <c r="AC458" s="7"/>
      <c r="AD458" s="7"/>
      <c r="AE458" s="7"/>
    </row>
    <row r="459">
      <c r="A459" s="7"/>
      <c r="B459" s="7"/>
      <c r="C459" s="7"/>
      <c r="D459" s="9"/>
      <c r="E459" s="10"/>
      <c r="F459" s="11"/>
      <c r="G459" s="11"/>
      <c r="J459" s="7"/>
      <c r="K459" s="8"/>
      <c r="L459" s="7"/>
      <c r="M459" s="7"/>
      <c r="N459" s="7"/>
      <c r="Q459" s="8"/>
      <c r="R459" s="7"/>
      <c r="S459" s="9"/>
      <c r="T459" s="7"/>
      <c r="U459" s="7"/>
      <c r="V459" s="7"/>
      <c r="AC459" s="7"/>
      <c r="AD459" s="7"/>
      <c r="AE459" s="7"/>
    </row>
    <row r="460">
      <c r="A460" s="7"/>
      <c r="B460" s="7"/>
      <c r="C460" s="7"/>
      <c r="D460" s="9"/>
      <c r="E460" s="10"/>
      <c r="F460" s="11"/>
      <c r="G460" s="11"/>
      <c r="J460" s="7"/>
      <c r="K460" s="8"/>
      <c r="L460" s="7"/>
      <c r="M460" s="7"/>
      <c r="N460" s="7"/>
      <c r="Q460" s="8"/>
      <c r="R460" s="7"/>
      <c r="S460" s="9"/>
      <c r="T460" s="7"/>
      <c r="U460" s="7"/>
      <c r="V460" s="7"/>
      <c r="AC460" s="7"/>
      <c r="AD460" s="7"/>
      <c r="AE460" s="7"/>
    </row>
    <row r="461">
      <c r="A461" s="7"/>
      <c r="B461" s="7"/>
      <c r="C461" s="7"/>
      <c r="D461" s="9"/>
      <c r="E461" s="10"/>
      <c r="F461" s="11"/>
      <c r="G461" s="11"/>
      <c r="J461" s="7"/>
      <c r="K461" s="8"/>
      <c r="L461" s="7"/>
      <c r="M461" s="7"/>
      <c r="N461" s="7"/>
      <c r="Q461" s="8"/>
      <c r="R461" s="7"/>
      <c r="S461" s="9"/>
      <c r="T461" s="7"/>
      <c r="U461" s="7"/>
      <c r="V461" s="7"/>
      <c r="AC461" s="7"/>
      <c r="AD461" s="7"/>
      <c r="AE461" s="7"/>
    </row>
    <row r="462">
      <c r="A462" s="7"/>
      <c r="B462" s="7"/>
      <c r="C462" s="7"/>
      <c r="D462" s="9"/>
      <c r="E462" s="10"/>
      <c r="F462" s="11"/>
      <c r="G462" s="11"/>
      <c r="J462" s="7"/>
      <c r="K462" s="8"/>
      <c r="L462" s="7"/>
      <c r="M462" s="7"/>
      <c r="N462" s="7"/>
      <c r="Q462" s="8"/>
      <c r="R462" s="7"/>
      <c r="S462" s="9"/>
      <c r="T462" s="7"/>
      <c r="U462" s="7"/>
      <c r="V462" s="7"/>
      <c r="AC462" s="7"/>
      <c r="AD462" s="7"/>
      <c r="AE462" s="7"/>
    </row>
    <row r="463">
      <c r="A463" s="7"/>
      <c r="B463" s="7"/>
      <c r="C463" s="7"/>
      <c r="D463" s="9"/>
      <c r="E463" s="10"/>
      <c r="F463" s="11"/>
      <c r="G463" s="11"/>
      <c r="J463" s="7"/>
      <c r="K463" s="8"/>
      <c r="L463" s="7"/>
      <c r="M463" s="7"/>
      <c r="N463" s="7"/>
      <c r="Q463" s="8"/>
      <c r="R463" s="7"/>
      <c r="S463" s="9"/>
      <c r="T463" s="7"/>
      <c r="U463" s="7"/>
      <c r="V463" s="7"/>
      <c r="AC463" s="7"/>
      <c r="AD463" s="7"/>
      <c r="AE463" s="7"/>
    </row>
    <row r="464">
      <c r="A464" s="7"/>
      <c r="B464" s="7"/>
      <c r="C464" s="7"/>
      <c r="D464" s="9"/>
      <c r="E464" s="10"/>
      <c r="F464" s="11"/>
      <c r="G464" s="11"/>
      <c r="J464" s="7"/>
      <c r="K464" s="8"/>
      <c r="L464" s="7"/>
      <c r="M464" s="7"/>
      <c r="N464" s="7"/>
      <c r="Q464" s="8"/>
      <c r="R464" s="7"/>
      <c r="S464" s="9"/>
      <c r="T464" s="7"/>
      <c r="U464" s="7"/>
      <c r="V464" s="7"/>
      <c r="AC464" s="7"/>
      <c r="AD464" s="7"/>
      <c r="AE464" s="7"/>
    </row>
    <row r="465">
      <c r="A465" s="7"/>
      <c r="B465" s="7"/>
      <c r="C465" s="7"/>
      <c r="D465" s="9"/>
      <c r="E465" s="10"/>
      <c r="F465" s="11"/>
      <c r="G465" s="11"/>
      <c r="J465" s="7"/>
      <c r="K465" s="8"/>
      <c r="L465" s="7"/>
      <c r="M465" s="7"/>
      <c r="N465" s="7"/>
      <c r="Q465" s="8"/>
      <c r="R465" s="7"/>
      <c r="S465" s="9"/>
      <c r="T465" s="7"/>
      <c r="U465" s="7"/>
      <c r="V465" s="7"/>
      <c r="AC465" s="7"/>
      <c r="AD465" s="7"/>
      <c r="AE465" s="7"/>
    </row>
    <row r="466">
      <c r="A466" s="7"/>
      <c r="B466" s="7"/>
      <c r="C466" s="7"/>
      <c r="D466" s="9"/>
      <c r="E466" s="10"/>
      <c r="F466" s="11"/>
      <c r="G466" s="11"/>
      <c r="J466" s="7"/>
      <c r="K466" s="8"/>
      <c r="L466" s="7"/>
      <c r="M466" s="7"/>
      <c r="N466" s="7"/>
      <c r="Q466" s="8"/>
      <c r="R466" s="7"/>
      <c r="S466" s="9"/>
      <c r="T466" s="7"/>
      <c r="U466" s="7"/>
      <c r="V466" s="7"/>
      <c r="AC466" s="7"/>
      <c r="AD466" s="7"/>
      <c r="AE466" s="7"/>
    </row>
    <row r="467">
      <c r="A467" s="7"/>
      <c r="B467" s="7"/>
      <c r="C467" s="7"/>
      <c r="D467" s="9"/>
      <c r="E467" s="10"/>
      <c r="F467" s="11"/>
      <c r="G467" s="11"/>
      <c r="J467" s="7"/>
      <c r="K467" s="8"/>
      <c r="L467" s="7"/>
      <c r="M467" s="7"/>
      <c r="N467" s="7"/>
      <c r="Q467" s="8"/>
      <c r="R467" s="7"/>
      <c r="S467" s="9"/>
      <c r="T467" s="7"/>
      <c r="U467" s="7"/>
      <c r="V467" s="7"/>
      <c r="AC467" s="7"/>
      <c r="AD467" s="7"/>
      <c r="AE467" s="7"/>
    </row>
    <row r="468">
      <c r="A468" s="7"/>
      <c r="B468" s="7"/>
      <c r="C468" s="7"/>
      <c r="D468" s="9"/>
      <c r="E468" s="10"/>
      <c r="F468" s="11"/>
      <c r="G468" s="11"/>
      <c r="J468" s="7"/>
      <c r="K468" s="8"/>
      <c r="L468" s="7"/>
      <c r="M468" s="7"/>
      <c r="N468" s="7"/>
      <c r="Q468" s="8"/>
      <c r="R468" s="7"/>
      <c r="S468" s="9"/>
      <c r="T468" s="7"/>
      <c r="U468" s="7"/>
      <c r="V468" s="7"/>
      <c r="AC468" s="7"/>
      <c r="AD468" s="7"/>
      <c r="AE468" s="7"/>
    </row>
    <row r="469">
      <c r="A469" s="7"/>
      <c r="B469" s="7"/>
      <c r="C469" s="7"/>
      <c r="D469" s="9"/>
      <c r="E469" s="10"/>
      <c r="F469" s="11"/>
      <c r="G469" s="11"/>
      <c r="J469" s="7"/>
      <c r="K469" s="8"/>
      <c r="L469" s="7"/>
      <c r="M469" s="7"/>
      <c r="N469" s="7"/>
      <c r="Q469" s="8"/>
      <c r="R469" s="7"/>
      <c r="S469" s="9"/>
      <c r="T469" s="7"/>
      <c r="U469" s="7"/>
      <c r="V469" s="7"/>
      <c r="AC469" s="7"/>
      <c r="AD469" s="7"/>
      <c r="AE469" s="7"/>
    </row>
    <row r="470">
      <c r="A470" s="7"/>
      <c r="B470" s="7"/>
      <c r="C470" s="7"/>
      <c r="D470" s="9"/>
      <c r="E470" s="10"/>
      <c r="F470" s="11"/>
      <c r="G470" s="11"/>
      <c r="J470" s="7"/>
      <c r="K470" s="8"/>
      <c r="L470" s="7"/>
      <c r="M470" s="7"/>
      <c r="N470" s="7"/>
      <c r="Q470" s="8"/>
      <c r="R470" s="7"/>
      <c r="S470" s="9"/>
      <c r="T470" s="7"/>
      <c r="U470" s="7"/>
      <c r="V470" s="7"/>
      <c r="AC470" s="7"/>
      <c r="AD470" s="7"/>
      <c r="AE470" s="7"/>
    </row>
    <row r="471">
      <c r="A471" s="7"/>
      <c r="B471" s="7"/>
      <c r="C471" s="7"/>
      <c r="D471" s="9"/>
      <c r="E471" s="10"/>
      <c r="F471" s="11"/>
      <c r="G471" s="11"/>
      <c r="J471" s="7"/>
      <c r="K471" s="8"/>
      <c r="L471" s="7"/>
      <c r="M471" s="7"/>
      <c r="N471" s="7"/>
      <c r="Q471" s="8"/>
      <c r="R471" s="7"/>
      <c r="S471" s="9"/>
      <c r="T471" s="7"/>
      <c r="U471" s="7"/>
      <c r="V471" s="7"/>
      <c r="AC471" s="7"/>
      <c r="AD471" s="7"/>
      <c r="AE471" s="7"/>
    </row>
    <row r="472">
      <c r="A472" s="7"/>
      <c r="B472" s="7"/>
      <c r="C472" s="7"/>
      <c r="D472" s="9"/>
      <c r="E472" s="10"/>
      <c r="F472" s="11"/>
      <c r="G472" s="11"/>
      <c r="J472" s="7"/>
      <c r="K472" s="8"/>
      <c r="L472" s="7"/>
      <c r="M472" s="7"/>
      <c r="N472" s="7"/>
      <c r="Q472" s="8"/>
      <c r="R472" s="7"/>
      <c r="S472" s="9"/>
      <c r="T472" s="7"/>
      <c r="U472" s="7"/>
      <c r="V472" s="7"/>
      <c r="AC472" s="7"/>
      <c r="AD472" s="7"/>
      <c r="AE472" s="7"/>
    </row>
    <row r="473">
      <c r="A473" s="7"/>
      <c r="B473" s="7"/>
      <c r="C473" s="7"/>
      <c r="D473" s="9"/>
      <c r="E473" s="10"/>
      <c r="F473" s="11"/>
      <c r="G473" s="11"/>
      <c r="J473" s="7"/>
      <c r="K473" s="8"/>
      <c r="L473" s="7"/>
      <c r="M473" s="7"/>
      <c r="N473" s="7"/>
      <c r="Q473" s="8"/>
      <c r="R473" s="7"/>
      <c r="S473" s="9"/>
      <c r="T473" s="7"/>
      <c r="U473" s="7"/>
      <c r="V473" s="7"/>
      <c r="AC473" s="7"/>
      <c r="AD473" s="7"/>
      <c r="AE473" s="7"/>
    </row>
    <row r="474">
      <c r="A474" s="7"/>
      <c r="B474" s="7"/>
      <c r="C474" s="7"/>
      <c r="D474" s="9"/>
      <c r="E474" s="10"/>
      <c r="F474" s="11"/>
      <c r="G474" s="11"/>
      <c r="J474" s="7"/>
      <c r="K474" s="8"/>
      <c r="L474" s="7"/>
      <c r="M474" s="7"/>
      <c r="N474" s="7"/>
      <c r="Q474" s="8"/>
      <c r="R474" s="7"/>
      <c r="S474" s="9"/>
      <c r="T474" s="7"/>
      <c r="U474" s="7"/>
      <c r="V474" s="7"/>
      <c r="AC474" s="7"/>
      <c r="AD474" s="7"/>
      <c r="AE474" s="7"/>
    </row>
    <row r="475">
      <c r="A475" s="7"/>
      <c r="B475" s="7"/>
      <c r="C475" s="7"/>
      <c r="D475" s="9"/>
      <c r="E475" s="10"/>
      <c r="F475" s="11"/>
      <c r="G475" s="11"/>
      <c r="J475" s="7"/>
      <c r="K475" s="8"/>
      <c r="L475" s="7"/>
      <c r="M475" s="7"/>
      <c r="N475" s="7"/>
      <c r="Q475" s="8"/>
      <c r="R475" s="7"/>
      <c r="S475" s="9"/>
      <c r="T475" s="7"/>
      <c r="U475" s="7"/>
      <c r="V475" s="7"/>
      <c r="AC475" s="7"/>
      <c r="AD475" s="7"/>
      <c r="AE475" s="7"/>
    </row>
    <row r="476">
      <c r="A476" s="7"/>
      <c r="B476" s="7"/>
      <c r="C476" s="7"/>
      <c r="D476" s="9"/>
      <c r="E476" s="10"/>
      <c r="F476" s="11"/>
      <c r="G476" s="11"/>
      <c r="J476" s="7"/>
      <c r="K476" s="8"/>
      <c r="L476" s="7"/>
      <c r="M476" s="7"/>
      <c r="N476" s="7"/>
      <c r="Q476" s="8"/>
      <c r="R476" s="7"/>
      <c r="S476" s="9"/>
      <c r="T476" s="7"/>
      <c r="U476" s="7"/>
      <c r="V476" s="7"/>
      <c r="AC476" s="7"/>
      <c r="AD476" s="7"/>
      <c r="AE476" s="7"/>
    </row>
    <row r="477">
      <c r="A477" s="7"/>
      <c r="B477" s="7"/>
      <c r="C477" s="7"/>
      <c r="D477" s="9"/>
      <c r="E477" s="10"/>
      <c r="F477" s="11"/>
      <c r="G477" s="11"/>
      <c r="J477" s="7"/>
      <c r="K477" s="8"/>
      <c r="L477" s="7"/>
      <c r="M477" s="7"/>
      <c r="N477" s="7"/>
      <c r="Q477" s="8"/>
      <c r="R477" s="7"/>
      <c r="S477" s="9"/>
      <c r="T477" s="7"/>
      <c r="U477" s="7"/>
      <c r="V477" s="7"/>
      <c r="AC477" s="7"/>
      <c r="AD477" s="7"/>
      <c r="AE477" s="7"/>
    </row>
    <row r="478">
      <c r="A478" s="7"/>
      <c r="B478" s="7"/>
      <c r="C478" s="7"/>
      <c r="D478" s="9"/>
      <c r="E478" s="10"/>
      <c r="F478" s="11"/>
      <c r="G478" s="11"/>
      <c r="J478" s="7"/>
      <c r="K478" s="8"/>
      <c r="L478" s="7"/>
      <c r="M478" s="7"/>
      <c r="N478" s="7"/>
      <c r="Q478" s="8"/>
      <c r="R478" s="7"/>
      <c r="S478" s="9"/>
      <c r="T478" s="7"/>
      <c r="U478" s="7"/>
      <c r="V478" s="7"/>
      <c r="AC478" s="7"/>
      <c r="AD478" s="7"/>
      <c r="AE478" s="7"/>
    </row>
    <row r="479">
      <c r="A479" s="7"/>
      <c r="B479" s="7"/>
      <c r="C479" s="7"/>
      <c r="D479" s="9"/>
      <c r="E479" s="10"/>
      <c r="F479" s="11"/>
      <c r="G479" s="11"/>
      <c r="J479" s="7"/>
      <c r="K479" s="8"/>
      <c r="L479" s="7"/>
      <c r="M479" s="7"/>
      <c r="N479" s="7"/>
      <c r="Q479" s="8"/>
      <c r="R479" s="7"/>
      <c r="S479" s="9"/>
      <c r="T479" s="7"/>
      <c r="U479" s="7"/>
      <c r="V479" s="7"/>
      <c r="AC479" s="7"/>
      <c r="AD479" s="7"/>
      <c r="AE479" s="7"/>
    </row>
    <row r="480">
      <c r="A480" s="7"/>
      <c r="B480" s="7"/>
      <c r="C480" s="7"/>
      <c r="D480" s="9"/>
      <c r="E480" s="10"/>
      <c r="F480" s="11"/>
      <c r="G480" s="11"/>
      <c r="J480" s="7"/>
      <c r="K480" s="8"/>
      <c r="L480" s="7"/>
      <c r="M480" s="7"/>
      <c r="N480" s="7"/>
      <c r="Q480" s="8"/>
      <c r="R480" s="7"/>
      <c r="S480" s="9"/>
      <c r="T480" s="7"/>
      <c r="U480" s="7"/>
      <c r="V480" s="7"/>
      <c r="AC480" s="7"/>
      <c r="AD480" s="7"/>
      <c r="AE480" s="7"/>
    </row>
    <row r="481">
      <c r="A481" s="7"/>
      <c r="B481" s="7"/>
      <c r="C481" s="7"/>
      <c r="D481" s="9"/>
      <c r="E481" s="10"/>
      <c r="F481" s="11"/>
      <c r="G481" s="11"/>
      <c r="J481" s="7"/>
      <c r="K481" s="8"/>
      <c r="L481" s="7"/>
      <c r="M481" s="7"/>
      <c r="N481" s="7"/>
      <c r="Q481" s="8"/>
      <c r="R481" s="7"/>
      <c r="S481" s="9"/>
      <c r="T481" s="7"/>
      <c r="U481" s="7"/>
      <c r="V481" s="7"/>
      <c r="AC481" s="7"/>
      <c r="AD481" s="7"/>
      <c r="AE481" s="7"/>
    </row>
    <row r="482">
      <c r="A482" s="7"/>
      <c r="B482" s="7"/>
      <c r="C482" s="7"/>
      <c r="D482" s="9"/>
      <c r="E482" s="10"/>
      <c r="F482" s="11"/>
      <c r="G482" s="11"/>
      <c r="J482" s="7"/>
      <c r="K482" s="8"/>
      <c r="L482" s="7"/>
      <c r="M482" s="7"/>
      <c r="N482" s="7"/>
      <c r="Q482" s="8"/>
      <c r="R482" s="7"/>
      <c r="S482" s="9"/>
      <c r="T482" s="7"/>
      <c r="U482" s="7"/>
      <c r="V482" s="7"/>
      <c r="AC482" s="7"/>
      <c r="AD482" s="7"/>
      <c r="AE482" s="7"/>
    </row>
    <row r="483">
      <c r="A483" s="7"/>
      <c r="B483" s="7"/>
      <c r="C483" s="7"/>
      <c r="D483" s="9"/>
      <c r="E483" s="10"/>
      <c r="F483" s="11"/>
      <c r="G483" s="11"/>
      <c r="J483" s="7"/>
      <c r="K483" s="8"/>
      <c r="L483" s="7"/>
      <c r="M483" s="7"/>
      <c r="N483" s="7"/>
      <c r="Q483" s="8"/>
      <c r="R483" s="7"/>
      <c r="S483" s="9"/>
      <c r="T483" s="7"/>
      <c r="U483" s="7"/>
      <c r="V483" s="7"/>
      <c r="AC483" s="7"/>
      <c r="AD483" s="7"/>
      <c r="AE483" s="7"/>
    </row>
    <row r="484">
      <c r="A484" s="7"/>
      <c r="B484" s="7"/>
      <c r="C484" s="7"/>
      <c r="D484" s="9"/>
      <c r="E484" s="10"/>
      <c r="F484" s="11"/>
      <c r="G484" s="11"/>
      <c r="J484" s="7"/>
      <c r="K484" s="8"/>
      <c r="L484" s="7"/>
      <c r="M484" s="7"/>
      <c r="N484" s="7"/>
      <c r="Q484" s="8"/>
      <c r="R484" s="7"/>
      <c r="S484" s="9"/>
      <c r="T484" s="7"/>
      <c r="U484" s="7"/>
      <c r="V484" s="7"/>
      <c r="AC484" s="7"/>
      <c r="AD484" s="7"/>
      <c r="AE484" s="7"/>
    </row>
    <row r="485">
      <c r="A485" s="7"/>
      <c r="B485" s="7"/>
      <c r="C485" s="7"/>
      <c r="D485" s="9"/>
      <c r="E485" s="10"/>
      <c r="F485" s="11"/>
      <c r="G485" s="11"/>
      <c r="J485" s="7"/>
      <c r="K485" s="8"/>
      <c r="L485" s="7"/>
      <c r="M485" s="7"/>
      <c r="N485" s="7"/>
      <c r="Q485" s="8"/>
      <c r="R485" s="7"/>
      <c r="S485" s="9"/>
      <c r="T485" s="7"/>
      <c r="U485" s="7"/>
      <c r="V485" s="7"/>
      <c r="AC485" s="7"/>
      <c r="AD485" s="7"/>
      <c r="AE485" s="7"/>
    </row>
    <row r="486">
      <c r="A486" s="7"/>
      <c r="B486" s="7"/>
      <c r="C486" s="7"/>
      <c r="D486" s="9"/>
      <c r="E486" s="10"/>
      <c r="F486" s="11"/>
      <c r="G486" s="11"/>
      <c r="J486" s="7"/>
      <c r="K486" s="8"/>
      <c r="L486" s="7"/>
      <c r="M486" s="7"/>
      <c r="N486" s="7"/>
      <c r="Q486" s="8"/>
      <c r="R486" s="7"/>
      <c r="S486" s="9"/>
      <c r="T486" s="7"/>
      <c r="U486" s="7"/>
      <c r="V486" s="7"/>
      <c r="AC486" s="7"/>
      <c r="AD486" s="7"/>
      <c r="AE486" s="7"/>
    </row>
    <row r="487">
      <c r="A487" s="7"/>
      <c r="B487" s="7"/>
      <c r="C487" s="7"/>
      <c r="D487" s="9"/>
      <c r="E487" s="10"/>
      <c r="F487" s="11"/>
      <c r="G487" s="11"/>
      <c r="J487" s="7"/>
      <c r="K487" s="8"/>
      <c r="L487" s="7"/>
      <c r="M487" s="7"/>
      <c r="N487" s="7"/>
      <c r="Q487" s="8"/>
      <c r="R487" s="7"/>
      <c r="S487" s="9"/>
      <c r="T487" s="7"/>
      <c r="U487" s="7"/>
      <c r="V487" s="7"/>
      <c r="AC487" s="7"/>
      <c r="AD487" s="7"/>
      <c r="AE487" s="7"/>
    </row>
    <row r="488">
      <c r="A488" s="7"/>
      <c r="B488" s="7"/>
      <c r="C488" s="7"/>
      <c r="D488" s="9"/>
      <c r="E488" s="10"/>
      <c r="F488" s="11"/>
      <c r="G488" s="11"/>
      <c r="J488" s="7"/>
      <c r="K488" s="8"/>
      <c r="L488" s="7"/>
      <c r="M488" s="7"/>
      <c r="N488" s="7"/>
      <c r="Q488" s="8"/>
      <c r="R488" s="7"/>
      <c r="S488" s="9"/>
      <c r="T488" s="7"/>
      <c r="U488" s="7"/>
      <c r="V488" s="7"/>
      <c r="AC488" s="7"/>
      <c r="AD488" s="7"/>
      <c r="AE488" s="7"/>
    </row>
    <row r="489">
      <c r="A489" s="7"/>
      <c r="B489" s="7"/>
      <c r="C489" s="7"/>
      <c r="D489" s="9"/>
      <c r="E489" s="10"/>
      <c r="F489" s="11"/>
      <c r="G489" s="11"/>
      <c r="J489" s="7"/>
      <c r="K489" s="8"/>
      <c r="L489" s="7"/>
      <c r="M489" s="7"/>
      <c r="N489" s="7"/>
      <c r="Q489" s="8"/>
      <c r="R489" s="7"/>
      <c r="S489" s="9"/>
      <c r="T489" s="7"/>
      <c r="U489" s="7"/>
      <c r="V489" s="7"/>
      <c r="AC489" s="7"/>
      <c r="AD489" s="7"/>
      <c r="AE489" s="7"/>
    </row>
    <row r="490">
      <c r="A490" s="7"/>
      <c r="B490" s="7"/>
      <c r="C490" s="7"/>
      <c r="D490" s="9"/>
      <c r="E490" s="10"/>
      <c r="F490" s="11"/>
      <c r="G490" s="11"/>
      <c r="J490" s="7"/>
      <c r="K490" s="8"/>
      <c r="L490" s="7"/>
      <c r="M490" s="7"/>
      <c r="N490" s="7"/>
      <c r="Q490" s="8"/>
      <c r="R490" s="7"/>
      <c r="S490" s="9"/>
      <c r="T490" s="7"/>
      <c r="U490" s="7"/>
      <c r="V490" s="7"/>
      <c r="AC490" s="7"/>
      <c r="AD490" s="7"/>
      <c r="AE490" s="7"/>
    </row>
    <row r="491">
      <c r="A491" s="7"/>
      <c r="B491" s="7"/>
      <c r="C491" s="7"/>
      <c r="D491" s="9"/>
      <c r="E491" s="10"/>
      <c r="F491" s="11"/>
      <c r="G491" s="11"/>
      <c r="J491" s="7"/>
      <c r="K491" s="8"/>
      <c r="L491" s="7"/>
      <c r="M491" s="7"/>
      <c r="N491" s="7"/>
      <c r="Q491" s="8"/>
      <c r="R491" s="7"/>
      <c r="S491" s="9"/>
      <c r="T491" s="7"/>
      <c r="U491" s="7"/>
      <c r="V491" s="7"/>
      <c r="AC491" s="7"/>
      <c r="AD491" s="7"/>
      <c r="AE491" s="7"/>
    </row>
    <row r="492">
      <c r="A492" s="7"/>
      <c r="B492" s="7"/>
      <c r="C492" s="7"/>
      <c r="D492" s="9"/>
      <c r="E492" s="10"/>
      <c r="F492" s="11"/>
      <c r="G492" s="11"/>
      <c r="J492" s="7"/>
      <c r="K492" s="8"/>
      <c r="L492" s="7"/>
      <c r="M492" s="7"/>
      <c r="N492" s="7"/>
      <c r="Q492" s="8"/>
      <c r="R492" s="7"/>
      <c r="S492" s="9"/>
      <c r="T492" s="7"/>
      <c r="U492" s="7"/>
      <c r="V492" s="7"/>
      <c r="AC492" s="7"/>
      <c r="AD492" s="7"/>
      <c r="AE492" s="7"/>
    </row>
    <row r="493">
      <c r="A493" s="7"/>
      <c r="B493" s="7"/>
      <c r="C493" s="7"/>
      <c r="D493" s="9"/>
      <c r="E493" s="10"/>
      <c r="F493" s="11"/>
      <c r="G493" s="11"/>
      <c r="J493" s="7"/>
      <c r="K493" s="8"/>
      <c r="L493" s="7"/>
      <c r="M493" s="7"/>
      <c r="N493" s="7"/>
      <c r="Q493" s="8"/>
      <c r="R493" s="7"/>
      <c r="S493" s="9"/>
      <c r="T493" s="7"/>
      <c r="U493" s="7"/>
      <c r="V493" s="7"/>
      <c r="AC493" s="7"/>
      <c r="AD493" s="7"/>
      <c r="AE493" s="7"/>
    </row>
    <row r="494">
      <c r="A494" s="7"/>
      <c r="B494" s="7"/>
      <c r="C494" s="7"/>
      <c r="D494" s="9"/>
      <c r="E494" s="10"/>
      <c r="F494" s="11"/>
      <c r="G494" s="11"/>
      <c r="J494" s="7"/>
      <c r="K494" s="8"/>
      <c r="L494" s="7"/>
      <c r="M494" s="7"/>
      <c r="N494" s="7"/>
      <c r="Q494" s="8"/>
      <c r="R494" s="7"/>
      <c r="S494" s="9"/>
      <c r="T494" s="7"/>
      <c r="U494" s="7"/>
      <c r="V494" s="7"/>
      <c r="AC494" s="7"/>
      <c r="AD494" s="7"/>
      <c r="AE494" s="7"/>
    </row>
    <row r="495">
      <c r="A495" s="7"/>
      <c r="B495" s="7"/>
      <c r="C495" s="7"/>
      <c r="D495" s="9"/>
      <c r="E495" s="10"/>
      <c r="F495" s="11"/>
      <c r="G495" s="11"/>
      <c r="J495" s="7"/>
      <c r="K495" s="8"/>
      <c r="L495" s="7"/>
      <c r="M495" s="7"/>
      <c r="N495" s="7"/>
      <c r="Q495" s="8"/>
      <c r="R495" s="7"/>
      <c r="S495" s="9"/>
      <c r="T495" s="7"/>
      <c r="U495" s="7"/>
      <c r="V495" s="7"/>
      <c r="AC495" s="7"/>
      <c r="AD495" s="7"/>
      <c r="AE495" s="7"/>
    </row>
    <row r="496">
      <c r="A496" s="7"/>
      <c r="B496" s="7"/>
      <c r="C496" s="7"/>
      <c r="D496" s="9"/>
      <c r="E496" s="10"/>
      <c r="F496" s="11"/>
      <c r="G496" s="11"/>
      <c r="J496" s="7"/>
      <c r="K496" s="8"/>
      <c r="L496" s="7"/>
      <c r="M496" s="7"/>
      <c r="N496" s="7"/>
      <c r="Q496" s="8"/>
      <c r="R496" s="7"/>
      <c r="S496" s="9"/>
      <c r="T496" s="7"/>
      <c r="U496" s="7"/>
      <c r="V496" s="7"/>
      <c r="AC496" s="7"/>
      <c r="AD496" s="7"/>
      <c r="AE496" s="7"/>
    </row>
    <row r="497">
      <c r="A497" s="7"/>
      <c r="B497" s="7"/>
      <c r="C497" s="7"/>
      <c r="D497" s="9"/>
      <c r="E497" s="10"/>
      <c r="F497" s="11"/>
      <c r="G497" s="11"/>
      <c r="J497" s="7"/>
      <c r="K497" s="8"/>
      <c r="L497" s="7"/>
      <c r="M497" s="7"/>
      <c r="N497" s="7"/>
      <c r="Q497" s="8"/>
      <c r="R497" s="7"/>
      <c r="S497" s="9"/>
      <c r="T497" s="7"/>
      <c r="U497" s="7"/>
      <c r="V497" s="7"/>
      <c r="AC497" s="7"/>
      <c r="AD497" s="7"/>
      <c r="AE497" s="7"/>
    </row>
    <row r="498">
      <c r="A498" s="7"/>
      <c r="B498" s="7"/>
      <c r="C498" s="7"/>
      <c r="D498" s="9"/>
      <c r="E498" s="10"/>
      <c r="F498" s="11"/>
      <c r="G498" s="11"/>
      <c r="J498" s="7"/>
      <c r="K498" s="8"/>
      <c r="L498" s="7"/>
      <c r="M498" s="7"/>
      <c r="N498" s="7"/>
      <c r="Q498" s="8"/>
      <c r="R498" s="7"/>
      <c r="S498" s="9"/>
      <c r="T498" s="7"/>
      <c r="U498" s="7"/>
      <c r="V498" s="7"/>
      <c r="AC498" s="7"/>
      <c r="AD498" s="7"/>
      <c r="AE498" s="7"/>
    </row>
    <row r="499">
      <c r="A499" s="7"/>
      <c r="B499" s="7"/>
      <c r="C499" s="7"/>
      <c r="D499" s="9"/>
      <c r="E499" s="10"/>
      <c r="F499" s="11"/>
      <c r="G499" s="11"/>
      <c r="J499" s="7"/>
      <c r="K499" s="8"/>
      <c r="L499" s="7"/>
      <c r="M499" s="7"/>
      <c r="N499" s="7"/>
      <c r="Q499" s="8"/>
      <c r="R499" s="7"/>
      <c r="S499" s="9"/>
      <c r="T499" s="7"/>
      <c r="U499" s="7"/>
      <c r="V499" s="7"/>
      <c r="AC499" s="7"/>
      <c r="AD499" s="7"/>
      <c r="AE499" s="7"/>
    </row>
    <row r="500">
      <c r="A500" s="7"/>
      <c r="B500" s="7"/>
      <c r="C500" s="7"/>
      <c r="D500" s="9"/>
      <c r="E500" s="10"/>
      <c r="F500" s="11"/>
      <c r="G500" s="11"/>
      <c r="J500" s="7"/>
      <c r="K500" s="8"/>
      <c r="L500" s="7"/>
      <c r="M500" s="7"/>
      <c r="N500" s="7"/>
      <c r="Q500" s="8"/>
      <c r="R500" s="7"/>
      <c r="S500" s="9"/>
      <c r="T500" s="7"/>
      <c r="U500" s="7"/>
      <c r="V500" s="7"/>
      <c r="AC500" s="7"/>
      <c r="AD500" s="7"/>
      <c r="AE500" s="7"/>
    </row>
    <row r="501">
      <c r="A501" s="7"/>
      <c r="B501" s="7"/>
      <c r="C501" s="7"/>
      <c r="D501" s="9"/>
      <c r="E501" s="10"/>
      <c r="F501" s="11"/>
      <c r="G501" s="11"/>
      <c r="J501" s="7"/>
      <c r="K501" s="8"/>
      <c r="L501" s="7"/>
      <c r="M501" s="7"/>
      <c r="N501" s="7"/>
      <c r="Q501" s="8"/>
      <c r="R501" s="7"/>
      <c r="S501" s="9"/>
      <c r="T501" s="7"/>
      <c r="U501" s="7"/>
      <c r="V501" s="7"/>
      <c r="AC501" s="7"/>
      <c r="AD501" s="7"/>
      <c r="AE501" s="7"/>
    </row>
    <row r="502">
      <c r="A502" s="7"/>
      <c r="B502" s="7"/>
      <c r="C502" s="7"/>
      <c r="D502" s="9"/>
      <c r="E502" s="10"/>
      <c r="F502" s="11"/>
      <c r="G502" s="11"/>
      <c r="J502" s="7"/>
      <c r="K502" s="8"/>
      <c r="L502" s="7"/>
      <c r="M502" s="7"/>
      <c r="N502" s="7"/>
      <c r="Q502" s="8"/>
      <c r="R502" s="7"/>
      <c r="S502" s="9"/>
      <c r="T502" s="7"/>
      <c r="U502" s="7"/>
      <c r="V502" s="7"/>
      <c r="AC502" s="7"/>
      <c r="AD502" s="7"/>
      <c r="AE502" s="7"/>
    </row>
    <row r="503">
      <c r="A503" s="7"/>
      <c r="B503" s="7"/>
      <c r="C503" s="7"/>
      <c r="D503" s="9"/>
      <c r="E503" s="10"/>
      <c r="F503" s="11"/>
      <c r="G503" s="11"/>
      <c r="J503" s="7"/>
      <c r="K503" s="8"/>
      <c r="L503" s="7"/>
      <c r="M503" s="7"/>
      <c r="N503" s="7"/>
      <c r="Q503" s="8"/>
      <c r="R503" s="7"/>
      <c r="S503" s="9"/>
      <c r="T503" s="7"/>
      <c r="U503" s="7"/>
      <c r="V503" s="7"/>
      <c r="AC503" s="7"/>
      <c r="AD503" s="7"/>
      <c r="AE503" s="7"/>
    </row>
    <row r="504">
      <c r="A504" s="7"/>
      <c r="B504" s="7"/>
      <c r="C504" s="7"/>
      <c r="D504" s="9"/>
      <c r="E504" s="10"/>
      <c r="F504" s="11"/>
      <c r="G504" s="11"/>
      <c r="J504" s="7"/>
      <c r="K504" s="8"/>
      <c r="L504" s="7"/>
      <c r="M504" s="7"/>
      <c r="N504" s="7"/>
      <c r="Q504" s="8"/>
      <c r="R504" s="7"/>
      <c r="S504" s="9"/>
      <c r="T504" s="7"/>
      <c r="U504" s="7"/>
      <c r="V504" s="7"/>
      <c r="AC504" s="7"/>
      <c r="AD504" s="7"/>
      <c r="AE504" s="7"/>
    </row>
    <row r="505">
      <c r="A505" s="7"/>
      <c r="B505" s="7"/>
      <c r="C505" s="7"/>
      <c r="D505" s="9"/>
      <c r="E505" s="10"/>
      <c r="F505" s="11"/>
      <c r="G505" s="11"/>
      <c r="J505" s="7"/>
      <c r="K505" s="8"/>
      <c r="L505" s="7"/>
      <c r="M505" s="7"/>
      <c r="N505" s="7"/>
      <c r="Q505" s="8"/>
      <c r="R505" s="7"/>
      <c r="S505" s="9"/>
      <c r="T505" s="7"/>
      <c r="U505" s="7"/>
      <c r="V505" s="7"/>
      <c r="AC505" s="7"/>
      <c r="AD505" s="7"/>
      <c r="AE505" s="7"/>
    </row>
    <row r="506">
      <c r="A506" s="7"/>
      <c r="B506" s="7"/>
      <c r="C506" s="7"/>
      <c r="D506" s="9"/>
      <c r="E506" s="10"/>
      <c r="F506" s="11"/>
      <c r="G506" s="11"/>
      <c r="J506" s="7"/>
      <c r="K506" s="8"/>
      <c r="L506" s="7"/>
      <c r="M506" s="7"/>
      <c r="N506" s="7"/>
      <c r="Q506" s="8"/>
      <c r="R506" s="7"/>
      <c r="S506" s="9"/>
      <c r="T506" s="7"/>
      <c r="U506" s="7"/>
      <c r="V506" s="7"/>
      <c r="AC506" s="7"/>
      <c r="AD506" s="7"/>
      <c r="AE506" s="7"/>
    </row>
    <row r="507">
      <c r="A507" s="7"/>
      <c r="B507" s="7"/>
      <c r="C507" s="7"/>
      <c r="D507" s="9"/>
      <c r="E507" s="10"/>
      <c r="F507" s="11"/>
      <c r="G507" s="11"/>
      <c r="J507" s="7"/>
      <c r="K507" s="8"/>
      <c r="L507" s="7"/>
      <c r="M507" s="7"/>
      <c r="N507" s="7"/>
      <c r="Q507" s="8"/>
      <c r="R507" s="7"/>
      <c r="S507" s="9"/>
      <c r="T507" s="7"/>
      <c r="U507" s="7"/>
      <c r="V507" s="7"/>
      <c r="AC507" s="7"/>
      <c r="AD507" s="7"/>
      <c r="AE507" s="7"/>
    </row>
    <row r="508">
      <c r="A508" s="7"/>
      <c r="B508" s="7"/>
      <c r="C508" s="7"/>
      <c r="D508" s="9"/>
      <c r="E508" s="10"/>
      <c r="F508" s="11"/>
      <c r="G508" s="11"/>
      <c r="J508" s="7"/>
      <c r="K508" s="8"/>
      <c r="L508" s="7"/>
      <c r="M508" s="7"/>
      <c r="N508" s="7"/>
      <c r="Q508" s="8"/>
      <c r="R508" s="7"/>
      <c r="S508" s="9"/>
      <c r="T508" s="7"/>
      <c r="U508" s="7"/>
      <c r="V508" s="7"/>
      <c r="AC508" s="7"/>
      <c r="AD508" s="7"/>
      <c r="AE508" s="7"/>
    </row>
    <row r="509">
      <c r="A509" s="7"/>
      <c r="B509" s="7"/>
      <c r="C509" s="7"/>
      <c r="D509" s="9"/>
      <c r="E509" s="10"/>
      <c r="F509" s="11"/>
      <c r="G509" s="11"/>
      <c r="J509" s="7"/>
      <c r="K509" s="8"/>
      <c r="L509" s="7"/>
      <c r="M509" s="7"/>
      <c r="N509" s="7"/>
      <c r="Q509" s="8"/>
      <c r="R509" s="7"/>
      <c r="S509" s="9"/>
      <c r="T509" s="7"/>
      <c r="U509" s="7"/>
      <c r="V509" s="7"/>
      <c r="AC509" s="7"/>
      <c r="AD509" s="7"/>
      <c r="AE509" s="7"/>
    </row>
    <row r="510">
      <c r="A510" s="7"/>
      <c r="B510" s="7"/>
      <c r="C510" s="7"/>
      <c r="D510" s="9"/>
      <c r="E510" s="10"/>
      <c r="F510" s="11"/>
      <c r="G510" s="11"/>
      <c r="J510" s="7"/>
      <c r="K510" s="8"/>
      <c r="L510" s="7"/>
      <c r="M510" s="7"/>
      <c r="N510" s="7"/>
      <c r="Q510" s="8"/>
      <c r="R510" s="7"/>
      <c r="S510" s="9"/>
      <c r="T510" s="7"/>
      <c r="U510" s="7"/>
      <c r="V510" s="7"/>
      <c r="AC510" s="7"/>
      <c r="AD510" s="7"/>
      <c r="AE510" s="7"/>
    </row>
    <row r="511">
      <c r="A511" s="7"/>
      <c r="B511" s="7"/>
      <c r="C511" s="7"/>
      <c r="D511" s="9"/>
      <c r="E511" s="10"/>
      <c r="F511" s="11"/>
      <c r="G511" s="11"/>
      <c r="J511" s="7"/>
      <c r="K511" s="8"/>
      <c r="L511" s="7"/>
      <c r="M511" s="7"/>
      <c r="N511" s="7"/>
      <c r="Q511" s="8"/>
      <c r="R511" s="7"/>
      <c r="S511" s="9"/>
      <c r="T511" s="7"/>
      <c r="U511" s="7"/>
      <c r="V511" s="7"/>
      <c r="AC511" s="7"/>
      <c r="AD511" s="7"/>
      <c r="AE511" s="7"/>
    </row>
    <row r="512">
      <c r="A512" s="7"/>
      <c r="B512" s="7"/>
      <c r="C512" s="7"/>
      <c r="D512" s="9"/>
      <c r="E512" s="10"/>
      <c r="F512" s="11"/>
      <c r="G512" s="11"/>
      <c r="J512" s="7"/>
      <c r="K512" s="8"/>
      <c r="L512" s="7"/>
      <c r="M512" s="7"/>
      <c r="N512" s="7"/>
      <c r="Q512" s="8"/>
      <c r="R512" s="7"/>
      <c r="S512" s="9"/>
      <c r="T512" s="7"/>
      <c r="U512" s="7"/>
      <c r="V512" s="7"/>
      <c r="AC512" s="7"/>
      <c r="AD512" s="7"/>
      <c r="AE512" s="7"/>
    </row>
    <row r="513">
      <c r="A513" s="7"/>
      <c r="B513" s="7"/>
      <c r="C513" s="7"/>
      <c r="D513" s="9"/>
      <c r="E513" s="10"/>
      <c r="F513" s="11"/>
      <c r="G513" s="11"/>
      <c r="J513" s="7"/>
      <c r="K513" s="8"/>
      <c r="L513" s="7"/>
      <c r="M513" s="7"/>
      <c r="N513" s="7"/>
      <c r="Q513" s="8"/>
      <c r="R513" s="7"/>
      <c r="S513" s="9"/>
      <c r="T513" s="7"/>
      <c r="U513" s="7"/>
      <c r="V513" s="7"/>
      <c r="AC513" s="7"/>
      <c r="AD513" s="7"/>
      <c r="AE513" s="7"/>
    </row>
    <row r="514">
      <c r="A514" s="7"/>
      <c r="B514" s="7"/>
      <c r="C514" s="7"/>
      <c r="D514" s="9"/>
      <c r="E514" s="10"/>
      <c r="F514" s="11"/>
      <c r="G514" s="11"/>
      <c r="J514" s="7"/>
      <c r="K514" s="8"/>
      <c r="L514" s="7"/>
      <c r="M514" s="7"/>
      <c r="N514" s="7"/>
      <c r="Q514" s="8"/>
      <c r="R514" s="7"/>
      <c r="S514" s="9"/>
      <c r="T514" s="7"/>
      <c r="U514" s="7"/>
      <c r="V514" s="7"/>
      <c r="AC514" s="7"/>
      <c r="AD514" s="7"/>
      <c r="AE514" s="7"/>
    </row>
    <row r="515">
      <c r="A515" s="7"/>
      <c r="B515" s="7"/>
      <c r="C515" s="7"/>
      <c r="D515" s="9"/>
      <c r="E515" s="10"/>
      <c r="F515" s="11"/>
      <c r="G515" s="11"/>
      <c r="J515" s="7"/>
      <c r="K515" s="8"/>
      <c r="L515" s="7"/>
      <c r="M515" s="7"/>
      <c r="N515" s="7"/>
      <c r="Q515" s="8"/>
      <c r="R515" s="7"/>
      <c r="S515" s="9"/>
      <c r="T515" s="7"/>
      <c r="U515" s="7"/>
      <c r="V515" s="7"/>
      <c r="AC515" s="7"/>
      <c r="AD515" s="7"/>
      <c r="AE515" s="7"/>
    </row>
    <row r="516">
      <c r="A516" s="7"/>
      <c r="B516" s="7"/>
      <c r="C516" s="7"/>
      <c r="D516" s="9"/>
      <c r="E516" s="10"/>
      <c r="F516" s="11"/>
      <c r="G516" s="11"/>
      <c r="J516" s="7"/>
      <c r="K516" s="8"/>
      <c r="L516" s="7"/>
      <c r="M516" s="7"/>
      <c r="N516" s="7"/>
      <c r="Q516" s="8"/>
      <c r="R516" s="7"/>
      <c r="S516" s="9"/>
      <c r="T516" s="7"/>
      <c r="U516" s="7"/>
      <c r="V516" s="7"/>
      <c r="AC516" s="7"/>
      <c r="AD516" s="7"/>
      <c r="AE516" s="7"/>
    </row>
    <row r="517">
      <c r="A517" s="7"/>
      <c r="B517" s="7"/>
      <c r="C517" s="7"/>
      <c r="D517" s="9"/>
      <c r="E517" s="10"/>
      <c r="F517" s="11"/>
      <c r="G517" s="11"/>
      <c r="J517" s="7"/>
      <c r="K517" s="8"/>
      <c r="L517" s="7"/>
      <c r="M517" s="7"/>
      <c r="N517" s="7"/>
      <c r="Q517" s="8"/>
      <c r="R517" s="7"/>
      <c r="S517" s="9"/>
      <c r="T517" s="7"/>
      <c r="U517" s="7"/>
      <c r="V517" s="7"/>
      <c r="AC517" s="7"/>
      <c r="AD517" s="7"/>
      <c r="AE517" s="7"/>
    </row>
    <row r="518">
      <c r="A518" s="7"/>
      <c r="B518" s="7"/>
      <c r="C518" s="7"/>
      <c r="D518" s="9"/>
      <c r="E518" s="10"/>
      <c r="F518" s="11"/>
      <c r="G518" s="11"/>
      <c r="J518" s="7"/>
      <c r="K518" s="8"/>
      <c r="L518" s="7"/>
      <c r="M518" s="7"/>
      <c r="N518" s="7"/>
      <c r="Q518" s="8"/>
      <c r="R518" s="7"/>
      <c r="S518" s="9"/>
      <c r="T518" s="7"/>
      <c r="U518" s="7"/>
      <c r="V518" s="7"/>
      <c r="AC518" s="7"/>
      <c r="AD518" s="7"/>
      <c r="AE518" s="7"/>
    </row>
    <row r="519">
      <c r="A519" s="7"/>
      <c r="B519" s="7"/>
      <c r="C519" s="7"/>
      <c r="D519" s="9"/>
      <c r="E519" s="10"/>
      <c r="F519" s="11"/>
      <c r="G519" s="11"/>
      <c r="J519" s="7"/>
      <c r="K519" s="8"/>
      <c r="L519" s="7"/>
      <c r="M519" s="7"/>
      <c r="N519" s="7"/>
      <c r="Q519" s="8"/>
      <c r="R519" s="7"/>
      <c r="S519" s="9"/>
      <c r="T519" s="7"/>
      <c r="U519" s="7"/>
      <c r="V519" s="7"/>
      <c r="AC519" s="7"/>
      <c r="AD519" s="7"/>
      <c r="AE519" s="7"/>
    </row>
    <row r="520">
      <c r="A520" s="7"/>
      <c r="B520" s="7"/>
      <c r="C520" s="7"/>
      <c r="D520" s="9"/>
      <c r="E520" s="10"/>
      <c r="F520" s="11"/>
      <c r="G520" s="11"/>
      <c r="J520" s="7"/>
      <c r="K520" s="8"/>
      <c r="L520" s="7"/>
      <c r="M520" s="7"/>
      <c r="N520" s="7"/>
      <c r="Q520" s="8"/>
      <c r="R520" s="7"/>
      <c r="S520" s="9"/>
      <c r="T520" s="7"/>
      <c r="U520" s="7"/>
      <c r="V520" s="7"/>
      <c r="AC520" s="7"/>
      <c r="AD520" s="7"/>
      <c r="AE520" s="7"/>
    </row>
    <row r="521">
      <c r="A521" s="7"/>
      <c r="B521" s="7"/>
      <c r="C521" s="7"/>
      <c r="D521" s="9"/>
      <c r="E521" s="10"/>
      <c r="F521" s="11"/>
      <c r="G521" s="11"/>
      <c r="J521" s="7"/>
      <c r="K521" s="8"/>
      <c r="L521" s="7"/>
      <c r="M521" s="7"/>
      <c r="N521" s="7"/>
      <c r="Q521" s="8"/>
      <c r="R521" s="7"/>
      <c r="S521" s="9"/>
      <c r="T521" s="7"/>
      <c r="U521" s="7"/>
      <c r="V521" s="7"/>
      <c r="AC521" s="7"/>
      <c r="AD521" s="7"/>
      <c r="AE521" s="7"/>
    </row>
    <row r="522">
      <c r="A522" s="7"/>
      <c r="B522" s="7"/>
      <c r="C522" s="7"/>
      <c r="D522" s="9"/>
      <c r="E522" s="10"/>
      <c r="F522" s="11"/>
      <c r="G522" s="11"/>
      <c r="J522" s="7"/>
      <c r="K522" s="8"/>
      <c r="L522" s="7"/>
      <c r="M522" s="7"/>
      <c r="N522" s="7"/>
      <c r="Q522" s="8"/>
      <c r="R522" s="7"/>
      <c r="S522" s="9"/>
      <c r="T522" s="7"/>
      <c r="U522" s="7"/>
      <c r="V522" s="7"/>
      <c r="AC522" s="7"/>
      <c r="AD522" s="7"/>
      <c r="AE522" s="7"/>
    </row>
    <row r="523">
      <c r="A523" s="7"/>
      <c r="B523" s="7"/>
      <c r="C523" s="7"/>
      <c r="D523" s="9"/>
      <c r="E523" s="10"/>
      <c r="F523" s="11"/>
      <c r="G523" s="11"/>
      <c r="J523" s="7"/>
      <c r="K523" s="8"/>
      <c r="L523" s="7"/>
      <c r="M523" s="7"/>
      <c r="N523" s="7"/>
      <c r="Q523" s="8"/>
      <c r="R523" s="7"/>
      <c r="S523" s="9"/>
      <c r="T523" s="7"/>
      <c r="U523" s="7"/>
      <c r="V523" s="7"/>
      <c r="AC523" s="7"/>
      <c r="AD523" s="7"/>
      <c r="AE523" s="7"/>
    </row>
    <row r="524">
      <c r="A524" s="7"/>
      <c r="B524" s="7"/>
      <c r="C524" s="7"/>
      <c r="D524" s="9"/>
      <c r="E524" s="10"/>
      <c r="F524" s="11"/>
      <c r="G524" s="11"/>
      <c r="J524" s="7"/>
      <c r="K524" s="8"/>
      <c r="L524" s="7"/>
      <c r="M524" s="7"/>
      <c r="N524" s="7"/>
      <c r="Q524" s="8"/>
      <c r="R524" s="7"/>
      <c r="S524" s="9"/>
      <c r="T524" s="7"/>
      <c r="U524" s="7"/>
      <c r="V524" s="7"/>
      <c r="AC524" s="7"/>
      <c r="AD524" s="7"/>
      <c r="AE524" s="7"/>
    </row>
    <row r="525">
      <c r="A525" s="7"/>
      <c r="B525" s="7"/>
      <c r="C525" s="7"/>
      <c r="D525" s="9"/>
      <c r="E525" s="10"/>
      <c r="F525" s="11"/>
      <c r="G525" s="11"/>
      <c r="J525" s="7"/>
      <c r="K525" s="8"/>
      <c r="L525" s="7"/>
      <c r="M525" s="7"/>
      <c r="N525" s="7"/>
      <c r="Q525" s="8"/>
      <c r="R525" s="7"/>
      <c r="S525" s="9"/>
      <c r="T525" s="7"/>
      <c r="U525" s="7"/>
      <c r="V525" s="7"/>
      <c r="AC525" s="7"/>
      <c r="AD525" s="7"/>
      <c r="AE525" s="7"/>
    </row>
    <row r="526">
      <c r="A526" s="7"/>
      <c r="B526" s="7"/>
      <c r="C526" s="7"/>
      <c r="D526" s="9"/>
      <c r="E526" s="10"/>
      <c r="F526" s="11"/>
      <c r="G526" s="11"/>
      <c r="J526" s="7"/>
      <c r="K526" s="8"/>
      <c r="L526" s="7"/>
      <c r="M526" s="7"/>
      <c r="N526" s="7"/>
      <c r="Q526" s="8"/>
      <c r="R526" s="7"/>
      <c r="S526" s="9"/>
      <c r="T526" s="7"/>
      <c r="U526" s="7"/>
      <c r="V526" s="7"/>
      <c r="AC526" s="7"/>
      <c r="AD526" s="7"/>
      <c r="AE526" s="7"/>
    </row>
    <row r="527">
      <c r="A527" s="7"/>
      <c r="B527" s="7"/>
      <c r="C527" s="7"/>
      <c r="D527" s="9"/>
      <c r="E527" s="10"/>
      <c r="F527" s="11"/>
      <c r="G527" s="11"/>
      <c r="J527" s="7"/>
      <c r="K527" s="8"/>
      <c r="L527" s="7"/>
      <c r="M527" s="7"/>
      <c r="N527" s="7"/>
      <c r="Q527" s="8"/>
      <c r="R527" s="7"/>
      <c r="S527" s="9"/>
      <c r="T527" s="7"/>
      <c r="U527" s="7"/>
      <c r="V527" s="7"/>
      <c r="AC527" s="7"/>
      <c r="AD527" s="7"/>
      <c r="AE527" s="7"/>
    </row>
    <row r="528">
      <c r="A528" s="7"/>
      <c r="B528" s="7"/>
      <c r="C528" s="7"/>
      <c r="D528" s="9"/>
      <c r="E528" s="10"/>
      <c r="F528" s="11"/>
      <c r="G528" s="11"/>
      <c r="J528" s="7"/>
      <c r="K528" s="8"/>
      <c r="L528" s="7"/>
      <c r="M528" s="7"/>
      <c r="N528" s="7"/>
      <c r="Q528" s="8"/>
      <c r="R528" s="7"/>
      <c r="S528" s="9"/>
      <c r="T528" s="7"/>
      <c r="U528" s="7"/>
      <c r="V528" s="7"/>
      <c r="AC528" s="7"/>
      <c r="AD528" s="7"/>
      <c r="AE528" s="7"/>
    </row>
    <row r="529">
      <c r="A529" s="7"/>
      <c r="B529" s="7"/>
      <c r="C529" s="7"/>
      <c r="D529" s="9"/>
      <c r="E529" s="10"/>
      <c r="F529" s="11"/>
      <c r="G529" s="11"/>
      <c r="J529" s="7"/>
      <c r="K529" s="8"/>
      <c r="L529" s="7"/>
      <c r="M529" s="7"/>
      <c r="N529" s="7"/>
      <c r="Q529" s="8"/>
      <c r="R529" s="7"/>
      <c r="S529" s="9"/>
      <c r="T529" s="7"/>
      <c r="U529" s="7"/>
      <c r="V529" s="7"/>
      <c r="AC529" s="7"/>
      <c r="AD529" s="7"/>
      <c r="AE529" s="7"/>
    </row>
    <row r="530">
      <c r="A530" s="7"/>
      <c r="B530" s="7"/>
      <c r="C530" s="7"/>
      <c r="D530" s="9"/>
      <c r="E530" s="10"/>
      <c r="F530" s="11"/>
      <c r="G530" s="11"/>
      <c r="J530" s="7"/>
      <c r="K530" s="8"/>
      <c r="L530" s="7"/>
      <c r="M530" s="7"/>
      <c r="N530" s="7"/>
      <c r="Q530" s="8"/>
      <c r="R530" s="7"/>
      <c r="S530" s="9"/>
      <c r="T530" s="7"/>
      <c r="U530" s="7"/>
      <c r="V530" s="7"/>
      <c r="AC530" s="7"/>
      <c r="AD530" s="7"/>
      <c r="AE530" s="7"/>
    </row>
    <row r="531">
      <c r="A531" s="7"/>
      <c r="B531" s="7"/>
      <c r="C531" s="7"/>
      <c r="D531" s="9"/>
      <c r="E531" s="10"/>
      <c r="F531" s="11"/>
      <c r="G531" s="11"/>
      <c r="J531" s="7"/>
      <c r="K531" s="8"/>
      <c r="L531" s="7"/>
      <c r="M531" s="7"/>
      <c r="N531" s="7"/>
      <c r="Q531" s="8"/>
      <c r="R531" s="7"/>
      <c r="S531" s="9"/>
      <c r="T531" s="7"/>
      <c r="U531" s="7"/>
      <c r="V531" s="7"/>
      <c r="AC531" s="7"/>
      <c r="AD531" s="7"/>
      <c r="AE531" s="7"/>
    </row>
    <row r="532">
      <c r="A532" s="7"/>
      <c r="B532" s="7"/>
      <c r="C532" s="7"/>
      <c r="D532" s="9"/>
      <c r="E532" s="10"/>
      <c r="F532" s="11"/>
      <c r="G532" s="11"/>
      <c r="J532" s="7"/>
      <c r="K532" s="8"/>
      <c r="L532" s="7"/>
      <c r="M532" s="7"/>
      <c r="N532" s="7"/>
      <c r="Q532" s="8"/>
      <c r="R532" s="7"/>
      <c r="S532" s="9"/>
      <c r="T532" s="7"/>
      <c r="U532" s="7"/>
      <c r="V532" s="7"/>
      <c r="AC532" s="7"/>
      <c r="AD532" s="7"/>
      <c r="AE532" s="7"/>
    </row>
    <row r="533">
      <c r="A533" s="7"/>
      <c r="B533" s="7"/>
      <c r="C533" s="7"/>
      <c r="D533" s="9"/>
      <c r="E533" s="10"/>
      <c r="F533" s="11"/>
      <c r="G533" s="11"/>
      <c r="J533" s="7"/>
      <c r="K533" s="8"/>
      <c r="L533" s="7"/>
      <c r="M533" s="7"/>
      <c r="N533" s="7"/>
      <c r="Q533" s="8"/>
      <c r="R533" s="7"/>
      <c r="S533" s="9"/>
      <c r="T533" s="7"/>
      <c r="U533" s="7"/>
      <c r="V533" s="7"/>
      <c r="AC533" s="7"/>
      <c r="AD533" s="7"/>
      <c r="AE533" s="7"/>
    </row>
    <row r="534">
      <c r="A534" s="7"/>
      <c r="B534" s="7"/>
      <c r="C534" s="7"/>
      <c r="D534" s="9"/>
      <c r="E534" s="10"/>
      <c r="F534" s="11"/>
      <c r="G534" s="11"/>
      <c r="J534" s="7"/>
      <c r="K534" s="8"/>
      <c r="L534" s="7"/>
      <c r="M534" s="7"/>
      <c r="N534" s="7"/>
      <c r="Q534" s="8"/>
      <c r="R534" s="7"/>
      <c r="S534" s="9"/>
      <c r="T534" s="7"/>
      <c r="U534" s="7"/>
      <c r="V534" s="7"/>
      <c r="AC534" s="7"/>
      <c r="AD534" s="7"/>
      <c r="AE534" s="7"/>
    </row>
    <row r="535">
      <c r="A535" s="7"/>
      <c r="B535" s="7"/>
      <c r="C535" s="7"/>
      <c r="D535" s="9"/>
      <c r="E535" s="10"/>
      <c r="F535" s="11"/>
      <c r="G535" s="11"/>
      <c r="J535" s="7"/>
      <c r="K535" s="8"/>
      <c r="L535" s="7"/>
      <c r="M535" s="7"/>
      <c r="N535" s="7"/>
      <c r="Q535" s="8"/>
      <c r="R535" s="7"/>
      <c r="S535" s="9"/>
      <c r="T535" s="7"/>
      <c r="U535" s="7"/>
      <c r="V535" s="7"/>
      <c r="AC535" s="7"/>
      <c r="AD535" s="7"/>
      <c r="AE535" s="7"/>
    </row>
    <row r="536">
      <c r="A536" s="7"/>
      <c r="B536" s="7"/>
      <c r="C536" s="7"/>
      <c r="D536" s="9"/>
      <c r="E536" s="10"/>
      <c r="F536" s="11"/>
      <c r="G536" s="11"/>
      <c r="J536" s="7"/>
      <c r="K536" s="8"/>
      <c r="L536" s="7"/>
      <c r="M536" s="7"/>
      <c r="N536" s="7"/>
      <c r="Q536" s="8"/>
      <c r="R536" s="7"/>
      <c r="S536" s="9"/>
      <c r="T536" s="7"/>
      <c r="U536" s="7"/>
      <c r="V536" s="7"/>
      <c r="AC536" s="7"/>
      <c r="AD536" s="7"/>
      <c r="AE536" s="7"/>
    </row>
    <row r="537">
      <c r="A537" s="7"/>
      <c r="B537" s="7"/>
      <c r="C537" s="7"/>
      <c r="D537" s="9"/>
      <c r="E537" s="10"/>
      <c r="F537" s="11"/>
      <c r="G537" s="11"/>
      <c r="J537" s="7"/>
      <c r="K537" s="8"/>
      <c r="L537" s="7"/>
      <c r="M537" s="7"/>
      <c r="N537" s="7"/>
      <c r="Q537" s="8"/>
      <c r="R537" s="7"/>
      <c r="S537" s="9"/>
      <c r="T537" s="7"/>
      <c r="U537" s="7"/>
      <c r="V537" s="7"/>
      <c r="AC537" s="7"/>
      <c r="AD537" s="7"/>
      <c r="AE537" s="7"/>
    </row>
    <row r="538">
      <c r="A538" s="7"/>
      <c r="B538" s="7"/>
      <c r="C538" s="7"/>
      <c r="D538" s="9"/>
      <c r="E538" s="10"/>
      <c r="F538" s="11"/>
      <c r="G538" s="11"/>
      <c r="J538" s="7"/>
      <c r="K538" s="8"/>
      <c r="L538" s="7"/>
      <c r="M538" s="7"/>
      <c r="N538" s="7"/>
      <c r="Q538" s="8"/>
      <c r="R538" s="7"/>
      <c r="S538" s="9"/>
      <c r="T538" s="7"/>
      <c r="U538" s="7"/>
      <c r="V538" s="7"/>
      <c r="AC538" s="7"/>
      <c r="AD538" s="7"/>
      <c r="AE538" s="7"/>
    </row>
    <row r="539">
      <c r="A539" s="7"/>
      <c r="B539" s="7"/>
      <c r="C539" s="7"/>
      <c r="D539" s="9"/>
      <c r="E539" s="10"/>
      <c r="F539" s="11"/>
      <c r="G539" s="11"/>
      <c r="J539" s="7"/>
      <c r="K539" s="8"/>
      <c r="L539" s="7"/>
      <c r="M539" s="7"/>
      <c r="N539" s="7"/>
      <c r="Q539" s="8"/>
      <c r="R539" s="7"/>
      <c r="S539" s="9"/>
      <c r="T539" s="7"/>
      <c r="U539" s="7"/>
      <c r="V539" s="7"/>
      <c r="AC539" s="7"/>
      <c r="AD539" s="7"/>
      <c r="AE539" s="7"/>
    </row>
    <row r="540">
      <c r="A540" s="7"/>
      <c r="B540" s="7"/>
      <c r="C540" s="7"/>
      <c r="D540" s="9"/>
      <c r="E540" s="10"/>
      <c r="F540" s="11"/>
      <c r="G540" s="11"/>
      <c r="J540" s="7"/>
      <c r="K540" s="8"/>
      <c r="L540" s="7"/>
      <c r="M540" s="7"/>
      <c r="N540" s="7"/>
      <c r="Q540" s="8"/>
      <c r="R540" s="7"/>
      <c r="S540" s="9"/>
      <c r="T540" s="7"/>
      <c r="U540" s="7"/>
      <c r="V540" s="7"/>
      <c r="AC540" s="7"/>
      <c r="AD540" s="7"/>
      <c r="AE540" s="7"/>
    </row>
    <row r="541">
      <c r="A541" s="7"/>
      <c r="B541" s="7"/>
      <c r="C541" s="7"/>
      <c r="D541" s="9"/>
      <c r="E541" s="10"/>
      <c r="F541" s="11"/>
      <c r="G541" s="11"/>
      <c r="J541" s="7"/>
      <c r="K541" s="8"/>
      <c r="L541" s="7"/>
      <c r="M541" s="7"/>
      <c r="N541" s="7"/>
      <c r="Q541" s="8"/>
      <c r="R541" s="7"/>
      <c r="S541" s="9"/>
      <c r="T541" s="7"/>
      <c r="U541" s="7"/>
      <c r="V541" s="7"/>
      <c r="AC541" s="7"/>
      <c r="AD541" s="7"/>
      <c r="AE541" s="7"/>
    </row>
    <row r="542">
      <c r="A542" s="7"/>
      <c r="B542" s="7"/>
      <c r="C542" s="7"/>
      <c r="D542" s="9"/>
      <c r="E542" s="10"/>
      <c r="F542" s="11"/>
      <c r="G542" s="11"/>
      <c r="J542" s="7"/>
      <c r="K542" s="8"/>
      <c r="L542" s="7"/>
      <c r="M542" s="7"/>
      <c r="N542" s="7"/>
      <c r="Q542" s="8"/>
      <c r="R542" s="7"/>
      <c r="S542" s="9"/>
      <c r="T542" s="7"/>
      <c r="U542" s="7"/>
      <c r="V542" s="7"/>
      <c r="AC542" s="7"/>
      <c r="AD542" s="7"/>
      <c r="AE542" s="7"/>
    </row>
    <row r="543">
      <c r="A543" s="7"/>
      <c r="B543" s="7"/>
      <c r="C543" s="7"/>
      <c r="D543" s="9"/>
      <c r="E543" s="10"/>
      <c r="F543" s="11"/>
      <c r="G543" s="11"/>
      <c r="J543" s="7"/>
      <c r="K543" s="8"/>
      <c r="L543" s="7"/>
      <c r="M543" s="7"/>
      <c r="N543" s="7"/>
      <c r="Q543" s="8"/>
      <c r="R543" s="7"/>
      <c r="S543" s="9"/>
      <c r="T543" s="7"/>
      <c r="U543" s="7"/>
      <c r="V543" s="7"/>
      <c r="AC543" s="7"/>
      <c r="AD543" s="7"/>
      <c r="AE543" s="7"/>
    </row>
    <row r="544">
      <c r="A544" s="7"/>
      <c r="B544" s="7"/>
      <c r="C544" s="7"/>
      <c r="D544" s="9"/>
      <c r="E544" s="10"/>
      <c r="F544" s="11"/>
      <c r="G544" s="11"/>
      <c r="J544" s="7"/>
      <c r="K544" s="8"/>
      <c r="L544" s="7"/>
      <c r="M544" s="7"/>
      <c r="N544" s="7"/>
      <c r="Q544" s="8"/>
      <c r="R544" s="7"/>
      <c r="S544" s="9"/>
      <c r="T544" s="7"/>
      <c r="U544" s="7"/>
      <c r="V544" s="7"/>
      <c r="AC544" s="7"/>
      <c r="AD544" s="7"/>
      <c r="AE544" s="7"/>
    </row>
    <row r="545">
      <c r="A545" s="7"/>
      <c r="B545" s="7"/>
      <c r="C545" s="7"/>
      <c r="D545" s="9"/>
      <c r="E545" s="10"/>
      <c r="F545" s="11"/>
      <c r="G545" s="11"/>
      <c r="J545" s="7"/>
      <c r="K545" s="8"/>
      <c r="L545" s="7"/>
      <c r="M545" s="7"/>
      <c r="N545" s="7"/>
      <c r="Q545" s="8"/>
      <c r="R545" s="7"/>
      <c r="S545" s="9"/>
      <c r="T545" s="7"/>
      <c r="U545" s="7"/>
      <c r="V545" s="7"/>
      <c r="AC545" s="7"/>
      <c r="AD545" s="7"/>
      <c r="AE545" s="7"/>
    </row>
    <row r="546">
      <c r="A546" s="7"/>
      <c r="B546" s="7"/>
      <c r="C546" s="7"/>
      <c r="D546" s="9"/>
      <c r="E546" s="10"/>
      <c r="F546" s="11"/>
      <c r="G546" s="11"/>
      <c r="J546" s="7"/>
      <c r="K546" s="8"/>
      <c r="L546" s="7"/>
      <c r="M546" s="7"/>
      <c r="N546" s="7"/>
      <c r="Q546" s="8"/>
      <c r="R546" s="7"/>
      <c r="S546" s="9"/>
      <c r="T546" s="7"/>
      <c r="U546" s="7"/>
      <c r="V546" s="7"/>
      <c r="AC546" s="7"/>
      <c r="AD546" s="7"/>
      <c r="AE546" s="7"/>
    </row>
    <row r="547">
      <c r="A547" s="7"/>
      <c r="B547" s="7"/>
      <c r="C547" s="7"/>
      <c r="D547" s="9"/>
      <c r="E547" s="10"/>
      <c r="F547" s="11"/>
      <c r="G547" s="11"/>
      <c r="J547" s="7"/>
      <c r="K547" s="8"/>
      <c r="L547" s="7"/>
      <c r="M547" s="7"/>
      <c r="N547" s="7"/>
      <c r="Q547" s="8"/>
      <c r="R547" s="7"/>
      <c r="S547" s="9"/>
      <c r="T547" s="7"/>
      <c r="U547" s="7"/>
      <c r="V547" s="7"/>
      <c r="AC547" s="7"/>
      <c r="AD547" s="7"/>
      <c r="AE547" s="7"/>
    </row>
    <row r="548">
      <c r="A548" s="7"/>
      <c r="B548" s="7"/>
      <c r="C548" s="7"/>
      <c r="D548" s="9"/>
      <c r="E548" s="10"/>
      <c r="F548" s="11"/>
      <c r="G548" s="11"/>
      <c r="J548" s="7"/>
      <c r="K548" s="8"/>
      <c r="L548" s="7"/>
      <c r="M548" s="7"/>
      <c r="N548" s="7"/>
      <c r="Q548" s="8"/>
      <c r="R548" s="7"/>
      <c r="S548" s="9"/>
      <c r="T548" s="7"/>
      <c r="U548" s="7"/>
      <c r="V548" s="7"/>
      <c r="AC548" s="7"/>
      <c r="AD548" s="7"/>
      <c r="AE548" s="7"/>
    </row>
    <row r="549">
      <c r="A549" s="7"/>
      <c r="B549" s="7"/>
      <c r="C549" s="7"/>
      <c r="D549" s="9"/>
      <c r="E549" s="10"/>
      <c r="F549" s="11"/>
      <c r="G549" s="11"/>
      <c r="J549" s="7"/>
      <c r="K549" s="8"/>
      <c r="L549" s="7"/>
      <c r="M549" s="7"/>
      <c r="N549" s="7"/>
      <c r="Q549" s="8"/>
      <c r="R549" s="7"/>
      <c r="S549" s="9"/>
      <c r="T549" s="7"/>
      <c r="U549" s="7"/>
      <c r="V549" s="7"/>
      <c r="AC549" s="7"/>
      <c r="AD549" s="7"/>
      <c r="AE549" s="7"/>
    </row>
    <row r="550">
      <c r="A550" s="7"/>
      <c r="B550" s="7"/>
      <c r="C550" s="7"/>
      <c r="D550" s="9"/>
      <c r="E550" s="10"/>
      <c r="F550" s="11"/>
      <c r="G550" s="11"/>
      <c r="J550" s="7"/>
      <c r="K550" s="8"/>
      <c r="L550" s="7"/>
      <c r="M550" s="7"/>
      <c r="N550" s="7"/>
      <c r="Q550" s="8"/>
      <c r="R550" s="7"/>
      <c r="S550" s="9"/>
      <c r="T550" s="7"/>
      <c r="U550" s="7"/>
      <c r="V550" s="7"/>
      <c r="AC550" s="7"/>
      <c r="AD550" s="7"/>
      <c r="AE550" s="7"/>
    </row>
    <row r="551">
      <c r="A551" s="7"/>
      <c r="B551" s="7"/>
      <c r="C551" s="7"/>
      <c r="D551" s="9"/>
      <c r="E551" s="10"/>
      <c r="F551" s="11"/>
      <c r="G551" s="11"/>
      <c r="J551" s="7"/>
      <c r="K551" s="8"/>
      <c r="L551" s="7"/>
      <c r="M551" s="7"/>
      <c r="N551" s="7"/>
      <c r="Q551" s="8"/>
      <c r="R551" s="7"/>
      <c r="S551" s="9"/>
      <c r="T551" s="7"/>
      <c r="U551" s="7"/>
      <c r="V551" s="7"/>
      <c r="AC551" s="7"/>
      <c r="AD551" s="7"/>
      <c r="AE551" s="7"/>
    </row>
    <row r="552">
      <c r="A552" s="7"/>
      <c r="B552" s="7"/>
      <c r="C552" s="7"/>
      <c r="D552" s="9"/>
      <c r="E552" s="10"/>
      <c r="F552" s="11"/>
      <c r="G552" s="11"/>
      <c r="J552" s="7"/>
      <c r="K552" s="8"/>
      <c r="L552" s="7"/>
      <c r="M552" s="7"/>
      <c r="N552" s="7"/>
      <c r="Q552" s="8"/>
      <c r="R552" s="7"/>
      <c r="S552" s="9"/>
      <c r="T552" s="7"/>
      <c r="U552" s="7"/>
      <c r="V552" s="7"/>
      <c r="AC552" s="7"/>
      <c r="AD552" s="7"/>
      <c r="AE552" s="7"/>
    </row>
    <row r="553">
      <c r="A553" s="7"/>
      <c r="B553" s="7"/>
      <c r="C553" s="7"/>
      <c r="D553" s="9"/>
      <c r="E553" s="10"/>
      <c r="F553" s="11"/>
      <c r="G553" s="11"/>
      <c r="J553" s="7"/>
      <c r="K553" s="8"/>
      <c r="L553" s="7"/>
      <c r="M553" s="7"/>
      <c r="N553" s="7"/>
      <c r="Q553" s="8"/>
      <c r="R553" s="7"/>
      <c r="S553" s="9"/>
      <c r="T553" s="7"/>
      <c r="U553" s="7"/>
      <c r="V553" s="7"/>
      <c r="AC553" s="7"/>
      <c r="AD553" s="7"/>
      <c r="AE553" s="7"/>
    </row>
    <row r="554">
      <c r="A554" s="7"/>
      <c r="B554" s="7"/>
      <c r="C554" s="7"/>
      <c r="D554" s="9"/>
      <c r="E554" s="10"/>
      <c r="F554" s="11"/>
      <c r="G554" s="11"/>
      <c r="J554" s="7"/>
      <c r="K554" s="8"/>
      <c r="L554" s="7"/>
      <c r="M554" s="7"/>
      <c r="N554" s="7"/>
      <c r="Q554" s="8"/>
      <c r="R554" s="7"/>
      <c r="S554" s="9"/>
      <c r="T554" s="7"/>
      <c r="U554" s="7"/>
      <c r="V554" s="7"/>
      <c r="AC554" s="7"/>
      <c r="AD554" s="7"/>
      <c r="AE554" s="7"/>
    </row>
    <row r="555">
      <c r="A555" s="7"/>
      <c r="B555" s="7"/>
      <c r="C555" s="7"/>
      <c r="D555" s="9"/>
      <c r="E555" s="10"/>
      <c r="F555" s="11"/>
      <c r="G555" s="11"/>
      <c r="J555" s="7"/>
      <c r="K555" s="8"/>
      <c r="L555" s="7"/>
      <c r="M555" s="7"/>
      <c r="N555" s="7"/>
      <c r="Q555" s="8"/>
      <c r="R555" s="7"/>
      <c r="S555" s="9"/>
      <c r="T555" s="7"/>
      <c r="U555" s="7"/>
      <c r="V555" s="7"/>
      <c r="AC555" s="7"/>
      <c r="AD555" s="7"/>
      <c r="AE555" s="7"/>
    </row>
    <row r="556">
      <c r="A556" s="7"/>
      <c r="B556" s="7"/>
      <c r="C556" s="7"/>
      <c r="D556" s="9"/>
      <c r="E556" s="10"/>
      <c r="F556" s="11"/>
      <c r="G556" s="11"/>
      <c r="J556" s="7"/>
      <c r="K556" s="8"/>
      <c r="L556" s="7"/>
      <c r="M556" s="7"/>
      <c r="N556" s="7"/>
      <c r="Q556" s="8"/>
      <c r="R556" s="7"/>
      <c r="S556" s="9"/>
      <c r="T556" s="7"/>
      <c r="U556" s="7"/>
      <c r="V556" s="7"/>
      <c r="AC556" s="7"/>
      <c r="AD556" s="7"/>
      <c r="AE556" s="7"/>
    </row>
    <row r="557">
      <c r="A557" s="7"/>
      <c r="B557" s="7"/>
      <c r="C557" s="7"/>
      <c r="D557" s="9"/>
      <c r="E557" s="10"/>
      <c r="F557" s="11"/>
      <c r="G557" s="11"/>
      <c r="J557" s="7"/>
      <c r="K557" s="8"/>
      <c r="L557" s="7"/>
      <c r="M557" s="7"/>
      <c r="N557" s="7"/>
      <c r="Q557" s="8"/>
      <c r="R557" s="7"/>
      <c r="S557" s="9"/>
      <c r="T557" s="7"/>
      <c r="U557" s="7"/>
      <c r="V557" s="7"/>
      <c r="AC557" s="7"/>
      <c r="AD557" s="7"/>
      <c r="AE557" s="7"/>
    </row>
    <row r="558">
      <c r="A558" s="7"/>
      <c r="B558" s="7"/>
      <c r="C558" s="7"/>
      <c r="D558" s="9"/>
      <c r="E558" s="10"/>
      <c r="F558" s="11"/>
      <c r="G558" s="11"/>
      <c r="J558" s="7"/>
      <c r="K558" s="8"/>
      <c r="L558" s="7"/>
      <c r="M558" s="7"/>
      <c r="N558" s="7"/>
      <c r="Q558" s="8"/>
      <c r="R558" s="7"/>
      <c r="S558" s="9"/>
      <c r="T558" s="7"/>
      <c r="U558" s="7"/>
      <c r="V558" s="7"/>
      <c r="AC558" s="7"/>
      <c r="AD558" s="7"/>
      <c r="AE558" s="7"/>
    </row>
    <row r="559">
      <c r="A559" s="7"/>
      <c r="B559" s="7"/>
      <c r="C559" s="7"/>
      <c r="D559" s="9"/>
      <c r="E559" s="10"/>
      <c r="F559" s="11"/>
      <c r="G559" s="11"/>
      <c r="J559" s="7"/>
      <c r="K559" s="8"/>
      <c r="L559" s="7"/>
      <c r="M559" s="7"/>
      <c r="N559" s="7"/>
      <c r="Q559" s="8"/>
      <c r="R559" s="7"/>
      <c r="S559" s="9"/>
      <c r="T559" s="7"/>
      <c r="U559" s="7"/>
      <c r="V559" s="7"/>
      <c r="AC559" s="7"/>
      <c r="AD559" s="7"/>
      <c r="AE559" s="7"/>
    </row>
    <row r="560">
      <c r="A560" s="7"/>
      <c r="B560" s="7"/>
      <c r="C560" s="7"/>
      <c r="D560" s="9"/>
      <c r="E560" s="10"/>
      <c r="F560" s="11"/>
      <c r="G560" s="11"/>
      <c r="J560" s="7"/>
      <c r="K560" s="8"/>
      <c r="L560" s="7"/>
      <c r="M560" s="7"/>
      <c r="N560" s="7"/>
      <c r="Q560" s="8"/>
      <c r="R560" s="7"/>
      <c r="S560" s="9"/>
      <c r="T560" s="7"/>
      <c r="U560" s="7"/>
      <c r="V560" s="7"/>
      <c r="AC560" s="7"/>
      <c r="AD560" s="7"/>
      <c r="AE560" s="7"/>
    </row>
    <row r="561">
      <c r="A561" s="7"/>
      <c r="B561" s="7"/>
      <c r="C561" s="7"/>
      <c r="D561" s="9"/>
      <c r="E561" s="10"/>
      <c r="F561" s="11"/>
      <c r="G561" s="11"/>
      <c r="J561" s="7"/>
      <c r="K561" s="8"/>
      <c r="L561" s="7"/>
      <c r="M561" s="7"/>
      <c r="N561" s="7"/>
      <c r="Q561" s="8"/>
      <c r="R561" s="7"/>
      <c r="S561" s="9"/>
      <c r="T561" s="7"/>
      <c r="U561" s="7"/>
      <c r="V561" s="7"/>
      <c r="AC561" s="7"/>
      <c r="AD561" s="7"/>
      <c r="AE561" s="7"/>
    </row>
    <row r="562">
      <c r="A562" s="7"/>
      <c r="B562" s="7"/>
      <c r="C562" s="7"/>
      <c r="D562" s="9"/>
      <c r="E562" s="10"/>
      <c r="F562" s="11"/>
      <c r="G562" s="11"/>
      <c r="J562" s="7"/>
      <c r="K562" s="8"/>
      <c r="L562" s="7"/>
      <c r="M562" s="7"/>
      <c r="N562" s="7"/>
      <c r="Q562" s="8"/>
      <c r="R562" s="7"/>
      <c r="S562" s="9"/>
      <c r="T562" s="7"/>
      <c r="U562" s="7"/>
      <c r="V562" s="7"/>
      <c r="AC562" s="7"/>
      <c r="AD562" s="7"/>
      <c r="AE562" s="7"/>
    </row>
    <row r="563">
      <c r="A563" s="7"/>
      <c r="B563" s="7"/>
      <c r="C563" s="7"/>
      <c r="D563" s="9"/>
      <c r="E563" s="10"/>
      <c r="F563" s="11"/>
      <c r="G563" s="11"/>
      <c r="J563" s="7"/>
      <c r="K563" s="8"/>
      <c r="L563" s="7"/>
      <c r="M563" s="7"/>
      <c r="N563" s="7"/>
      <c r="Q563" s="8"/>
      <c r="R563" s="7"/>
      <c r="S563" s="9"/>
      <c r="T563" s="7"/>
      <c r="U563" s="7"/>
      <c r="V563" s="7"/>
      <c r="AC563" s="7"/>
      <c r="AD563" s="7"/>
      <c r="AE563" s="7"/>
    </row>
    <row r="564">
      <c r="A564" s="7"/>
      <c r="B564" s="7"/>
      <c r="C564" s="7"/>
      <c r="D564" s="9"/>
      <c r="E564" s="10"/>
      <c r="F564" s="11"/>
      <c r="G564" s="11"/>
      <c r="J564" s="7"/>
      <c r="K564" s="8"/>
      <c r="L564" s="7"/>
      <c r="M564" s="7"/>
      <c r="N564" s="7"/>
      <c r="Q564" s="8"/>
      <c r="R564" s="7"/>
      <c r="S564" s="9"/>
      <c r="T564" s="7"/>
      <c r="U564" s="7"/>
      <c r="V564" s="7"/>
      <c r="AC564" s="7"/>
      <c r="AD564" s="7"/>
      <c r="AE564" s="7"/>
    </row>
    <row r="565">
      <c r="A565" s="7"/>
      <c r="B565" s="7"/>
      <c r="C565" s="7"/>
      <c r="D565" s="9"/>
      <c r="E565" s="10"/>
      <c r="F565" s="11"/>
      <c r="G565" s="11"/>
      <c r="J565" s="7"/>
      <c r="K565" s="8"/>
      <c r="L565" s="7"/>
      <c r="M565" s="7"/>
      <c r="N565" s="7"/>
      <c r="Q565" s="8"/>
      <c r="R565" s="7"/>
      <c r="S565" s="9"/>
      <c r="T565" s="7"/>
      <c r="U565" s="7"/>
      <c r="V565" s="7"/>
      <c r="AC565" s="7"/>
      <c r="AD565" s="7"/>
      <c r="AE565" s="7"/>
    </row>
    <row r="566">
      <c r="A566" s="7"/>
      <c r="B566" s="7"/>
      <c r="C566" s="7"/>
      <c r="D566" s="9"/>
      <c r="E566" s="10"/>
      <c r="F566" s="11"/>
      <c r="G566" s="11"/>
      <c r="J566" s="7"/>
      <c r="K566" s="8"/>
      <c r="L566" s="7"/>
      <c r="M566" s="7"/>
      <c r="N566" s="7"/>
      <c r="Q566" s="8"/>
      <c r="R566" s="7"/>
      <c r="S566" s="9"/>
      <c r="T566" s="7"/>
      <c r="U566" s="7"/>
      <c r="V566" s="7"/>
      <c r="AC566" s="7"/>
      <c r="AD566" s="7"/>
      <c r="AE566" s="7"/>
    </row>
    <row r="567">
      <c r="A567" s="7"/>
      <c r="B567" s="7"/>
      <c r="C567" s="7"/>
      <c r="D567" s="9"/>
      <c r="E567" s="10"/>
      <c r="F567" s="11"/>
      <c r="G567" s="11"/>
      <c r="J567" s="7"/>
      <c r="K567" s="8"/>
      <c r="L567" s="7"/>
      <c r="M567" s="7"/>
      <c r="N567" s="7"/>
      <c r="Q567" s="8"/>
      <c r="R567" s="7"/>
      <c r="S567" s="9"/>
      <c r="T567" s="7"/>
      <c r="U567" s="7"/>
      <c r="V567" s="7"/>
      <c r="AC567" s="7"/>
      <c r="AD567" s="7"/>
      <c r="AE567" s="7"/>
    </row>
    <row r="568">
      <c r="A568" s="7"/>
      <c r="B568" s="7"/>
      <c r="C568" s="7"/>
      <c r="D568" s="9"/>
      <c r="E568" s="10"/>
      <c r="F568" s="11"/>
      <c r="G568" s="11"/>
      <c r="J568" s="7"/>
      <c r="K568" s="8"/>
      <c r="L568" s="7"/>
      <c r="M568" s="7"/>
      <c r="N568" s="7"/>
      <c r="Q568" s="8"/>
      <c r="R568" s="7"/>
      <c r="S568" s="9"/>
      <c r="T568" s="7"/>
      <c r="U568" s="7"/>
      <c r="V568" s="7"/>
      <c r="AC568" s="7"/>
      <c r="AD568" s="7"/>
      <c r="AE568" s="7"/>
    </row>
    <row r="569">
      <c r="A569" s="7"/>
      <c r="B569" s="7"/>
      <c r="C569" s="7"/>
      <c r="D569" s="9"/>
      <c r="E569" s="10"/>
      <c r="F569" s="11"/>
      <c r="G569" s="11"/>
      <c r="J569" s="7"/>
      <c r="K569" s="8"/>
      <c r="L569" s="7"/>
      <c r="M569" s="7"/>
      <c r="N569" s="7"/>
      <c r="Q569" s="8"/>
      <c r="R569" s="7"/>
      <c r="S569" s="9"/>
      <c r="T569" s="7"/>
      <c r="U569" s="7"/>
      <c r="V569" s="7"/>
      <c r="AC569" s="7"/>
      <c r="AD569" s="7"/>
      <c r="AE569" s="7"/>
    </row>
    <row r="570">
      <c r="A570" s="7"/>
      <c r="B570" s="7"/>
      <c r="C570" s="7"/>
      <c r="D570" s="9"/>
      <c r="E570" s="10"/>
      <c r="F570" s="11"/>
      <c r="G570" s="11"/>
      <c r="J570" s="7"/>
      <c r="K570" s="8"/>
      <c r="L570" s="7"/>
      <c r="M570" s="7"/>
      <c r="N570" s="7"/>
      <c r="Q570" s="8"/>
      <c r="R570" s="7"/>
      <c r="S570" s="9"/>
      <c r="T570" s="7"/>
      <c r="U570" s="7"/>
      <c r="V570" s="7"/>
      <c r="AC570" s="7"/>
      <c r="AD570" s="7"/>
      <c r="AE570" s="7"/>
    </row>
    <row r="571">
      <c r="A571" s="7"/>
      <c r="B571" s="7"/>
      <c r="C571" s="7"/>
      <c r="D571" s="9"/>
      <c r="E571" s="10"/>
      <c r="F571" s="11"/>
      <c r="G571" s="11"/>
      <c r="J571" s="7"/>
      <c r="K571" s="8"/>
      <c r="L571" s="7"/>
      <c r="M571" s="7"/>
      <c r="N571" s="7"/>
      <c r="Q571" s="8"/>
      <c r="R571" s="7"/>
      <c r="S571" s="9"/>
      <c r="T571" s="7"/>
      <c r="U571" s="7"/>
      <c r="V571" s="7"/>
      <c r="AC571" s="7"/>
      <c r="AD571" s="7"/>
      <c r="AE571" s="7"/>
    </row>
    <row r="572">
      <c r="A572" s="7"/>
      <c r="B572" s="7"/>
      <c r="C572" s="7"/>
      <c r="D572" s="9"/>
      <c r="E572" s="10"/>
      <c r="F572" s="11"/>
      <c r="G572" s="11"/>
      <c r="J572" s="7"/>
      <c r="K572" s="8"/>
      <c r="L572" s="7"/>
      <c r="M572" s="7"/>
      <c r="N572" s="7"/>
      <c r="Q572" s="8"/>
      <c r="R572" s="7"/>
      <c r="S572" s="9"/>
      <c r="T572" s="7"/>
      <c r="U572" s="7"/>
      <c r="V572" s="7"/>
      <c r="AC572" s="7"/>
      <c r="AD572" s="7"/>
      <c r="AE572" s="7"/>
    </row>
    <row r="573">
      <c r="A573" s="7"/>
      <c r="B573" s="7"/>
      <c r="C573" s="7"/>
      <c r="D573" s="9"/>
      <c r="E573" s="10"/>
      <c r="F573" s="11"/>
      <c r="G573" s="11"/>
      <c r="J573" s="7"/>
      <c r="K573" s="8"/>
      <c r="L573" s="7"/>
      <c r="M573" s="7"/>
      <c r="N573" s="7"/>
      <c r="Q573" s="8"/>
      <c r="R573" s="7"/>
      <c r="S573" s="9"/>
      <c r="T573" s="7"/>
      <c r="U573" s="7"/>
      <c r="V573" s="7"/>
      <c r="AC573" s="7"/>
      <c r="AD573" s="7"/>
      <c r="AE573" s="7"/>
    </row>
    <row r="574">
      <c r="A574" s="7"/>
      <c r="B574" s="7"/>
      <c r="C574" s="7"/>
      <c r="D574" s="9"/>
      <c r="E574" s="10"/>
      <c r="F574" s="11"/>
      <c r="G574" s="11"/>
      <c r="J574" s="7"/>
      <c r="K574" s="8"/>
      <c r="L574" s="7"/>
      <c r="M574" s="7"/>
      <c r="N574" s="7"/>
      <c r="Q574" s="8"/>
      <c r="R574" s="7"/>
      <c r="S574" s="9"/>
      <c r="T574" s="7"/>
      <c r="U574" s="7"/>
      <c r="V574" s="7"/>
      <c r="AC574" s="7"/>
      <c r="AD574" s="7"/>
      <c r="AE574" s="7"/>
    </row>
    <row r="575">
      <c r="A575" s="7"/>
      <c r="B575" s="7"/>
      <c r="C575" s="7"/>
      <c r="D575" s="9"/>
      <c r="E575" s="10"/>
      <c r="F575" s="11"/>
      <c r="G575" s="11"/>
      <c r="J575" s="7"/>
      <c r="K575" s="8"/>
      <c r="L575" s="7"/>
      <c r="M575" s="7"/>
      <c r="N575" s="7"/>
      <c r="Q575" s="8"/>
      <c r="R575" s="7"/>
      <c r="S575" s="9"/>
      <c r="T575" s="7"/>
      <c r="U575" s="7"/>
      <c r="V575" s="7"/>
      <c r="AC575" s="7"/>
      <c r="AD575" s="7"/>
      <c r="AE575" s="7"/>
    </row>
    <row r="576">
      <c r="A576" s="7"/>
      <c r="B576" s="7"/>
      <c r="C576" s="7"/>
      <c r="D576" s="9"/>
      <c r="E576" s="10"/>
      <c r="F576" s="11"/>
      <c r="G576" s="11"/>
      <c r="J576" s="7"/>
      <c r="K576" s="8"/>
      <c r="L576" s="7"/>
      <c r="M576" s="7"/>
      <c r="N576" s="7"/>
      <c r="Q576" s="8"/>
      <c r="R576" s="7"/>
      <c r="S576" s="9"/>
      <c r="T576" s="7"/>
      <c r="U576" s="7"/>
      <c r="V576" s="7"/>
      <c r="AC576" s="7"/>
      <c r="AD576" s="7"/>
      <c r="AE576" s="7"/>
    </row>
    <row r="577">
      <c r="A577" s="7"/>
      <c r="B577" s="7"/>
      <c r="C577" s="7"/>
      <c r="D577" s="9"/>
      <c r="E577" s="10"/>
      <c r="F577" s="11"/>
      <c r="G577" s="11"/>
      <c r="J577" s="7"/>
      <c r="K577" s="8"/>
      <c r="L577" s="7"/>
      <c r="M577" s="7"/>
      <c r="N577" s="7"/>
      <c r="Q577" s="8"/>
      <c r="R577" s="7"/>
      <c r="S577" s="9"/>
      <c r="T577" s="7"/>
      <c r="U577" s="7"/>
      <c r="V577" s="7"/>
      <c r="AC577" s="7"/>
      <c r="AD577" s="7"/>
      <c r="AE577" s="7"/>
    </row>
    <row r="578">
      <c r="A578" s="7"/>
      <c r="B578" s="7"/>
      <c r="C578" s="7"/>
      <c r="D578" s="9"/>
      <c r="E578" s="10"/>
      <c r="F578" s="11"/>
      <c r="G578" s="11"/>
      <c r="J578" s="7"/>
      <c r="K578" s="8"/>
      <c r="L578" s="7"/>
      <c r="M578" s="7"/>
      <c r="N578" s="7"/>
      <c r="Q578" s="8"/>
      <c r="R578" s="7"/>
      <c r="S578" s="9"/>
      <c r="T578" s="7"/>
      <c r="U578" s="7"/>
      <c r="V578" s="7"/>
      <c r="AC578" s="7"/>
      <c r="AD578" s="7"/>
      <c r="AE578" s="7"/>
    </row>
    <row r="579">
      <c r="A579" s="7"/>
      <c r="B579" s="7"/>
      <c r="C579" s="7"/>
      <c r="D579" s="9"/>
      <c r="E579" s="10"/>
      <c r="F579" s="11"/>
      <c r="G579" s="11"/>
      <c r="J579" s="7"/>
      <c r="K579" s="8"/>
      <c r="L579" s="7"/>
      <c r="M579" s="7"/>
      <c r="N579" s="7"/>
      <c r="Q579" s="8"/>
      <c r="R579" s="7"/>
      <c r="S579" s="9"/>
      <c r="T579" s="7"/>
      <c r="U579" s="7"/>
      <c r="V579" s="7"/>
      <c r="AC579" s="7"/>
      <c r="AD579" s="7"/>
      <c r="AE579" s="7"/>
    </row>
    <row r="580">
      <c r="A580" s="7"/>
      <c r="B580" s="7"/>
      <c r="C580" s="7"/>
      <c r="D580" s="9"/>
      <c r="E580" s="10"/>
      <c r="F580" s="11"/>
      <c r="G580" s="11"/>
      <c r="J580" s="7"/>
      <c r="K580" s="8"/>
      <c r="L580" s="7"/>
      <c r="M580" s="7"/>
      <c r="N580" s="7"/>
      <c r="Q580" s="8"/>
      <c r="R580" s="7"/>
      <c r="S580" s="9"/>
      <c r="T580" s="7"/>
      <c r="U580" s="7"/>
      <c r="V580" s="7"/>
      <c r="AC580" s="7"/>
      <c r="AD580" s="7"/>
      <c r="AE580" s="7"/>
    </row>
    <row r="581">
      <c r="A581" s="7"/>
      <c r="B581" s="7"/>
      <c r="C581" s="7"/>
      <c r="D581" s="9"/>
      <c r="E581" s="10"/>
      <c r="F581" s="11"/>
      <c r="G581" s="11"/>
      <c r="J581" s="7"/>
      <c r="K581" s="8"/>
      <c r="L581" s="7"/>
      <c r="M581" s="7"/>
      <c r="N581" s="7"/>
      <c r="Q581" s="8"/>
      <c r="R581" s="7"/>
      <c r="S581" s="9"/>
      <c r="T581" s="7"/>
      <c r="U581" s="7"/>
      <c r="V581" s="7"/>
      <c r="AC581" s="7"/>
      <c r="AD581" s="7"/>
      <c r="AE581" s="7"/>
    </row>
    <row r="582">
      <c r="A582" s="7"/>
      <c r="B582" s="7"/>
      <c r="C582" s="7"/>
      <c r="D582" s="9"/>
      <c r="E582" s="10"/>
      <c r="F582" s="11"/>
      <c r="G582" s="11"/>
      <c r="J582" s="7"/>
      <c r="K582" s="8"/>
      <c r="L582" s="7"/>
      <c r="M582" s="7"/>
      <c r="N582" s="7"/>
      <c r="Q582" s="8"/>
      <c r="R582" s="7"/>
      <c r="S582" s="9"/>
      <c r="T582" s="7"/>
      <c r="U582" s="7"/>
      <c r="V582" s="7"/>
      <c r="AC582" s="7"/>
      <c r="AD582" s="7"/>
      <c r="AE582" s="7"/>
    </row>
    <row r="583">
      <c r="A583" s="7"/>
      <c r="B583" s="7"/>
      <c r="C583" s="7"/>
      <c r="D583" s="9"/>
      <c r="E583" s="10"/>
      <c r="F583" s="11"/>
      <c r="G583" s="11"/>
      <c r="J583" s="7"/>
      <c r="K583" s="8"/>
      <c r="L583" s="7"/>
      <c r="M583" s="7"/>
      <c r="N583" s="7"/>
      <c r="Q583" s="8"/>
      <c r="R583" s="7"/>
      <c r="S583" s="9"/>
      <c r="T583" s="7"/>
      <c r="U583" s="7"/>
      <c r="V583" s="7"/>
      <c r="AC583" s="7"/>
      <c r="AD583" s="7"/>
      <c r="AE583" s="7"/>
    </row>
    <row r="584">
      <c r="A584" s="7"/>
      <c r="B584" s="7"/>
      <c r="C584" s="7"/>
      <c r="D584" s="9"/>
      <c r="E584" s="10"/>
      <c r="F584" s="11"/>
      <c r="G584" s="11"/>
      <c r="J584" s="7"/>
      <c r="K584" s="8"/>
      <c r="L584" s="7"/>
      <c r="M584" s="7"/>
      <c r="N584" s="7"/>
      <c r="Q584" s="8"/>
      <c r="R584" s="7"/>
      <c r="S584" s="9"/>
      <c r="T584" s="7"/>
      <c r="U584" s="7"/>
      <c r="V584" s="7"/>
      <c r="AC584" s="7"/>
      <c r="AD584" s="7"/>
      <c r="AE584" s="7"/>
    </row>
    <row r="585">
      <c r="A585" s="7"/>
      <c r="B585" s="7"/>
      <c r="C585" s="7"/>
      <c r="D585" s="9"/>
      <c r="E585" s="10"/>
      <c r="F585" s="11"/>
      <c r="G585" s="11"/>
      <c r="J585" s="7"/>
      <c r="K585" s="8"/>
      <c r="L585" s="7"/>
      <c r="M585" s="7"/>
      <c r="N585" s="7"/>
      <c r="Q585" s="8"/>
      <c r="R585" s="7"/>
      <c r="S585" s="9"/>
      <c r="T585" s="7"/>
      <c r="U585" s="7"/>
      <c r="V585" s="7"/>
      <c r="AC585" s="7"/>
      <c r="AD585" s="7"/>
      <c r="AE585" s="7"/>
    </row>
    <row r="586">
      <c r="A586" s="7"/>
      <c r="B586" s="7"/>
      <c r="C586" s="7"/>
      <c r="D586" s="9"/>
      <c r="E586" s="10"/>
      <c r="F586" s="11"/>
      <c r="G586" s="11"/>
      <c r="J586" s="7"/>
      <c r="K586" s="8"/>
      <c r="L586" s="7"/>
      <c r="M586" s="7"/>
      <c r="N586" s="7"/>
      <c r="Q586" s="8"/>
      <c r="R586" s="7"/>
      <c r="S586" s="9"/>
      <c r="T586" s="7"/>
      <c r="U586" s="7"/>
      <c r="V586" s="7"/>
      <c r="AC586" s="7"/>
      <c r="AD586" s="7"/>
      <c r="AE586" s="7"/>
    </row>
    <row r="587">
      <c r="A587" s="7"/>
      <c r="B587" s="7"/>
      <c r="C587" s="7"/>
      <c r="D587" s="9"/>
      <c r="E587" s="10"/>
      <c r="F587" s="11"/>
      <c r="G587" s="11"/>
      <c r="J587" s="7"/>
      <c r="K587" s="8"/>
      <c r="L587" s="7"/>
      <c r="M587" s="7"/>
      <c r="N587" s="7"/>
      <c r="Q587" s="8"/>
      <c r="R587" s="7"/>
      <c r="S587" s="9"/>
      <c r="T587" s="7"/>
      <c r="U587" s="7"/>
      <c r="V587" s="7"/>
      <c r="AC587" s="7"/>
      <c r="AD587" s="7"/>
      <c r="AE587" s="7"/>
    </row>
    <row r="588">
      <c r="A588" s="7"/>
      <c r="B588" s="7"/>
      <c r="C588" s="7"/>
      <c r="D588" s="9"/>
      <c r="E588" s="10"/>
      <c r="F588" s="11"/>
      <c r="G588" s="11"/>
      <c r="J588" s="7"/>
      <c r="K588" s="8"/>
      <c r="L588" s="7"/>
      <c r="M588" s="7"/>
      <c r="N588" s="7"/>
      <c r="Q588" s="8"/>
      <c r="R588" s="7"/>
      <c r="S588" s="9"/>
      <c r="T588" s="7"/>
      <c r="U588" s="7"/>
      <c r="V588" s="7"/>
      <c r="AC588" s="7"/>
      <c r="AD588" s="7"/>
      <c r="AE588" s="7"/>
    </row>
    <row r="589">
      <c r="A589" s="7"/>
      <c r="B589" s="7"/>
      <c r="C589" s="7"/>
      <c r="D589" s="9"/>
      <c r="E589" s="10"/>
      <c r="F589" s="11"/>
      <c r="G589" s="11"/>
      <c r="J589" s="7"/>
      <c r="K589" s="8"/>
      <c r="L589" s="7"/>
      <c r="M589" s="7"/>
      <c r="N589" s="7"/>
      <c r="Q589" s="8"/>
      <c r="R589" s="7"/>
      <c r="S589" s="9"/>
      <c r="T589" s="7"/>
      <c r="U589" s="7"/>
      <c r="V589" s="7"/>
      <c r="AC589" s="7"/>
      <c r="AD589" s="7"/>
      <c r="AE589" s="7"/>
    </row>
    <row r="590">
      <c r="A590" s="7"/>
      <c r="B590" s="7"/>
      <c r="C590" s="7"/>
      <c r="D590" s="9"/>
      <c r="E590" s="10"/>
      <c r="F590" s="11"/>
      <c r="G590" s="11"/>
      <c r="J590" s="7"/>
      <c r="K590" s="8"/>
      <c r="L590" s="7"/>
      <c r="M590" s="7"/>
      <c r="N590" s="7"/>
      <c r="Q590" s="8"/>
      <c r="R590" s="7"/>
      <c r="S590" s="9"/>
      <c r="T590" s="7"/>
      <c r="U590" s="7"/>
      <c r="V590" s="7"/>
      <c r="AC590" s="7"/>
      <c r="AD590" s="7"/>
      <c r="AE590" s="7"/>
    </row>
    <row r="591">
      <c r="A591" s="7"/>
      <c r="B591" s="7"/>
      <c r="C591" s="7"/>
      <c r="D591" s="9"/>
      <c r="E591" s="10"/>
      <c r="F591" s="11"/>
      <c r="G591" s="11"/>
      <c r="J591" s="7"/>
      <c r="K591" s="8"/>
      <c r="L591" s="7"/>
      <c r="M591" s="7"/>
      <c r="N591" s="7"/>
      <c r="Q591" s="8"/>
      <c r="R591" s="7"/>
      <c r="S591" s="9"/>
      <c r="T591" s="7"/>
      <c r="U591" s="7"/>
      <c r="V591" s="7"/>
      <c r="AC591" s="7"/>
      <c r="AD591" s="7"/>
      <c r="AE591" s="7"/>
    </row>
    <row r="592">
      <c r="A592" s="7"/>
      <c r="B592" s="7"/>
      <c r="C592" s="7"/>
      <c r="D592" s="9"/>
      <c r="E592" s="10"/>
      <c r="F592" s="11"/>
      <c r="G592" s="11"/>
      <c r="J592" s="7"/>
      <c r="K592" s="8"/>
      <c r="L592" s="7"/>
      <c r="M592" s="7"/>
      <c r="N592" s="7"/>
      <c r="Q592" s="8"/>
      <c r="R592" s="7"/>
      <c r="S592" s="9"/>
      <c r="T592" s="7"/>
      <c r="U592" s="7"/>
      <c r="V592" s="7"/>
      <c r="AC592" s="7"/>
      <c r="AD592" s="7"/>
      <c r="AE592" s="7"/>
    </row>
    <row r="593">
      <c r="A593" s="7"/>
      <c r="B593" s="7"/>
      <c r="C593" s="7"/>
      <c r="D593" s="9"/>
      <c r="E593" s="10"/>
      <c r="F593" s="11"/>
      <c r="G593" s="11"/>
      <c r="J593" s="7"/>
      <c r="K593" s="8"/>
      <c r="L593" s="7"/>
      <c r="M593" s="7"/>
      <c r="N593" s="7"/>
      <c r="Q593" s="8"/>
      <c r="R593" s="7"/>
      <c r="S593" s="9"/>
      <c r="T593" s="7"/>
      <c r="U593" s="7"/>
      <c r="V593" s="7"/>
      <c r="AC593" s="7"/>
      <c r="AD593" s="7"/>
      <c r="AE593" s="7"/>
    </row>
    <row r="594">
      <c r="A594" s="7"/>
      <c r="B594" s="7"/>
      <c r="C594" s="7"/>
      <c r="D594" s="9"/>
      <c r="E594" s="10"/>
      <c r="F594" s="11"/>
      <c r="G594" s="11"/>
      <c r="J594" s="7"/>
      <c r="K594" s="8"/>
      <c r="L594" s="7"/>
      <c r="M594" s="7"/>
      <c r="N594" s="7"/>
      <c r="Q594" s="8"/>
      <c r="R594" s="7"/>
      <c r="S594" s="9"/>
      <c r="T594" s="7"/>
      <c r="U594" s="7"/>
      <c r="V594" s="7"/>
      <c r="AC594" s="7"/>
      <c r="AD594" s="7"/>
      <c r="AE594" s="7"/>
    </row>
    <row r="595">
      <c r="A595" s="7"/>
      <c r="B595" s="7"/>
      <c r="C595" s="7"/>
      <c r="D595" s="9"/>
      <c r="E595" s="10"/>
      <c r="F595" s="11"/>
      <c r="G595" s="11"/>
      <c r="J595" s="7"/>
      <c r="K595" s="8"/>
      <c r="L595" s="7"/>
      <c r="M595" s="7"/>
      <c r="N595" s="7"/>
      <c r="Q595" s="8"/>
      <c r="R595" s="7"/>
      <c r="S595" s="9"/>
      <c r="T595" s="7"/>
      <c r="U595" s="7"/>
      <c r="V595" s="7"/>
      <c r="AC595" s="7"/>
      <c r="AD595" s="7"/>
      <c r="AE595" s="7"/>
    </row>
    <row r="596">
      <c r="A596" s="7"/>
      <c r="B596" s="7"/>
      <c r="C596" s="7"/>
      <c r="D596" s="9"/>
      <c r="E596" s="10"/>
      <c r="F596" s="11"/>
      <c r="G596" s="11"/>
      <c r="J596" s="7"/>
      <c r="K596" s="8"/>
      <c r="L596" s="7"/>
      <c r="M596" s="7"/>
      <c r="N596" s="7"/>
      <c r="Q596" s="8"/>
      <c r="R596" s="7"/>
      <c r="S596" s="9"/>
      <c r="T596" s="7"/>
      <c r="U596" s="7"/>
      <c r="V596" s="7"/>
      <c r="AC596" s="7"/>
      <c r="AD596" s="7"/>
      <c r="AE596" s="7"/>
    </row>
    <row r="597">
      <c r="A597" s="7"/>
      <c r="B597" s="7"/>
      <c r="C597" s="7"/>
      <c r="D597" s="9"/>
      <c r="E597" s="10"/>
      <c r="F597" s="11"/>
      <c r="G597" s="11"/>
      <c r="J597" s="7"/>
      <c r="K597" s="8"/>
      <c r="L597" s="7"/>
      <c r="M597" s="7"/>
      <c r="N597" s="7"/>
      <c r="Q597" s="8"/>
      <c r="R597" s="7"/>
      <c r="S597" s="9"/>
      <c r="T597" s="7"/>
      <c r="U597" s="7"/>
      <c r="V597" s="7"/>
      <c r="AC597" s="7"/>
      <c r="AD597" s="7"/>
      <c r="AE597" s="7"/>
    </row>
    <row r="598">
      <c r="A598" s="7"/>
      <c r="B598" s="7"/>
      <c r="C598" s="7"/>
      <c r="D598" s="9"/>
      <c r="E598" s="10"/>
      <c r="F598" s="11"/>
      <c r="G598" s="11"/>
      <c r="J598" s="7"/>
      <c r="K598" s="8"/>
      <c r="L598" s="7"/>
      <c r="M598" s="7"/>
      <c r="N598" s="7"/>
      <c r="Q598" s="8"/>
      <c r="R598" s="7"/>
      <c r="S598" s="9"/>
      <c r="T598" s="7"/>
      <c r="U598" s="7"/>
      <c r="V598" s="7"/>
      <c r="AC598" s="7"/>
      <c r="AD598" s="7"/>
      <c r="AE598" s="7"/>
    </row>
    <row r="599">
      <c r="A599" s="7"/>
      <c r="B599" s="7"/>
      <c r="C599" s="7"/>
      <c r="D599" s="9"/>
      <c r="E599" s="10"/>
      <c r="F599" s="11"/>
      <c r="G599" s="11"/>
      <c r="J599" s="7"/>
      <c r="K599" s="8"/>
      <c r="L599" s="7"/>
      <c r="M599" s="7"/>
      <c r="N599" s="7"/>
      <c r="Q599" s="8"/>
      <c r="R599" s="7"/>
      <c r="S599" s="9"/>
      <c r="T599" s="7"/>
      <c r="U599" s="7"/>
      <c r="V599" s="7"/>
      <c r="AC599" s="7"/>
      <c r="AD599" s="7"/>
      <c r="AE599" s="7"/>
    </row>
    <row r="600">
      <c r="A600" s="7"/>
      <c r="B600" s="7"/>
      <c r="C600" s="7"/>
      <c r="D600" s="9"/>
      <c r="E600" s="10"/>
      <c r="F600" s="11"/>
      <c r="G600" s="11"/>
      <c r="J600" s="7"/>
      <c r="K600" s="8"/>
      <c r="L600" s="7"/>
      <c r="M600" s="7"/>
      <c r="N600" s="7"/>
      <c r="Q600" s="8"/>
      <c r="R600" s="7"/>
      <c r="S600" s="9"/>
      <c r="T600" s="7"/>
      <c r="U600" s="7"/>
      <c r="V600" s="7"/>
      <c r="AC600" s="7"/>
      <c r="AD600" s="7"/>
      <c r="AE600" s="7"/>
    </row>
    <row r="601">
      <c r="A601" s="7"/>
      <c r="B601" s="7"/>
      <c r="C601" s="7"/>
      <c r="D601" s="9"/>
      <c r="E601" s="10"/>
      <c r="F601" s="11"/>
      <c r="G601" s="11"/>
      <c r="J601" s="7"/>
      <c r="K601" s="8"/>
      <c r="L601" s="7"/>
      <c r="M601" s="7"/>
      <c r="N601" s="7"/>
      <c r="Q601" s="8"/>
      <c r="R601" s="7"/>
      <c r="S601" s="9"/>
      <c r="T601" s="7"/>
      <c r="U601" s="7"/>
      <c r="V601" s="7"/>
      <c r="AC601" s="7"/>
      <c r="AD601" s="7"/>
      <c r="AE601" s="7"/>
    </row>
    <row r="602">
      <c r="A602" s="7"/>
      <c r="B602" s="7"/>
      <c r="C602" s="7"/>
      <c r="D602" s="9"/>
      <c r="E602" s="10"/>
      <c r="F602" s="11"/>
      <c r="G602" s="11"/>
      <c r="J602" s="7"/>
      <c r="K602" s="8"/>
      <c r="L602" s="7"/>
      <c r="M602" s="7"/>
      <c r="N602" s="7"/>
      <c r="Q602" s="8"/>
      <c r="R602" s="7"/>
      <c r="S602" s="9"/>
      <c r="T602" s="7"/>
      <c r="U602" s="7"/>
      <c r="V602" s="7"/>
      <c r="AC602" s="7"/>
      <c r="AD602" s="7"/>
      <c r="AE602" s="7"/>
    </row>
    <row r="603">
      <c r="A603" s="7"/>
      <c r="B603" s="7"/>
      <c r="C603" s="7"/>
      <c r="D603" s="9"/>
      <c r="E603" s="10"/>
      <c r="F603" s="11"/>
      <c r="G603" s="11"/>
      <c r="J603" s="7"/>
      <c r="K603" s="8"/>
      <c r="L603" s="7"/>
      <c r="M603" s="7"/>
      <c r="N603" s="7"/>
      <c r="Q603" s="8"/>
      <c r="R603" s="7"/>
      <c r="S603" s="9"/>
      <c r="T603" s="7"/>
      <c r="U603" s="7"/>
      <c r="V603" s="7"/>
      <c r="AC603" s="7"/>
      <c r="AD603" s="7"/>
      <c r="AE603" s="7"/>
    </row>
    <row r="604">
      <c r="A604" s="7"/>
      <c r="B604" s="7"/>
      <c r="C604" s="7"/>
      <c r="D604" s="9"/>
      <c r="E604" s="10"/>
      <c r="F604" s="11"/>
      <c r="G604" s="11"/>
      <c r="J604" s="7"/>
      <c r="K604" s="8"/>
      <c r="L604" s="7"/>
      <c r="M604" s="7"/>
      <c r="N604" s="7"/>
      <c r="Q604" s="8"/>
      <c r="R604" s="7"/>
      <c r="S604" s="9"/>
      <c r="T604" s="7"/>
      <c r="U604" s="7"/>
      <c r="V604" s="7"/>
      <c r="AC604" s="7"/>
      <c r="AD604" s="7"/>
      <c r="AE604" s="7"/>
    </row>
    <row r="605">
      <c r="A605" s="7"/>
      <c r="B605" s="7"/>
      <c r="C605" s="7"/>
      <c r="D605" s="9"/>
      <c r="E605" s="10"/>
      <c r="F605" s="11"/>
      <c r="G605" s="11"/>
      <c r="J605" s="7"/>
      <c r="K605" s="8"/>
      <c r="L605" s="7"/>
      <c r="M605" s="7"/>
      <c r="N605" s="7"/>
      <c r="Q605" s="8"/>
      <c r="R605" s="7"/>
      <c r="S605" s="9"/>
      <c r="T605" s="7"/>
      <c r="U605" s="7"/>
      <c r="V605" s="7"/>
      <c r="AC605" s="7"/>
      <c r="AD605" s="7"/>
      <c r="AE605" s="7"/>
    </row>
    <row r="606">
      <c r="A606" s="7"/>
      <c r="B606" s="7"/>
      <c r="C606" s="7"/>
      <c r="D606" s="9"/>
      <c r="E606" s="10"/>
      <c r="F606" s="11"/>
      <c r="G606" s="11"/>
      <c r="J606" s="7"/>
      <c r="K606" s="8"/>
      <c r="L606" s="7"/>
      <c r="M606" s="7"/>
      <c r="N606" s="7"/>
      <c r="Q606" s="8"/>
      <c r="R606" s="7"/>
      <c r="S606" s="9"/>
      <c r="T606" s="7"/>
      <c r="U606" s="7"/>
      <c r="V606" s="7"/>
      <c r="AC606" s="7"/>
      <c r="AD606" s="7"/>
      <c r="AE606" s="7"/>
    </row>
    <row r="607">
      <c r="A607" s="7"/>
      <c r="B607" s="7"/>
      <c r="C607" s="7"/>
      <c r="D607" s="9"/>
      <c r="E607" s="10"/>
      <c r="F607" s="11"/>
      <c r="G607" s="11"/>
      <c r="J607" s="7"/>
      <c r="K607" s="8"/>
      <c r="L607" s="7"/>
      <c r="M607" s="7"/>
      <c r="N607" s="7"/>
      <c r="Q607" s="8"/>
      <c r="R607" s="7"/>
      <c r="S607" s="9"/>
      <c r="T607" s="7"/>
      <c r="U607" s="7"/>
      <c r="V607" s="7"/>
      <c r="AC607" s="7"/>
      <c r="AD607" s="7"/>
      <c r="AE607" s="7"/>
    </row>
    <row r="608">
      <c r="A608" s="7"/>
      <c r="B608" s="7"/>
      <c r="C608" s="7"/>
      <c r="D608" s="9"/>
      <c r="E608" s="10"/>
      <c r="F608" s="11"/>
      <c r="G608" s="11"/>
      <c r="J608" s="7"/>
      <c r="K608" s="8"/>
      <c r="L608" s="7"/>
      <c r="M608" s="7"/>
      <c r="N608" s="7"/>
      <c r="Q608" s="8"/>
      <c r="R608" s="7"/>
      <c r="S608" s="9"/>
      <c r="T608" s="7"/>
      <c r="U608" s="7"/>
      <c r="V608" s="7"/>
      <c r="AC608" s="7"/>
      <c r="AD608" s="7"/>
      <c r="AE608" s="7"/>
    </row>
    <row r="609">
      <c r="A609" s="7"/>
      <c r="B609" s="7"/>
      <c r="C609" s="7"/>
      <c r="D609" s="9"/>
      <c r="E609" s="10"/>
      <c r="F609" s="11"/>
      <c r="G609" s="11"/>
      <c r="J609" s="7"/>
      <c r="K609" s="8"/>
      <c r="L609" s="7"/>
      <c r="M609" s="7"/>
      <c r="N609" s="7"/>
      <c r="Q609" s="8"/>
      <c r="R609" s="7"/>
      <c r="S609" s="9"/>
      <c r="T609" s="7"/>
      <c r="U609" s="7"/>
      <c r="V609" s="7"/>
      <c r="AC609" s="7"/>
      <c r="AD609" s="7"/>
      <c r="AE609" s="7"/>
    </row>
    <row r="610">
      <c r="A610" s="7"/>
      <c r="B610" s="7"/>
      <c r="C610" s="7"/>
      <c r="D610" s="9"/>
      <c r="E610" s="10"/>
      <c r="F610" s="11"/>
      <c r="G610" s="11"/>
      <c r="J610" s="7"/>
      <c r="K610" s="8"/>
      <c r="L610" s="7"/>
      <c r="M610" s="7"/>
      <c r="N610" s="7"/>
      <c r="Q610" s="8"/>
      <c r="R610" s="7"/>
      <c r="S610" s="9"/>
      <c r="T610" s="7"/>
      <c r="U610" s="7"/>
      <c r="V610" s="7"/>
      <c r="AC610" s="7"/>
      <c r="AD610" s="7"/>
      <c r="AE610" s="7"/>
    </row>
    <row r="611">
      <c r="A611" s="7"/>
      <c r="B611" s="7"/>
      <c r="C611" s="7"/>
      <c r="D611" s="9"/>
      <c r="E611" s="10"/>
      <c r="F611" s="11"/>
      <c r="G611" s="11"/>
      <c r="J611" s="7"/>
      <c r="K611" s="8"/>
      <c r="L611" s="7"/>
      <c r="M611" s="7"/>
      <c r="N611" s="7"/>
      <c r="Q611" s="8"/>
      <c r="R611" s="7"/>
      <c r="S611" s="9"/>
      <c r="T611" s="7"/>
      <c r="U611" s="7"/>
      <c r="V611" s="7"/>
      <c r="AC611" s="7"/>
      <c r="AD611" s="7"/>
      <c r="AE611" s="7"/>
    </row>
    <row r="612">
      <c r="A612" s="7"/>
      <c r="B612" s="7"/>
      <c r="C612" s="7"/>
      <c r="D612" s="9"/>
      <c r="E612" s="10"/>
      <c r="F612" s="11"/>
      <c r="G612" s="11"/>
      <c r="J612" s="7"/>
      <c r="K612" s="8"/>
      <c r="L612" s="7"/>
      <c r="M612" s="7"/>
      <c r="N612" s="7"/>
      <c r="Q612" s="8"/>
      <c r="R612" s="7"/>
      <c r="S612" s="9"/>
      <c r="T612" s="7"/>
      <c r="U612" s="7"/>
      <c r="V612" s="7"/>
      <c r="AC612" s="7"/>
      <c r="AD612" s="7"/>
      <c r="AE612" s="7"/>
    </row>
    <row r="613">
      <c r="A613" s="7"/>
      <c r="B613" s="7"/>
      <c r="C613" s="7"/>
      <c r="D613" s="9"/>
      <c r="E613" s="10"/>
      <c r="F613" s="11"/>
      <c r="G613" s="11"/>
      <c r="J613" s="7"/>
      <c r="K613" s="8"/>
      <c r="L613" s="7"/>
      <c r="M613" s="7"/>
      <c r="N613" s="7"/>
      <c r="Q613" s="8"/>
      <c r="R613" s="7"/>
      <c r="S613" s="9"/>
      <c r="T613" s="7"/>
      <c r="U613" s="7"/>
      <c r="V613" s="7"/>
      <c r="AC613" s="7"/>
      <c r="AD613" s="7"/>
      <c r="AE613" s="7"/>
    </row>
    <row r="614">
      <c r="A614" s="7"/>
      <c r="B614" s="7"/>
      <c r="C614" s="7"/>
      <c r="D614" s="9"/>
      <c r="E614" s="10"/>
      <c r="F614" s="11"/>
      <c r="G614" s="11"/>
      <c r="J614" s="7"/>
      <c r="K614" s="8"/>
      <c r="L614" s="7"/>
      <c r="M614" s="7"/>
      <c r="N614" s="7"/>
      <c r="Q614" s="8"/>
      <c r="R614" s="7"/>
      <c r="S614" s="9"/>
      <c r="T614" s="7"/>
      <c r="U614" s="7"/>
      <c r="V614" s="7"/>
      <c r="AC614" s="7"/>
      <c r="AD614" s="7"/>
      <c r="AE614" s="7"/>
    </row>
    <row r="615">
      <c r="A615" s="7"/>
      <c r="B615" s="7"/>
      <c r="C615" s="7"/>
      <c r="D615" s="9"/>
      <c r="E615" s="10"/>
      <c r="F615" s="11"/>
      <c r="G615" s="11"/>
      <c r="J615" s="7"/>
      <c r="K615" s="8"/>
      <c r="L615" s="7"/>
      <c r="M615" s="7"/>
      <c r="N615" s="7"/>
      <c r="Q615" s="8"/>
      <c r="R615" s="7"/>
      <c r="S615" s="9"/>
      <c r="T615" s="7"/>
      <c r="U615" s="7"/>
      <c r="V615" s="7"/>
      <c r="AC615" s="7"/>
      <c r="AD615" s="7"/>
      <c r="AE615" s="7"/>
    </row>
    <row r="616">
      <c r="A616" s="7"/>
      <c r="B616" s="7"/>
      <c r="C616" s="7"/>
      <c r="D616" s="9"/>
      <c r="E616" s="10"/>
      <c r="F616" s="11"/>
      <c r="G616" s="11"/>
      <c r="J616" s="7"/>
      <c r="K616" s="8"/>
      <c r="L616" s="7"/>
      <c r="M616" s="7"/>
      <c r="N616" s="7"/>
      <c r="Q616" s="8"/>
      <c r="R616" s="7"/>
      <c r="S616" s="9"/>
      <c r="T616" s="7"/>
      <c r="U616" s="7"/>
      <c r="V616" s="7"/>
      <c r="AC616" s="7"/>
      <c r="AD616" s="7"/>
      <c r="AE616" s="7"/>
    </row>
    <row r="617">
      <c r="A617" s="7"/>
      <c r="B617" s="7"/>
      <c r="C617" s="7"/>
      <c r="D617" s="9"/>
      <c r="E617" s="10"/>
      <c r="F617" s="11"/>
      <c r="G617" s="11"/>
      <c r="J617" s="7"/>
      <c r="K617" s="8"/>
      <c r="L617" s="7"/>
      <c r="M617" s="7"/>
      <c r="N617" s="7"/>
      <c r="Q617" s="8"/>
      <c r="R617" s="7"/>
      <c r="S617" s="9"/>
      <c r="T617" s="7"/>
      <c r="U617" s="7"/>
      <c r="V617" s="7"/>
      <c r="AC617" s="7"/>
      <c r="AD617" s="7"/>
      <c r="AE617" s="7"/>
    </row>
    <row r="618">
      <c r="A618" s="7"/>
      <c r="B618" s="7"/>
      <c r="C618" s="7"/>
      <c r="D618" s="9"/>
      <c r="E618" s="10"/>
      <c r="F618" s="11"/>
      <c r="G618" s="11"/>
      <c r="J618" s="7"/>
      <c r="K618" s="8"/>
      <c r="L618" s="7"/>
      <c r="M618" s="7"/>
      <c r="N618" s="7"/>
      <c r="Q618" s="8"/>
      <c r="R618" s="7"/>
      <c r="S618" s="9"/>
      <c r="T618" s="7"/>
      <c r="U618" s="7"/>
      <c r="V618" s="7"/>
      <c r="AC618" s="7"/>
      <c r="AD618" s="7"/>
      <c r="AE618" s="7"/>
    </row>
    <row r="619">
      <c r="A619" s="7"/>
      <c r="B619" s="7"/>
      <c r="C619" s="7"/>
      <c r="D619" s="9"/>
      <c r="E619" s="10"/>
      <c r="F619" s="11"/>
      <c r="G619" s="11"/>
      <c r="J619" s="7"/>
      <c r="K619" s="8"/>
      <c r="L619" s="7"/>
      <c r="M619" s="7"/>
      <c r="N619" s="7"/>
      <c r="Q619" s="8"/>
      <c r="R619" s="7"/>
      <c r="S619" s="9"/>
      <c r="T619" s="7"/>
      <c r="U619" s="7"/>
      <c r="V619" s="7"/>
      <c r="AC619" s="7"/>
      <c r="AD619" s="7"/>
      <c r="AE619" s="7"/>
    </row>
    <row r="620">
      <c r="A620" s="7"/>
      <c r="B620" s="7"/>
      <c r="C620" s="7"/>
      <c r="D620" s="9"/>
      <c r="E620" s="10"/>
      <c r="F620" s="11"/>
      <c r="G620" s="11"/>
      <c r="J620" s="7"/>
      <c r="K620" s="8"/>
      <c r="L620" s="7"/>
      <c r="M620" s="7"/>
      <c r="N620" s="7"/>
      <c r="Q620" s="8"/>
      <c r="R620" s="7"/>
      <c r="S620" s="9"/>
      <c r="T620" s="7"/>
      <c r="U620" s="7"/>
      <c r="V620" s="7"/>
      <c r="AC620" s="7"/>
      <c r="AD620" s="7"/>
      <c r="AE620" s="7"/>
    </row>
    <row r="621">
      <c r="A621" s="7"/>
      <c r="B621" s="7"/>
      <c r="C621" s="7"/>
      <c r="D621" s="9"/>
      <c r="E621" s="10"/>
      <c r="F621" s="11"/>
      <c r="G621" s="11"/>
      <c r="J621" s="7"/>
      <c r="K621" s="8"/>
      <c r="L621" s="7"/>
      <c r="M621" s="7"/>
      <c r="N621" s="7"/>
      <c r="Q621" s="8"/>
      <c r="R621" s="7"/>
      <c r="S621" s="9"/>
      <c r="T621" s="7"/>
      <c r="U621" s="7"/>
      <c r="V621" s="7"/>
      <c r="AC621" s="7"/>
      <c r="AD621" s="7"/>
      <c r="AE621" s="7"/>
    </row>
    <row r="622">
      <c r="A622" s="7"/>
      <c r="B622" s="7"/>
      <c r="C622" s="7"/>
      <c r="D622" s="9"/>
      <c r="E622" s="10"/>
      <c r="F622" s="11"/>
      <c r="G622" s="11"/>
      <c r="J622" s="7"/>
      <c r="K622" s="8"/>
      <c r="L622" s="7"/>
      <c r="M622" s="7"/>
      <c r="N622" s="7"/>
      <c r="Q622" s="8"/>
      <c r="R622" s="7"/>
      <c r="S622" s="9"/>
      <c r="T622" s="7"/>
      <c r="U622" s="7"/>
      <c r="V622" s="7"/>
      <c r="AC622" s="7"/>
      <c r="AD622" s="7"/>
      <c r="AE622" s="7"/>
    </row>
    <row r="623">
      <c r="A623" s="7"/>
      <c r="B623" s="7"/>
      <c r="C623" s="7"/>
      <c r="D623" s="9"/>
      <c r="E623" s="10"/>
      <c r="F623" s="11"/>
      <c r="G623" s="11"/>
      <c r="J623" s="7"/>
      <c r="K623" s="8"/>
      <c r="L623" s="7"/>
      <c r="M623" s="7"/>
      <c r="N623" s="7"/>
      <c r="Q623" s="8"/>
      <c r="R623" s="7"/>
      <c r="S623" s="9"/>
      <c r="T623" s="7"/>
      <c r="U623" s="7"/>
      <c r="V623" s="7"/>
      <c r="AC623" s="7"/>
      <c r="AD623" s="7"/>
      <c r="AE623" s="7"/>
    </row>
    <row r="624">
      <c r="A624" s="7"/>
      <c r="B624" s="7"/>
      <c r="C624" s="7"/>
      <c r="D624" s="9"/>
      <c r="E624" s="10"/>
      <c r="F624" s="11"/>
      <c r="G624" s="11"/>
      <c r="J624" s="7"/>
      <c r="K624" s="8"/>
      <c r="L624" s="7"/>
      <c r="M624" s="7"/>
      <c r="N624" s="7"/>
      <c r="Q624" s="8"/>
      <c r="R624" s="7"/>
      <c r="S624" s="9"/>
      <c r="T624" s="7"/>
      <c r="U624" s="7"/>
      <c r="V624" s="7"/>
      <c r="AC624" s="7"/>
      <c r="AD624" s="7"/>
      <c r="AE624" s="7"/>
    </row>
    <row r="625">
      <c r="A625" s="7"/>
      <c r="B625" s="7"/>
      <c r="C625" s="7"/>
      <c r="D625" s="9"/>
      <c r="E625" s="10"/>
      <c r="F625" s="11"/>
      <c r="G625" s="11"/>
      <c r="J625" s="7"/>
      <c r="K625" s="8"/>
      <c r="L625" s="7"/>
      <c r="M625" s="7"/>
      <c r="N625" s="7"/>
      <c r="Q625" s="8"/>
      <c r="R625" s="7"/>
      <c r="S625" s="9"/>
      <c r="T625" s="7"/>
      <c r="U625" s="7"/>
      <c r="V625" s="7"/>
      <c r="AC625" s="7"/>
      <c r="AD625" s="7"/>
      <c r="AE625" s="7"/>
    </row>
    <row r="626">
      <c r="A626" s="7"/>
      <c r="B626" s="7"/>
      <c r="C626" s="7"/>
      <c r="D626" s="9"/>
      <c r="E626" s="10"/>
      <c r="F626" s="11"/>
      <c r="G626" s="11"/>
      <c r="J626" s="7"/>
      <c r="K626" s="8"/>
      <c r="L626" s="7"/>
      <c r="M626" s="7"/>
      <c r="N626" s="7"/>
      <c r="Q626" s="8"/>
      <c r="R626" s="7"/>
      <c r="S626" s="9"/>
      <c r="T626" s="7"/>
      <c r="U626" s="7"/>
      <c r="V626" s="7"/>
      <c r="AC626" s="7"/>
      <c r="AD626" s="7"/>
      <c r="AE626" s="7"/>
    </row>
    <row r="627">
      <c r="A627" s="7"/>
      <c r="B627" s="7"/>
      <c r="C627" s="7"/>
      <c r="D627" s="9"/>
      <c r="E627" s="10"/>
      <c r="F627" s="11"/>
      <c r="G627" s="11"/>
      <c r="J627" s="7"/>
      <c r="K627" s="8"/>
      <c r="L627" s="7"/>
      <c r="M627" s="7"/>
      <c r="N627" s="7"/>
      <c r="Q627" s="8"/>
      <c r="R627" s="7"/>
      <c r="S627" s="9"/>
      <c r="T627" s="7"/>
      <c r="U627" s="7"/>
      <c r="V627" s="7"/>
      <c r="AC627" s="7"/>
      <c r="AD627" s="7"/>
      <c r="AE627" s="7"/>
    </row>
    <row r="628">
      <c r="A628" s="7"/>
      <c r="B628" s="7"/>
      <c r="C628" s="7"/>
      <c r="D628" s="9"/>
      <c r="E628" s="10"/>
      <c r="F628" s="11"/>
      <c r="G628" s="11"/>
      <c r="J628" s="7"/>
      <c r="K628" s="8"/>
      <c r="L628" s="7"/>
      <c r="M628" s="7"/>
      <c r="N628" s="7"/>
      <c r="Q628" s="8"/>
      <c r="R628" s="7"/>
      <c r="S628" s="9"/>
      <c r="T628" s="7"/>
      <c r="U628" s="7"/>
      <c r="V628" s="7"/>
      <c r="AC628" s="7"/>
      <c r="AD628" s="7"/>
      <c r="AE628" s="7"/>
    </row>
    <row r="629">
      <c r="A629" s="7"/>
      <c r="B629" s="7"/>
      <c r="C629" s="7"/>
      <c r="D629" s="9"/>
      <c r="E629" s="10"/>
      <c r="F629" s="11"/>
      <c r="G629" s="11"/>
      <c r="J629" s="7"/>
      <c r="K629" s="8"/>
      <c r="L629" s="7"/>
      <c r="M629" s="7"/>
      <c r="N629" s="7"/>
      <c r="Q629" s="8"/>
      <c r="R629" s="7"/>
      <c r="S629" s="9"/>
      <c r="T629" s="7"/>
      <c r="U629" s="7"/>
      <c r="V629" s="7"/>
      <c r="AC629" s="7"/>
      <c r="AD629" s="7"/>
      <c r="AE629" s="7"/>
    </row>
    <row r="630">
      <c r="A630" s="7"/>
      <c r="B630" s="7"/>
      <c r="C630" s="7"/>
      <c r="D630" s="9"/>
      <c r="E630" s="10"/>
      <c r="F630" s="11"/>
      <c r="G630" s="11"/>
      <c r="J630" s="7"/>
      <c r="K630" s="8"/>
      <c r="L630" s="7"/>
      <c r="M630" s="7"/>
      <c r="N630" s="7"/>
      <c r="Q630" s="8"/>
      <c r="R630" s="7"/>
      <c r="S630" s="9"/>
      <c r="T630" s="7"/>
      <c r="U630" s="7"/>
      <c r="V630" s="7"/>
      <c r="AC630" s="7"/>
      <c r="AD630" s="7"/>
      <c r="AE630" s="7"/>
    </row>
    <row r="631">
      <c r="A631" s="7"/>
      <c r="B631" s="7"/>
      <c r="C631" s="7"/>
      <c r="D631" s="9"/>
      <c r="E631" s="10"/>
      <c r="F631" s="11"/>
      <c r="G631" s="11"/>
      <c r="J631" s="7"/>
      <c r="K631" s="8"/>
      <c r="L631" s="7"/>
      <c r="M631" s="7"/>
      <c r="N631" s="7"/>
      <c r="Q631" s="8"/>
      <c r="R631" s="7"/>
      <c r="S631" s="9"/>
      <c r="T631" s="7"/>
      <c r="U631" s="7"/>
      <c r="V631" s="7"/>
      <c r="AC631" s="7"/>
      <c r="AD631" s="7"/>
      <c r="AE631" s="7"/>
    </row>
    <row r="632">
      <c r="A632" s="7"/>
      <c r="B632" s="7"/>
      <c r="C632" s="7"/>
      <c r="D632" s="9"/>
      <c r="E632" s="10"/>
      <c r="F632" s="11"/>
      <c r="G632" s="11"/>
      <c r="J632" s="7"/>
      <c r="K632" s="8"/>
      <c r="L632" s="7"/>
      <c r="M632" s="7"/>
      <c r="N632" s="7"/>
      <c r="Q632" s="8"/>
      <c r="R632" s="7"/>
      <c r="S632" s="9"/>
      <c r="T632" s="7"/>
      <c r="U632" s="7"/>
      <c r="V632" s="7"/>
      <c r="AC632" s="7"/>
      <c r="AD632" s="7"/>
      <c r="AE632" s="7"/>
    </row>
    <row r="633">
      <c r="A633" s="7"/>
      <c r="B633" s="7"/>
      <c r="C633" s="7"/>
      <c r="D633" s="9"/>
      <c r="E633" s="10"/>
      <c r="F633" s="11"/>
      <c r="G633" s="11"/>
      <c r="J633" s="7"/>
      <c r="K633" s="8"/>
      <c r="L633" s="7"/>
      <c r="M633" s="7"/>
      <c r="N633" s="7"/>
      <c r="Q633" s="8"/>
      <c r="R633" s="7"/>
      <c r="S633" s="9"/>
      <c r="T633" s="7"/>
      <c r="U633" s="7"/>
      <c r="V633" s="7"/>
      <c r="AC633" s="7"/>
      <c r="AD633" s="7"/>
      <c r="AE633" s="7"/>
    </row>
    <row r="634">
      <c r="A634" s="7"/>
      <c r="B634" s="7"/>
      <c r="C634" s="7"/>
      <c r="D634" s="9"/>
      <c r="E634" s="10"/>
      <c r="F634" s="11"/>
      <c r="G634" s="11"/>
      <c r="J634" s="7"/>
      <c r="K634" s="8"/>
      <c r="L634" s="7"/>
      <c r="M634" s="7"/>
      <c r="N634" s="7"/>
      <c r="Q634" s="8"/>
      <c r="R634" s="7"/>
      <c r="S634" s="9"/>
      <c r="T634" s="7"/>
      <c r="U634" s="7"/>
      <c r="V634" s="7"/>
      <c r="AC634" s="7"/>
      <c r="AD634" s="7"/>
      <c r="AE634" s="7"/>
    </row>
    <row r="635">
      <c r="A635" s="7"/>
      <c r="B635" s="7"/>
      <c r="C635" s="7"/>
      <c r="D635" s="9"/>
      <c r="E635" s="10"/>
      <c r="F635" s="11"/>
      <c r="G635" s="11"/>
      <c r="J635" s="7"/>
      <c r="K635" s="8"/>
      <c r="L635" s="7"/>
      <c r="M635" s="7"/>
      <c r="N635" s="7"/>
      <c r="Q635" s="8"/>
      <c r="R635" s="7"/>
      <c r="S635" s="9"/>
      <c r="T635" s="7"/>
      <c r="U635" s="7"/>
      <c r="V635" s="7"/>
      <c r="AC635" s="7"/>
      <c r="AD635" s="7"/>
      <c r="AE635" s="7"/>
    </row>
    <row r="636">
      <c r="A636" s="7"/>
      <c r="B636" s="7"/>
      <c r="C636" s="7"/>
      <c r="D636" s="9"/>
      <c r="E636" s="10"/>
      <c r="F636" s="11"/>
      <c r="G636" s="11"/>
      <c r="J636" s="7"/>
      <c r="K636" s="8"/>
      <c r="L636" s="7"/>
      <c r="M636" s="7"/>
      <c r="N636" s="7"/>
      <c r="Q636" s="8"/>
      <c r="R636" s="7"/>
      <c r="S636" s="9"/>
      <c r="T636" s="7"/>
      <c r="U636" s="7"/>
      <c r="V636" s="7"/>
      <c r="AC636" s="7"/>
      <c r="AD636" s="7"/>
      <c r="AE636" s="7"/>
    </row>
    <row r="637">
      <c r="A637" s="7"/>
      <c r="B637" s="7"/>
      <c r="C637" s="7"/>
      <c r="D637" s="9"/>
      <c r="E637" s="10"/>
      <c r="F637" s="11"/>
      <c r="G637" s="11"/>
      <c r="J637" s="7"/>
      <c r="K637" s="8"/>
      <c r="L637" s="7"/>
      <c r="M637" s="7"/>
      <c r="N637" s="7"/>
      <c r="Q637" s="8"/>
      <c r="R637" s="7"/>
      <c r="S637" s="9"/>
      <c r="T637" s="7"/>
      <c r="U637" s="7"/>
      <c r="V637" s="7"/>
      <c r="AC637" s="7"/>
      <c r="AD637" s="7"/>
      <c r="AE637" s="7"/>
    </row>
    <row r="638">
      <c r="A638" s="7"/>
      <c r="B638" s="7"/>
      <c r="C638" s="7"/>
      <c r="D638" s="9"/>
      <c r="E638" s="10"/>
      <c r="F638" s="11"/>
      <c r="G638" s="11"/>
      <c r="J638" s="7"/>
      <c r="K638" s="8"/>
      <c r="L638" s="7"/>
      <c r="M638" s="7"/>
      <c r="N638" s="7"/>
      <c r="Q638" s="8"/>
      <c r="R638" s="7"/>
      <c r="S638" s="9"/>
      <c r="T638" s="7"/>
      <c r="U638" s="7"/>
      <c r="V638" s="7"/>
      <c r="AC638" s="7"/>
      <c r="AD638" s="7"/>
      <c r="AE638" s="7"/>
    </row>
    <row r="639">
      <c r="A639" s="7"/>
      <c r="B639" s="7"/>
      <c r="C639" s="7"/>
      <c r="D639" s="9"/>
      <c r="E639" s="10"/>
      <c r="F639" s="11"/>
      <c r="G639" s="11"/>
      <c r="J639" s="7"/>
      <c r="K639" s="8"/>
      <c r="L639" s="7"/>
      <c r="M639" s="7"/>
      <c r="N639" s="7"/>
      <c r="Q639" s="8"/>
      <c r="R639" s="7"/>
      <c r="S639" s="9"/>
      <c r="T639" s="7"/>
      <c r="U639" s="7"/>
      <c r="V639" s="7"/>
      <c r="AC639" s="7"/>
      <c r="AD639" s="7"/>
      <c r="AE639" s="7"/>
    </row>
    <row r="640">
      <c r="A640" s="7"/>
      <c r="B640" s="7"/>
      <c r="C640" s="7"/>
      <c r="D640" s="9"/>
      <c r="E640" s="10"/>
      <c r="F640" s="11"/>
      <c r="G640" s="11"/>
      <c r="J640" s="7"/>
      <c r="K640" s="8"/>
      <c r="L640" s="7"/>
      <c r="M640" s="7"/>
      <c r="N640" s="7"/>
      <c r="Q640" s="8"/>
      <c r="R640" s="7"/>
      <c r="S640" s="9"/>
      <c r="T640" s="7"/>
      <c r="U640" s="7"/>
      <c r="V640" s="7"/>
      <c r="AC640" s="7"/>
      <c r="AD640" s="7"/>
      <c r="AE640" s="7"/>
    </row>
    <row r="641">
      <c r="A641" s="7"/>
      <c r="B641" s="7"/>
      <c r="C641" s="7"/>
      <c r="D641" s="9"/>
      <c r="E641" s="10"/>
      <c r="F641" s="11"/>
      <c r="G641" s="11"/>
      <c r="J641" s="7"/>
      <c r="K641" s="8"/>
      <c r="L641" s="7"/>
      <c r="M641" s="7"/>
      <c r="N641" s="7"/>
      <c r="Q641" s="8"/>
      <c r="R641" s="7"/>
      <c r="S641" s="9"/>
      <c r="T641" s="7"/>
      <c r="U641" s="7"/>
      <c r="V641" s="7"/>
      <c r="AC641" s="7"/>
      <c r="AD641" s="7"/>
      <c r="AE641" s="7"/>
    </row>
    <row r="642">
      <c r="A642" s="7"/>
      <c r="B642" s="7"/>
      <c r="C642" s="7"/>
      <c r="D642" s="9"/>
      <c r="E642" s="10"/>
      <c r="F642" s="11"/>
      <c r="G642" s="11"/>
      <c r="J642" s="7"/>
      <c r="K642" s="8"/>
      <c r="L642" s="7"/>
      <c r="M642" s="7"/>
      <c r="N642" s="7"/>
      <c r="Q642" s="8"/>
      <c r="R642" s="7"/>
      <c r="S642" s="9"/>
      <c r="T642" s="7"/>
      <c r="U642" s="7"/>
      <c r="V642" s="7"/>
      <c r="AC642" s="7"/>
      <c r="AD642" s="7"/>
      <c r="AE642" s="7"/>
    </row>
    <row r="643">
      <c r="A643" s="7"/>
      <c r="B643" s="7"/>
      <c r="C643" s="7"/>
      <c r="D643" s="9"/>
      <c r="E643" s="10"/>
      <c r="F643" s="11"/>
      <c r="G643" s="11"/>
      <c r="J643" s="7"/>
      <c r="K643" s="8"/>
      <c r="L643" s="7"/>
      <c r="M643" s="7"/>
      <c r="N643" s="7"/>
      <c r="Q643" s="8"/>
      <c r="R643" s="7"/>
      <c r="S643" s="9"/>
      <c r="T643" s="7"/>
      <c r="U643" s="7"/>
      <c r="V643" s="7"/>
      <c r="AC643" s="7"/>
      <c r="AD643" s="7"/>
      <c r="AE643" s="7"/>
    </row>
    <row r="644">
      <c r="A644" s="7"/>
      <c r="B644" s="7"/>
      <c r="C644" s="7"/>
      <c r="D644" s="9"/>
      <c r="E644" s="10"/>
      <c r="F644" s="11"/>
      <c r="G644" s="11"/>
      <c r="J644" s="7"/>
      <c r="K644" s="8"/>
      <c r="L644" s="7"/>
      <c r="M644" s="7"/>
      <c r="N644" s="7"/>
      <c r="Q644" s="8"/>
      <c r="R644" s="7"/>
      <c r="S644" s="9"/>
      <c r="T644" s="7"/>
      <c r="U644" s="7"/>
      <c r="V644" s="7"/>
      <c r="AC644" s="7"/>
      <c r="AD644" s="7"/>
      <c r="AE644" s="7"/>
    </row>
    <row r="645">
      <c r="A645" s="7"/>
      <c r="B645" s="7"/>
      <c r="C645" s="7"/>
      <c r="D645" s="9"/>
      <c r="E645" s="10"/>
      <c r="F645" s="11"/>
      <c r="G645" s="11"/>
      <c r="J645" s="7"/>
      <c r="K645" s="8"/>
      <c r="L645" s="7"/>
      <c r="M645" s="7"/>
      <c r="N645" s="7"/>
      <c r="Q645" s="8"/>
      <c r="R645" s="7"/>
      <c r="S645" s="9"/>
      <c r="T645" s="7"/>
      <c r="U645" s="7"/>
      <c r="V645" s="7"/>
      <c r="AC645" s="7"/>
      <c r="AD645" s="7"/>
      <c r="AE645" s="7"/>
    </row>
    <row r="646">
      <c r="A646" s="7"/>
      <c r="B646" s="7"/>
      <c r="C646" s="7"/>
      <c r="D646" s="9"/>
      <c r="E646" s="10"/>
      <c r="F646" s="11"/>
      <c r="G646" s="11"/>
      <c r="J646" s="7"/>
      <c r="K646" s="8"/>
      <c r="L646" s="7"/>
      <c r="M646" s="7"/>
      <c r="N646" s="7"/>
      <c r="Q646" s="8"/>
      <c r="R646" s="7"/>
      <c r="S646" s="9"/>
      <c r="T646" s="7"/>
      <c r="U646" s="7"/>
      <c r="V646" s="7"/>
      <c r="AC646" s="7"/>
      <c r="AD646" s="7"/>
      <c r="AE646" s="7"/>
    </row>
    <row r="647">
      <c r="A647" s="7"/>
      <c r="B647" s="7"/>
      <c r="C647" s="7"/>
      <c r="D647" s="9"/>
      <c r="E647" s="10"/>
      <c r="F647" s="11"/>
      <c r="G647" s="11"/>
      <c r="J647" s="7"/>
      <c r="K647" s="8"/>
      <c r="L647" s="7"/>
      <c r="M647" s="7"/>
      <c r="N647" s="7"/>
      <c r="Q647" s="8"/>
      <c r="R647" s="7"/>
      <c r="S647" s="9"/>
      <c r="T647" s="7"/>
      <c r="U647" s="7"/>
      <c r="V647" s="7"/>
      <c r="AC647" s="7"/>
      <c r="AD647" s="7"/>
      <c r="AE647" s="7"/>
    </row>
    <row r="648">
      <c r="A648" s="7"/>
      <c r="B648" s="7"/>
      <c r="C648" s="7"/>
      <c r="D648" s="9"/>
      <c r="E648" s="10"/>
      <c r="F648" s="11"/>
      <c r="G648" s="11"/>
      <c r="J648" s="7"/>
      <c r="K648" s="8"/>
      <c r="L648" s="7"/>
      <c r="M648" s="7"/>
      <c r="N648" s="7"/>
      <c r="Q648" s="8"/>
      <c r="R648" s="7"/>
      <c r="S648" s="9"/>
      <c r="T648" s="7"/>
      <c r="U648" s="7"/>
      <c r="V648" s="7"/>
      <c r="AC648" s="7"/>
      <c r="AD648" s="7"/>
      <c r="AE648" s="7"/>
    </row>
    <row r="649">
      <c r="A649" s="7"/>
      <c r="B649" s="7"/>
      <c r="C649" s="7"/>
      <c r="D649" s="9"/>
      <c r="E649" s="10"/>
      <c r="F649" s="11"/>
      <c r="G649" s="11"/>
      <c r="J649" s="7"/>
      <c r="K649" s="8"/>
      <c r="L649" s="7"/>
      <c r="M649" s="7"/>
      <c r="N649" s="7"/>
      <c r="Q649" s="8"/>
      <c r="R649" s="7"/>
      <c r="S649" s="9"/>
      <c r="T649" s="7"/>
      <c r="U649" s="7"/>
      <c r="V649" s="7"/>
      <c r="AC649" s="7"/>
      <c r="AD649" s="7"/>
      <c r="AE649" s="7"/>
    </row>
    <row r="650">
      <c r="A650" s="7"/>
      <c r="B650" s="7"/>
      <c r="C650" s="7"/>
      <c r="D650" s="9"/>
      <c r="E650" s="10"/>
      <c r="F650" s="11"/>
      <c r="G650" s="11"/>
      <c r="J650" s="7"/>
      <c r="K650" s="8"/>
      <c r="L650" s="7"/>
      <c r="M650" s="7"/>
      <c r="N650" s="7"/>
      <c r="Q650" s="8"/>
      <c r="R650" s="7"/>
      <c r="S650" s="9"/>
      <c r="T650" s="7"/>
      <c r="U650" s="7"/>
      <c r="V650" s="7"/>
      <c r="AC650" s="7"/>
      <c r="AD650" s="7"/>
      <c r="AE650" s="7"/>
    </row>
    <row r="651">
      <c r="A651" s="7"/>
      <c r="B651" s="7"/>
      <c r="C651" s="7"/>
      <c r="D651" s="9"/>
      <c r="E651" s="10"/>
      <c r="F651" s="11"/>
      <c r="G651" s="11"/>
      <c r="J651" s="7"/>
      <c r="K651" s="8"/>
      <c r="L651" s="7"/>
      <c r="M651" s="7"/>
      <c r="N651" s="7"/>
      <c r="Q651" s="8"/>
      <c r="R651" s="7"/>
      <c r="S651" s="9"/>
      <c r="T651" s="7"/>
      <c r="U651" s="7"/>
      <c r="V651" s="7"/>
      <c r="AC651" s="7"/>
      <c r="AD651" s="7"/>
      <c r="AE651" s="7"/>
    </row>
    <row r="652">
      <c r="A652" s="7"/>
      <c r="B652" s="7"/>
      <c r="C652" s="7"/>
      <c r="D652" s="9"/>
      <c r="E652" s="10"/>
      <c r="F652" s="11"/>
      <c r="G652" s="11"/>
      <c r="J652" s="7"/>
      <c r="K652" s="8"/>
      <c r="L652" s="7"/>
      <c r="M652" s="7"/>
      <c r="N652" s="7"/>
      <c r="Q652" s="8"/>
      <c r="R652" s="7"/>
      <c r="S652" s="9"/>
      <c r="T652" s="7"/>
      <c r="U652" s="7"/>
      <c r="V652" s="7"/>
      <c r="AC652" s="7"/>
      <c r="AD652" s="7"/>
      <c r="AE652" s="7"/>
    </row>
    <row r="653">
      <c r="A653" s="7"/>
      <c r="B653" s="7"/>
      <c r="C653" s="7"/>
      <c r="D653" s="9"/>
      <c r="E653" s="10"/>
      <c r="F653" s="11"/>
      <c r="G653" s="11"/>
      <c r="J653" s="7"/>
      <c r="K653" s="8"/>
      <c r="L653" s="7"/>
      <c r="M653" s="7"/>
      <c r="N653" s="7"/>
      <c r="Q653" s="8"/>
      <c r="R653" s="7"/>
      <c r="S653" s="9"/>
      <c r="T653" s="7"/>
      <c r="U653" s="7"/>
      <c r="V653" s="7"/>
      <c r="AC653" s="7"/>
      <c r="AD653" s="7"/>
      <c r="AE653" s="7"/>
    </row>
    <row r="654">
      <c r="A654" s="7"/>
      <c r="B654" s="7"/>
      <c r="C654" s="7"/>
      <c r="D654" s="9"/>
      <c r="E654" s="10"/>
      <c r="F654" s="11"/>
      <c r="G654" s="11"/>
      <c r="J654" s="7"/>
      <c r="K654" s="8"/>
      <c r="L654" s="7"/>
      <c r="M654" s="7"/>
      <c r="N654" s="7"/>
      <c r="Q654" s="8"/>
      <c r="R654" s="7"/>
      <c r="S654" s="9"/>
      <c r="T654" s="7"/>
      <c r="U654" s="7"/>
      <c r="V654" s="7"/>
      <c r="AC654" s="7"/>
      <c r="AD654" s="7"/>
      <c r="AE654" s="7"/>
    </row>
    <row r="655">
      <c r="A655" s="7"/>
      <c r="B655" s="7"/>
      <c r="C655" s="7"/>
      <c r="D655" s="9"/>
      <c r="E655" s="10"/>
      <c r="F655" s="11"/>
      <c r="G655" s="11"/>
      <c r="J655" s="7"/>
      <c r="K655" s="8"/>
      <c r="L655" s="7"/>
      <c r="M655" s="7"/>
      <c r="N655" s="7"/>
      <c r="Q655" s="8"/>
      <c r="R655" s="7"/>
      <c r="S655" s="9"/>
      <c r="T655" s="7"/>
      <c r="U655" s="7"/>
      <c r="V655" s="7"/>
      <c r="AC655" s="7"/>
      <c r="AD655" s="7"/>
      <c r="AE655" s="7"/>
    </row>
    <row r="656">
      <c r="A656" s="7"/>
      <c r="B656" s="7"/>
      <c r="C656" s="7"/>
      <c r="D656" s="9"/>
      <c r="E656" s="10"/>
      <c r="F656" s="11"/>
      <c r="G656" s="11"/>
      <c r="J656" s="7"/>
      <c r="K656" s="8"/>
      <c r="L656" s="7"/>
      <c r="M656" s="7"/>
      <c r="N656" s="7"/>
      <c r="Q656" s="8"/>
      <c r="R656" s="7"/>
      <c r="S656" s="9"/>
      <c r="T656" s="7"/>
      <c r="U656" s="7"/>
      <c r="V656" s="7"/>
      <c r="AC656" s="7"/>
      <c r="AD656" s="7"/>
      <c r="AE656" s="7"/>
    </row>
    <row r="657">
      <c r="A657" s="7"/>
      <c r="B657" s="7"/>
      <c r="C657" s="7"/>
      <c r="D657" s="9"/>
      <c r="E657" s="10"/>
      <c r="F657" s="11"/>
      <c r="G657" s="11"/>
      <c r="J657" s="7"/>
      <c r="K657" s="8"/>
      <c r="L657" s="7"/>
      <c r="M657" s="7"/>
      <c r="N657" s="7"/>
      <c r="Q657" s="8"/>
      <c r="R657" s="7"/>
      <c r="S657" s="9"/>
      <c r="T657" s="7"/>
      <c r="U657" s="7"/>
      <c r="V657" s="7"/>
      <c r="AC657" s="7"/>
      <c r="AD657" s="7"/>
      <c r="AE657" s="7"/>
    </row>
    <row r="658">
      <c r="A658" s="7"/>
      <c r="B658" s="7"/>
      <c r="C658" s="7"/>
      <c r="D658" s="9"/>
      <c r="E658" s="10"/>
      <c r="F658" s="11"/>
      <c r="G658" s="11"/>
      <c r="J658" s="7"/>
      <c r="K658" s="8"/>
      <c r="L658" s="7"/>
      <c r="M658" s="7"/>
      <c r="N658" s="7"/>
      <c r="Q658" s="8"/>
      <c r="R658" s="7"/>
      <c r="S658" s="9"/>
      <c r="T658" s="7"/>
      <c r="U658" s="7"/>
      <c r="V658" s="7"/>
      <c r="AC658" s="7"/>
      <c r="AD658" s="7"/>
      <c r="AE658" s="7"/>
    </row>
    <row r="659">
      <c r="A659" s="7"/>
      <c r="B659" s="7"/>
      <c r="C659" s="7"/>
      <c r="D659" s="9"/>
      <c r="E659" s="10"/>
      <c r="F659" s="11"/>
      <c r="G659" s="11"/>
      <c r="J659" s="7"/>
      <c r="K659" s="8"/>
      <c r="L659" s="7"/>
      <c r="M659" s="7"/>
      <c r="N659" s="7"/>
      <c r="Q659" s="8"/>
      <c r="R659" s="7"/>
      <c r="S659" s="9"/>
      <c r="T659" s="7"/>
      <c r="U659" s="7"/>
      <c r="V659" s="7"/>
      <c r="AC659" s="7"/>
      <c r="AD659" s="7"/>
      <c r="AE659" s="7"/>
    </row>
    <row r="660">
      <c r="A660" s="7"/>
      <c r="B660" s="7"/>
      <c r="C660" s="7"/>
      <c r="D660" s="9"/>
      <c r="E660" s="10"/>
      <c r="F660" s="11"/>
      <c r="G660" s="11"/>
      <c r="J660" s="7"/>
      <c r="K660" s="8"/>
      <c r="L660" s="7"/>
      <c r="M660" s="7"/>
      <c r="N660" s="7"/>
      <c r="Q660" s="8"/>
      <c r="R660" s="7"/>
      <c r="S660" s="9"/>
      <c r="T660" s="7"/>
      <c r="U660" s="7"/>
      <c r="V660" s="7"/>
      <c r="AC660" s="7"/>
      <c r="AD660" s="7"/>
      <c r="AE660" s="7"/>
    </row>
    <row r="661">
      <c r="A661" s="7"/>
      <c r="B661" s="7"/>
      <c r="C661" s="7"/>
      <c r="D661" s="9"/>
      <c r="E661" s="10"/>
      <c r="F661" s="11"/>
      <c r="G661" s="11"/>
      <c r="J661" s="7"/>
      <c r="K661" s="8"/>
      <c r="L661" s="7"/>
      <c r="M661" s="7"/>
      <c r="N661" s="7"/>
      <c r="Q661" s="8"/>
      <c r="R661" s="7"/>
      <c r="S661" s="9"/>
      <c r="T661" s="7"/>
      <c r="U661" s="7"/>
      <c r="V661" s="7"/>
      <c r="AC661" s="7"/>
      <c r="AD661" s="7"/>
      <c r="AE661" s="7"/>
    </row>
    <row r="662">
      <c r="A662" s="7"/>
      <c r="B662" s="7"/>
      <c r="C662" s="7"/>
      <c r="D662" s="9"/>
      <c r="E662" s="10"/>
      <c r="F662" s="11"/>
      <c r="G662" s="11"/>
      <c r="J662" s="7"/>
      <c r="K662" s="8"/>
      <c r="L662" s="7"/>
      <c r="M662" s="7"/>
      <c r="N662" s="7"/>
      <c r="Q662" s="8"/>
      <c r="R662" s="7"/>
      <c r="S662" s="9"/>
      <c r="T662" s="7"/>
      <c r="U662" s="7"/>
      <c r="V662" s="7"/>
      <c r="AC662" s="7"/>
      <c r="AD662" s="7"/>
      <c r="AE662" s="7"/>
    </row>
    <row r="663">
      <c r="A663" s="7"/>
      <c r="B663" s="7"/>
      <c r="C663" s="7"/>
      <c r="D663" s="9"/>
      <c r="E663" s="10"/>
      <c r="F663" s="11"/>
      <c r="G663" s="11"/>
      <c r="J663" s="7"/>
      <c r="K663" s="8"/>
      <c r="L663" s="7"/>
      <c r="M663" s="7"/>
      <c r="N663" s="7"/>
      <c r="Q663" s="8"/>
      <c r="R663" s="7"/>
      <c r="S663" s="9"/>
      <c r="T663" s="7"/>
      <c r="U663" s="7"/>
      <c r="V663" s="7"/>
      <c r="AC663" s="7"/>
      <c r="AD663" s="7"/>
      <c r="AE663" s="7"/>
    </row>
    <row r="664">
      <c r="A664" s="7"/>
      <c r="B664" s="7"/>
      <c r="C664" s="7"/>
      <c r="D664" s="9"/>
      <c r="E664" s="10"/>
      <c r="F664" s="11"/>
      <c r="G664" s="11"/>
      <c r="J664" s="7"/>
      <c r="K664" s="8"/>
      <c r="L664" s="7"/>
      <c r="M664" s="7"/>
      <c r="N664" s="7"/>
      <c r="Q664" s="8"/>
      <c r="R664" s="7"/>
      <c r="S664" s="9"/>
      <c r="T664" s="7"/>
      <c r="U664" s="7"/>
      <c r="V664" s="7"/>
      <c r="AC664" s="7"/>
      <c r="AD664" s="7"/>
      <c r="AE664" s="7"/>
    </row>
    <row r="665">
      <c r="A665" s="7"/>
      <c r="B665" s="7"/>
      <c r="C665" s="7"/>
      <c r="D665" s="9"/>
      <c r="E665" s="10"/>
      <c r="F665" s="11"/>
      <c r="G665" s="11"/>
      <c r="J665" s="7"/>
      <c r="K665" s="8"/>
      <c r="L665" s="7"/>
      <c r="M665" s="7"/>
      <c r="N665" s="7"/>
      <c r="Q665" s="8"/>
      <c r="R665" s="7"/>
      <c r="S665" s="9"/>
      <c r="T665" s="7"/>
      <c r="U665" s="7"/>
      <c r="V665" s="7"/>
      <c r="AC665" s="7"/>
      <c r="AD665" s="7"/>
      <c r="AE665" s="7"/>
    </row>
    <row r="666">
      <c r="A666" s="7"/>
      <c r="B666" s="7"/>
      <c r="C666" s="7"/>
      <c r="D666" s="9"/>
      <c r="E666" s="10"/>
      <c r="F666" s="11"/>
      <c r="G666" s="11"/>
      <c r="J666" s="7"/>
      <c r="K666" s="8"/>
      <c r="L666" s="7"/>
      <c r="M666" s="7"/>
      <c r="N666" s="7"/>
      <c r="Q666" s="8"/>
      <c r="R666" s="7"/>
      <c r="S666" s="9"/>
      <c r="T666" s="7"/>
      <c r="U666" s="7"/>
      <c r="V666" s="7"/>
      <c r="AC666" s="7"/>
      <c r="AD666" s="7"/>
      <c r="AE666" s="7"/>
    </row>
    <row r="667">
      <c r="A667" s="7"/>
      <c r="B667" s="7"/>
      <c r="C667" s="7"/>
      <c r="D667" s="9"/>
      <c r="E667" s="10"/>
      <c r="F667" s="11"/>
      <c r="G667" s="11"/>
      <c r="J667" s="7"/>
      <c r="K667" s="8"/>
      <c r="L667" s="7"/>
      <c r="M667" s="7"/>
      <c r="N667" s="7"/>
      <c r="Q667" s="8"/>
      <c r="R667" s="7"/>
      <c r="S667" s="9"/>
      <c r="T667" s="7"/>
      <c r="U667" s="7"/>
      <c r="V667" s="7"/>
      <c r="AC667" s="7"/>
      <c r="AD667" s="7"/>
      <c r="AE667" s="7"/>
    </row>
    <row r="668">
      <c r="A668" s="7"/>
      <c r="B668" s="7"/>
      <c r="C668" s="7"/>
      <c r="D668" s="9"/>
      <c r="E668" s="10"/>
      <c r="F668" s="11"/>
      <c r="G668" s="11"/>
      <c r="J668" s="7"/>
      <c r="K668" s="8"/>
      <c r="L668" s="7"/>
      <c r="M668" s="7"/>
      <c r="N668" s="7"/>
      <c r="Q668" s="8"/>
      <c r="R668" s="7"/>
      <c r="S668" s="9"/>
      <c r="T668" s="7"/>
      <c r="U668" s="7"/>
      <c r="V668" s="7"/>
      <c r="AC668" s="7"/>
      <c r="AD668" s="7"/>
      <c r="AE668" s="7"/>
    </row>
    <row r="669">
      <c r="A669" s="7"/>
      <c r="B669" s="7"/>
      <c r="C669" s="7"/>
      <c r="D669" s="9"/>
      <c r="E669" s="10"/>
      <c r="F669" s="11"/>
      <c r="G669" s="11"/>
      <c r="J669" s="7"/>
      <c r="K669" s="8"/>
      <c r="L669" s="7"/>
      <c r="M669" s="7"/>
      <c r="N669" s="7"/>
      <c r="Q669" s="8"/>
      <c r="R669" s="7"/>
      <c r="S669" s="9"/>
      <c r="T669" s="7"/>
      <c r="U669" s="7"/>
      <c r="V669" s="7"/>
      <c r="AC669" s="7"/>
      <c r="AD669" s="7"/>
      <c r="AE669" s="7"/>
    </row>
    <row r="670">
      <c r="A670" s="7"/>
      <c r="B670" s="7"/>
      <c r="C670" s="7"/>
      <c r="D670" s="9"/>
      <c r="E670" s="10"/>
      <c r="F670" s="11"/>
      <c r="G670" s="11"/>
      <c r="J670" s="7"/>
      <c r="K670" s="8"/>
      <c r="L670" s="7"/>
      <c r="M670" s="7"/>
      <c r="N670" s="7"/>
      <c r="Q670" s="8"/>
      <c r="R670" s="7"/>
      <c r="S670" s="9"/>
      <c r="T670" s="7"/>
      <c r="U670" s="7"/>
      <c r="V670" s="7"/>
      <c r="AC670" s="7"/>
      <c r="AD670" s="7"/>
      <c r="AE670" s="7"/>
    </row>
    <row r="671">
      <c r="A671" s="7"/>
      <c r="B671" s="7"/>
      <c r="C671" s="7"/>
      <c r="D671" s="9"/>
      <c r="E671" s="10"/>
      <c r="F671" s="11"/>
      <c r="G671" s="11"/>
      <c r="J671" s="7"/>
      <c r="K671" s="8"/>
      <c r="L671" s="7"/>
      <c r="M671" s="7"/>
      <c r="N671" s="7"/>
      <c r="Q671" s="8"/>
      <c r="R671" s="7"/>
      <c r="S671" s="9"/>
      <c r="T671" s="7"/>
      <c r="U671" s="7"/>
      <c r="V671" s="7"/>
      <c r="AC671" s="7"/>
      <c r="AD671" s="7"/>
      <c r="AE671" s="7"/>
    </row>
    <row r="672">
      <c r="A672" s="7"/>
      <c r="B672" s="7"/>
      <c r="C672" s="7"/>
      <c r="D672" s="9"/>
      <c r="E672" s="10"/>
      <c r="F672" s="11"/>
      <c r="G672" s="11"/>
      <c r="J672" s="7"/>
      <c r="K672" s="8"/>
      <c r="L672" s="7"/>
      <c r="M672" s="7"/>
      <c r="N672" s="7"/>
      <c r="Q672" s="8"/>
      <c r="R672" s="7"/>
      <c r="S672" s="9"/>
      <c r="T672" s="7"/>
      <c r="U672" s="7"/>
      <c r="V672" s="7"/>
      <c r="AC672" s="7"/>
      <c r="AD672" s="7"/>
      <c r="AE672" s="7"/>
    </row>
    <row r="673">
      <c r="A673" s="7"/>
      <c r="B673" s="7"/>
      <c r="C673" s="7"/>
      <c r="D673" s="9"/>
      <c r="E673" s="10"/>
      <c r="F673" s="11"/>
      <c r="G673" s="11"/>
      <c r="J673" s="7"/>
      <c r="K673" s="8"/>
      <c r="L673" s="7"/>
      <c r="M673" s="7"/>
      <c r="N673" s="7"/>
      <c r="Q673" s="8"/>
      <c r="R673" s="7"/>
      <c r="S673" s="9"/>
      <c r="T673" s="7"/>
      <c r="U673" s="7"/>
      <c r="V673" s="7"/>
      <c r="AC673" s="7"/>
      <c r="AD673" s="7"/>
      <c r="AE673" s="7"/>
    </row>
    <row r="674">
      <c r="A674" s="7"/>
      <c r="B674" s="7"/>
      <c r="C674" s="7"/>
      <c r="D674" s="9"/>
      <c r="E674" s="10"/>
      <c r="F674" s="11"/>
      <c r="G674" s="11"/>
      <c r="J674" s="7"/>
      <c r="K674" s="8"/>
      <c r="L674" s="7"/>
      <c r="M674" s="7"/>
      <c r="N674" s="7"/>
      <c r="Q674" s="8"/>
      <c r="R674" s="7"/>
      <c r="S674" s="9"/>
      <c r="T674" s="7"/>
      <c r="U674" s="7"/>
      <c r="V674" s="7"/>
      <c r="AC674" s="7"/>
      <c r="AD674" s="7"/>
      <c r="AE674" s="7"/>
    </row>
    <row r="675">
      <c r="A675" s="7"/>
      <c r="B675" s="7"/>
      <c r="C675" s="7"/>
      <c r="D675" s="9"/>
      <c r="E675" s="10"/>
      <c r="F675" s="11"/>
      <c r="G675" s="11"/>
      <c r="J675" s="7"/>
      <c r="K675" s="8"/>
      <c r="L675" s="7"/>
      <c r="M675" s="7"/>
      <c r="N675" s="7"/>
      <c r="Q675" s="8"/>
      <c r="R675" s="7"/>
      <c r="S675" s="9"/>
      <c r="T675" s="7"/>
      <c r="U675" s="7"/>
      <c r="V675" s="7"/>
      <c r="AC675" s="7"/>
      <c r="AD675" s="7"/>
      <c r="AE675" s="7"/>
    </row>
    <row r="676">
      <c r="A676" s="7"/>
      <c r="B676" s="7"/>
      <c r="C676" s="7"/>
      <c r="D676" s="9"/>
      <c r="E676" s="10"/>
      <c r="F676" s="11"/>
      <c r="G676" s="11"/>
      <c r="J676" s="7"/>
      <c r="K676" s="8"/>
      <c r="L676" s="7"/>
      <c r="M676" s="7"/>
      <c r="N676" s="7"/>
      <c r="Q676" s="8"/>
      <c r="R676" s="7"/>
      <c r="S676" s="9"/>
      <c r="T676" s="7"/>
      <c r="U676" s="7"/>
      <c r="V676" s="7"/>
      <c r="AC676" s="7"/>
      <c r="AD676" s="7"/>
      <c r="AE676" s="7"/>
    </row>
    <row r="677">
      <c r="A677" s="7"/>
      <c r="B677" s="7"/>
      <c r="C677" s="7"/>
      <c r="D677" s="9"/>
      <c r="E677" s="10"/>
      <c r="F677" s="11"/>
      <c r="G677" s="11"/>
      <c r="J677" s="7"/>
      <c r="K677" s="8"/>
      <c r="L677" s="7"/>
      <c r="M677" s="7"/>
      <c r="N677" s="7"/>
      <c r="Q677" s="8"/>
      <c r="R677" s="7"/>
      <c r="S677" s="9"/>
      <c r="T677" s="7"/>
      <c r="U677" s="7"/>
      <c r="V677" s="7"/>
      <c r="AC677" s="7"/>
      <c r="AD677" s="7"/>
      <c r="AE677" s="7"/>
    </row>
    <row r="678">
      <c r="A678" s="7"/>
      <c r="B678" s="7"/>
      <c r="C678" s="7"/>
      <c r="D678" s="9"/>
      <c r="E678" s="10"/>
      <c r="F678" s="11"/>
      <c r="G678" s="11"/>
      <c r="J678" s="7"/>
      <c r="K678" s="8"/>
      <c r="L678" s="7"/>
      <c r="M678" s="7"/>
      <c r="N678" s="7"/>
      <c r="Q678" s="8"/>
      <c r="R678" s="7"/>
      <c r="S678" s="9"/>
      <c r="T678" s="7"/>
      <c r="U678" s="7"/>
      <c r="V678" s="7"/>
      <c r="AC678" s="7"/>
      <c r="AD678" s="7"/>
      <c r="AE678" s="7"/>
    </row>
    <row r="679">
      <c r="A679" s="7"/>
      <c r="B679" s="7"/>
      <c r="C679" s="7"/>
      <c r="D679" s="9"/>
      <c r="E679" s="10"/>
      <c r="F679" s="11"/>
      <c r="G679" s="11"/>
      <c r="J679" s="7"/>
      <c r="K679" s="8"/>
      <c r="L679" s="7"/>
      <c r="M679" s="7"/>
      <c r="N679" s="7"/>
      <c r="Q679" s="8"/>
      <c r="R679" s="7"/>
      <c r="S679" s="9"/>
      <c r="T679" s="7"/>
      <c r="U679" s="7"/>
      <c r="V679" s="7"/>
      <c r="AC679" s="7"/>
      <c r="AD679" s="7"/>
      <c r="AE679" s="7"/>
    </row>
    <row r="680">
      <c r="A680" s="7"/>
      <c r="B680" s="7"/>
      <c r="C680" s="7"/>
      <c r="D680" s="9"/>
      <c r="E680" s="10"/>
      <c r="F680" s="11"/>
      <c r="G680" s="11"/>
      <c r="J680" s="7"/>
      <c r="K680" s="8"/>
      <c r="L680" s="7"/>
      <c r="M680" s="7"/>
      <c r="N680" s="7"/>
      <c r="Q680" s="8"/>
      <c r="R680" s="7"/>
      <c r="S680" s="9"/>
      <c r="T680" s="7"/>
      <c r="U680" s="7"/>
      <c r="V680" s="7"/>
      <c r="AC680" s="7"/>
      <c r="AD680" s="7"/>
      <c r="AE680" s="7"/>
    </row>
    <row r="681">
      <c r="A681" s="7"/>
      <c r="B681" s="7"/>
      <c r="C681" s="7"/>
      <c r="D681" s="9"/>
      <c r="E681" s="10"/>
      <c r="F681" s="11"/>
      <c r="G681" s="11"/>
      <c r="J681" s="7"/>
      <c r="K681" s="8"/>
      <c r="L681" s="7"/>
      <c r="M681" s="7"/>
      <c r="N681" s="7"/>
      <c r="Q681" s="8"/>
      <c r="R681" s="7"/>
      <c r="S681" s="9"/>
      <c r="T681" s="7"/>
      <c r="U681" s="7"/>
      <c r="V681" s="7"/>
      <c r="AC681" s="7"/>
      <c r="AD681" s="7"/>
      <c r="AE681" s="7"/>
    </row>
    <row r="682">
      <c r="A682" s="7"/>
      <c r="B682" s="7"/>
      <c r="C682" s="7"/>
      <c r="D682" s="9"/>
      <c r="E682" s="10"/>
      <c r="F682" s="11"/>
      <c r="G682" s="11"/>
      <c r="J682" s="7"/>
      <c r="K682" s="8"/>
      <c r="L682" s="7"/>
      <c r="M682" s="7"/>
      <c r="N682" s="7"/>
      <c r="Q682" s="8"/>
      <c r="R682" s="7"/>
      <c r="S682" s="9"/>
      <c r="T682" s="7"/>
      <c r="U682" s="7"/>
      <c r="V682" s="7"/>
      <c r="AC682" s="7"/>
      <c r="AD682" s="7"/>
      <c r="AE682" s="7"/>
    </row>
    <row r="683">
      <c r="A683" s="7"/>
      <c r="B683" s="7"/>
      <c r="C683" s="7"/>
      <c r="D683" s="9"/>
      <c r="E683" s="10"/>
      <c r="F683" s="11"/>
      <c r="G683" s="11"/>
      <c r="J683" s="7"/>
      <c r="K683" s="8"/>
      <c r="L683" s="7"/>
      <c r="M683" s="7"/>
      <c r="N683" s="7"/>
      <c r="Q683" s="8"/>
      <c r="R683" s="7"/>
      <c r="S683" s="9"/>
      <c r="T683" s="7"/>
      <c r="U683" s="7"/>
      <c r="V683" s="7"/>
      <c r="AC683" s="7"/>
      <c r="AD683" s="7"/>
      <c r="AE683" s="7"/>
    </row>
    <row r="684">
      <c r="A684" s="7"/>
      <c r="B684" s="7"/>
      <c r="C684" s="7"/>
      <c r="D684" s="9"/>
      <c r="E684" s="10"/>
      <c r="F684" s="11"/>
      <c r="G684" s="11"/>
      <c r="J684" s="7"/>
      <c r="K684" s="8"/>
      <c r="L684" s="7"/>
      <c r="M684" s="7"/>
      <c r="N684" s="7"/>
      <c r="Q684" s="8"/>
      <c r="R684" s="7"/>
      <c r="S684" s="9"/>
      <c r="T684" s="7"/>
      <c r="U684" s="7"/>
      <c r="V684" s="7"/>
      <c r="AC684" s="7"/>
      <c r="AD684" s="7"/>
      <c r="AE684" s="7"/>
    </row>
    <row r="685">
      <c r="A685" s="7"/>
      <c r="B685" s="7"/>
      <c r="C685" s="7"/>
      <c r="D685" s="9"/>
      <c r="E685" s="10"/>
      <c r="F685" s="11"/>
      <c r="G685" s="11"/>
      <c r="J685" s="7"/>
      <c r="K685" s="8"/>
      <c r="L685" s="7"/>
      <c r="M685" s="7"/>
      <c r="N685" s="7"/>
      <c r="Q685" s="8"/>
      <c r="R685" s="7"/>
      <c r="S685" s="9"/>
      <c r="T685" s="7"/>
      <c r="U685" s="7"/>
      <c r="V685" s="7"/>
      <c r="AC685" s="7"/>
      <c r="AD685" s="7"/>
      <c r="AE685" s="7"/>
    </row>
    <row r="686">
      <c r="A686" s="7"/>
      <c r="B686" s="7"/>
      <c r="C686" s="7"/>
      <c r="D686" s="9"/>
      <c r="E686" s="10"/>
      <c r="F686" s="11"/>
      <c r="G686" s="11"/>
      <c r="J686" s="7"/>
      <c r="K686" s="8"/>
      <c r="L686" s="7"/>
      <c r="M686" s="7"/>
      <c r="N686" s="7"/>
      <c r="Q686" s="8"/>
      <c r="R686" s="7"/>
      <c r="S686" s="9"/>
      <c r="T686" s="7"/>
      <c r="U686" s="7"/>
      <c r="V686" s="7"/>
      <c r="AC686" s="7"/>
      <c r="AD686" s="7"/>
      <c r="AE686" s="7"/>
    </row>
    <row r="687">
      <c r="A687" s="7"/>
      <c r="B687" s="7"/>
      <c r="C687" s="7"/>
      <c r="D687" s="9"/>
      <c r="E687" s="10"/>
      <c r="F687" s="11"/>
      <c r="G687" s="11"/>
      <c r="J687" s="7"/>
      <c r="K687" s="8"/>
      <c r="L687" s="7"/>
      <c r="M687" s="7"/>
      <c r="N687" s="7"/>
      <c r="Q687" s="8"/>
      <c r="R687" s="7"/>
      <c r="S687" s="9"/>
      <c r="T687" s="7"/>
      <c r="U687" s="7"/>
      <c r="V687" s="7"/>
      <c r="AC687" s="7"/>
      <c r="AD687" s="7"/>
      <c r="AE687" s="7"/>
    </row>
    <row r="688">
      <c r="A688" s="7"/>
      <c r="B688" s="7"/>
      <c r="C688" s="7"/>
      <c r="D688" s="9"/>
      <c r="E688" s="10"/>
      <c r="F688" s="11"/>
      <c r="G688" s="11"/>
      <c r="J688" s="7"/>
      <c r="K688" s="8"/>
      <c r="L688" s="7"/>
      <c r="M688" s="7"/>
      <c r="N688" s="7"/>
      <c r="Q688" s="8"/>
      <c r="R688" s="7"/>
      <c r="S688" s="9"/>
      <c r="T688" s="7"/>
      <c r="U688" s="7"/>
      <c r="V688" s="7"/>
      <c r="AC688" s="7"/>
      <c r="AD688" s="7"/>
      <c r="AE688" s="7"/>
    </row>
    <row r="689">
      <c r="A689" s="7"/>
      <c r="B689" s="7"/>
      <c r="C689" s="7"/>
      <c r="D689" s="9"/>
      <c r="E689" s="10"/>
      <c r="F689" s="11"/>
      <c r="G689" s="11"/>
      <c r="J689" s="7"/>
      <c r="K689" s="8"/>
      <c r="L689" s="7"/>
      <c r="M689" s="7"/>
      <c r="N689" s="7"/>
      <c r="Q689" s="8"/>
      <c r="R689" s="7"/>
      <c r="S689" s="9"/>
      <c r="T689" s="7"/>
      <c r="U689" s="7"/>
      <c r="V689" s="7"/>
      <c r="AC689" s="7"/>
      <c r="AD689" s="7"/>
      <c r="AE689" s="7"/>
    </row>
    <row r="690">
      <c r="A690" s="7"/>
      <c r="B690" s="7"/>
      <c r="C690" s="7"/>
      <c r="D690" s="9"/>
      <c r="E690" s="10"/>
      <c r="F690" s="11"/>
      <c r="G690" s="11"/>
      <c r="J690" s="7"/>
      <c r="K690" s="8"/>
      <c r="L690" s="7"/>
      <c r="M690" s="7"/>
      <c r="N690" s="7"/>
      <c r="Q690" s="8"/>
      <c r="R690" s="7"/>
      <c r="S690" s="9"/>
      <c r="T690" s="7"/>
      <c r="U690" s="7"/>
      <c r="V690" s="7"/>
      <c r="AC690" s="7"/>
      <c r="AD690" s="7"/>
      <c r="AE690" s="7"/>
    </row>
    <row r="691">
      <c r="A691" s="7"/>
      <c r="B691" s="7"/>
      <c r="C691" s="7"/>
      <c r="D691" s="9"/>
      <c r="E691" s="10"/>
      <c r="F691" s="11"/>
      <c r="G691" s="11"/>
      <c r="J691" s="7"/>
      <c r="K691" s="8"/>
      <c r="L691" s="7"/>
      <c r="M691" s="7"/>
      <c r="N691" s="7"/>
      <c r="Q691" s="8"/>
      <c r="R691" s="7"/>
      <c r="S691" s="9"/>
      <c r="T691" s="7"/>
      <c r="U691" s="7"/>
      <c r="V691" s="7"/>
      <c r="AC691" s="7"/>
      <c r="AD691" s="7"/>
      <c r="AE691" s="7"/>
    </row>
    <row r="692">
      <c r="A692" s="7"/>
      <c r="B692" s="7"/>
      <c r="C692" s="7"/>
      <c r="D692" s="9"/>
      <c r="E692" s="10"/>
      <c r="F692" s="11"/>
      <c r="G692" s="11"/>
      <c r="J692" s="7"/>
      <c r="K692" s="8"/>
      <c r="L692" s="7"/>
      <c r="M692" s="7"/>
      <c r="N692" s="7"/>
      <c r="Q692" s="8"/>
      <c r="R692" s="7"/>
      <c r="S692" s="9"/>
      <c r="T692" s="7"/>
      <c r="U692" s="7"/>
      <c r="V692" s="7"/>
      <c r="AC692" s="7"/>
      <c r="AD692" s="7"/>
      <c r="AE692" s="7"/>
    </row>
    <row r="693">
      <c r="A693" s="7"/>
      <c r="B693" s="7"/>
      <c r="C693" s="7"/>
      <c r="D693" s="9"/>
      <c r="E693" s="10"/>
      <c r="F693" s="11"/>
      <c r="G693" s="11"/>
      <c r="J693" s="7"/>
      <c r="K693" s="8"/>
      <c r="L693" s="7"/>
      <c r="M693" s="7"/>
      <c r="N693" s="7"/>
      <c r="Q693" s="8"/>
      <c r="R693" s="7"/>
      <c r="S693" s="9"/>
      <c r="T693" s="7"/>
      <c r="U693" s="7"/>
      <c r="V693" s="7"/>
      <c r="AC693" s="7"/>
      <c r="AD693" s="7"/>
      <c r="AE693" s="7"/>
    </row>
    <row r="694">
      <c r="A694" s="7"/>
      <c r="B694" s="7"/>
      <c r="C694" s="7"/>
      <c r="D694" s="9"/>
      <c r="E694" s="10"/>
      <c r="F694" s="11"/>
      <c r="G694" s="11"/>
      <c r="J694" s="7"/>
      <c r="K694" s="8"/>
      <c r="L694" s="7"/>
      <c r="M694" s="7"/>
      <c r="N694" s="7"/>
      <c r="Q694" s="8"/>
      <c r="R694" s="7"/>
      <c r="S694" s="9"/>
      <c r="T694" s="7"/>
      <c r="U694" s="7"/>
      <c r="V694" s="7"/>
      <c r="AC694" s="7"/>
      <c r="AD694" s="7"/>
      <c r="AE694" s="7"/>
    </row>
    <row r="695">
      <c r="A695" s="7"/>
      <c r="B695" s="7"/>
      <c r="C695" s="7"/>
      <c r="D695" s="9"/>
      <c r="E695" s="10"/>
      <c r="F695" s="11"/>
      <c r="G695" s="11"/>
      <c r="J695" s="7"/>
      <c r="K695" s="8"/>
      <c r="L695" s="7"/>
      <c r="M695" s="7"/>
      <c r="N695" s="7"/>
      <c r="Q695" s="8"/>
      <c r="R695" s="7"/>
      <c r="S695" s="9"/>
      <c r="T695" s="7"/>
      <c r="U695" s="7"/>
      <c r="V695" s="7"/>
      <c r="AC695" s="7"/>
      <c r="AD695" s="7"/>
      <c r="AE695" s="7"/>
    </row>
    <row r="696">
      <c r="A696" s="7"/>
      <c r="B696" s="7"/>
      <c r="C696" s="7"/>
      <c r="D696" s="9"/>
      <c r="E696" s="10"/>
      <c r="F696" s="11"/>
      <c r="G696" s="11"/>
      <c r="J696" s="7"/>
      <c r="K696" s="8"/>
      <c r="L696" s="7"/>
      <c r="M696" s="7"/>
      <c r="N696" s="7"/>
      <c r="Q696" s="8"/>
      <c r="R696" s="7"/>
      <c r="S696" s="9"/>
      <c r="T696" s="7"/>
      <c r="U696" s="7"/>
      <c r="V696" s="7"/>
      <c r="AC696" s="7"/>
      <c r="AD696" s="7"/>
      <c r="AE696" s="7"/>
    </row>
    <row r="697">
      <c r="A697" s="7"/>
      <c r="B697" s="7"/>
      <c r="C697" s="7"/>
      <c r="D697" s="9"/>
      <c r="E697" s="10"/>
      <c r="F697" s="11"/>
      <c r="G697" s="11"/>
      <c r="J697" s="7"/>
      <c r="K697" s="8"/>
      <c r="L697" s="7"/>
      <c r="M697" s="7"/>
      <c r="N697" s="7"/>
      <c r="Q697" s="8"/>
      <c r="R697" s="7"/>
      <c r="S697" s="9"/>
      <c r="T697" s="7"/>
      <c r="U697" s="7"/>
      <c r="V697" s="7"/>
      <c r="AC697" s="7"/>
      <c r="AD697" s="7"/>
      <c r="AE697" s="7"/>
    </row>
    <row r="698">
      <c r="A698" s="7"/>
      <c r="B698" s="7"/>
      <c r="C698" s="7"/>
      <c r="D698" s="9"/>
      <c r="E698" s="10"/>
      <c r="F698" s="11"/>
      <c r="G698" s="11"/>
      <c r="J698" s="7"/>
      <c r="K698" s="8"/>
      <c r="L698" s="7"/>
      <c r="M698" s="7"/>
      <c r="N698" s="7"/>
      <c r="Q698" s="8"/>
      <c r="R698" s="7"/>
      <c r="S698" s="9"/>
      <c r="T698" s="7"/>
      <c r="U698" s="7"/>
      <c r="V698" s="7"/>
      <c r="AC698" s="7"/>
      <c r="AD698" s="7"/>
      <c r="AE698" s="7"/>
    </row>
    <row r="699">
      <c r="A699" s="7"/>
      <c r="B699" s="7"/>
      <c r="C699" s="7"/>
      <c r="D699" s="9"/>
      <c r="E699" s="10"/>
      <c r="F699" s="11"/>
      <c r="G699" s="11"/>
      <c r="J699" s="7"/>
      <c r="K699" s="8"/>
      <c r="L699" s="7"/>
      <c r="M699" s="7"/>
      <c r="N699" s="7"/>
      <c r="Q699" s="8"/>
      <c r="R699" s="7"/>
      <c r="S699" s="9"/>
      <c r="T699" s="7"/>
      <c r="U699" s="7"/>
      <c r="V699" s="7"/>
      <c r="AC699" s="7"/>
      <c r="AD699" s="7"/>
      <c r="AE699" s="7"/>
    </row>
    <row r="700">
      <c r="A700" s="7"/>
      <c r="B700" s="7"/>
      <c r="C700" s="7"/>
      <c r="D700" s="9"/>
      <c r="E700" s="10"/>
      <c r="F700" s="11"/>
      <c r="G700" s="11"/>
      <c r="J700" s="7"/>
      <c r="K700" s="8"/>
      <c r="L700" s="7"/>
      <c r="M700" s="7"/>
      <c r="N700" s="7"/>
      <c r="Q700" s="8"/>
      <c r="R700" s="7"/>
      <c r="S700" s="9"/>
      <c r="T700" s="7"/>
      <c r="U700" s="7"/>
      <c r="V700" s="7"/>
      <c r="AC700" s="7"/>
      <c r="AD700" s="7"/>
      <c r="AE700" s="7"/>
    </row>
    <row r="701">
      <c r="A701" s="7"/>
      <c r="B701" s="7"/>
      <c r="C701" s="7"/>
      <c r="D701" s="9"/>
      <c r="E701" s="10"/>
      <c r="F701" s="11"/>
      <c r="G701" s="11"/>
      <c r="J701" s="7"/>
      <c r="K701" s="8"/>
      <c r="L701" s="7"/>
      <c r="M701" s="7"/>
      <c r="N701" s="7"/>
      <c r="Q701" s="8"/>
      <c r="R701" s="7"/>
      <c r="S701" s="9"/>
      <c r="T701" s="7"/>
      <c r="U701" s="7"/>
      <c r="V701" s="7"/>
      <c r="AC701" s="7"/>
      <c r="AD701" s="7"/>
      <c r="AE701" s="7"/>
    </row>
    <row r="702">
      <c r="A702" s="7"/>
      <c r="B702" s="7"/>
      <c r="C702" s="7"/>
      <c r="D702" s="9"/>
      <c r="E702" s="10"/>
      <c r="F702" s="11"/>
      <c r="G702" s="11"/>
      <c r="J702" s="7"/>
      <c r="K702" s="8"/>
      <c r="L702" s="7"/>
      <c r="M702" s="7"/>
      <c r="N702" s="7"/>
      <c r="Q702" s="8"/>
      <c r="R702" s="7"/>
      <c r="S702" s="9"/>
      <c r="T702" s="7"/>
      <c r="U702" s="7"/>
      <c r="V702" s="7"/>
      <c r="AC702" s="7"/>
      <c r="AD702" s="7"/>
      <c r="AE702" s="7"/>
    </row>
    <row r="703">
      <c r="A703" s="7"/>
      <c r="B703" s="7"/>
      <c r="C703" s="7"/>
      <c r="D703" s="9"/>
      <c r="E703" s="10"/>
      <c r="F703" s="11"/>
      <c r="G703" s="11"/>
      <c r="J703" s="7"/>
      <c r="K703" s="8"/>
      <c r="L703" s="7"/>
      <c r="M703" s="7"/>
      <c r="N703" s="7"/>
      <c r="Q703" s="8"/>
      <c r="R703" s="7"/>
      <c r="S703" s="9"/>
      <c r="T703" s="7"/>
      <c r="U703" s="7"/>
      <c r="V703" s="7"/>
      <c r="AC703" s="7"/>
      <c r="AD703" s="7"/>
      <c r="AE703" s="7"/>
    </row>
    <row r="704">
      <c r="A704" s="7"/>
      <c r="B704" s="7"/>
      <c r="C704" s="7"/>
      <c r="D704" s="9"/>
      <c r="E704" s="10"/>
      <c r="F704" s="11"/>
      <c r="G704" s="11"/>
      <c r="J704" s="7"/>
      <c r="K704" s="8"/>
      <c r="L704" s="7"/>
      <c r="M704" s="7"/>
      <c r="N704" s="7"/>
      <c r="Q704" s="8"/>
      <c r="R704" s="7"/>
      <c r="S704" s="9"/>
      <c r="T704" s="7"/>
      <c r="U704" s="7"/>
      <c r="V704" s="7"/>
      <c r="AC704" s="7"/>
      <c r="AD704" s="7"/>
      <c r="AE704" s="7"/>
    </row>
    <row r="705">
      <c r="A705" s="7"/>
      <c r="B705" s="7"/>
      <c r="C705" s="7"/>
      <c r="D705" s="9"/>
      <c r="E705" s="10"/>
      <c r="F705" s="11"/>
      <c r="G705" s="11"/>
      <c r="J705" s="7"/>
      <c r="K705" s="8"/>
      <c r="L705" s="7"/>
      <c r="M705" s="7"/>
      <c r="N705" s="7"/>
      <c r="Q705" s="8"/>
      <c r="R705" s="7"/>
      <c r="S705" s="9"/>
      <c r="T705" s="7"/>
      <c r="U705" s="7"/>
      <c r="V705" s="7"/>
      <c r="AC705" s="7"/>
      <c r="AD705" s="7"/>
      <c r="AE705" s="7"/>
    </row>
    <row r="706">
      <c r="A706" s="7"/>
      <c r="B706" s="7"/>
      <c r="C706" s="7"/>
      <c r="D706" s="9"/>
      <c r="E706" s="10"/>
      <c r="F706" s="11"/>
      <c r="G706" s="11"/>
      <c r="J706" s="7"/>
      <c r="K706" s="8"/>
      <c r="L706" s="7"/>
      <c r="M706" s="7"/>
      <c r="N706" s="7"/>
      <c r="Q706" s="8"/>
      <c r="R706" s="7"/>
      <c r="S706" s="9"/>
      <c r="T706" s="7"/>
      <c r="U706" s="7"/>
      <c r="V706" s="7"/>
      <c r="AC706" s="7"/>
      <c r="AD706" s="7"/>
      <c r="AE706" s="7"/>
    </row>
    <row r="707">
      <c r="A707" s="7"/>
      <c r="B707" s="7"/>
      <c r="C707" s="7"/>
      <c r="D707" s="9"/>
      <c r="E707" s="10"/>
      <c r="F707" s="11"/>
      <c r="G707" s="11"/>
      <c r="J707" s="7"/>
      <c r="K707" s="8"/>
      <c r="L707" s="7"/>
      <c r="M707" s="7"/>
      <c r="N707" s="7"/>
      <c r="Q707" s="8"/>
      <c r="R707" s="7"/>
      <c r="S707" s="9"/>
      <c r="T707" s="7"/>
      <c r="U707" s="7"/>
      <c r="V707" s="7"/>
      <c r="AC707" s="7"/>
      <c r="AD707" s="7"/>
      <c r="AE707" s="7"/>
    </row>
    <row r="708">
      <c r="A708" s="7"/>
      <c r="B708" s="7"/>
      <c r="C708" s="7"/>
      <c r="D708" s="9"/>
      <c r="E708" s="10"/>
      <c r="F708" s="11"/>
      <c r="G708" s="11"/>
      <c r="J708" s="7"/>
      <c r="K708" s="8"/>
      <c r="L708" s="7"/>
      <c r="M708" s="7"/>
      <c r="N708" s="7"/>
      <c r="Q708" s="8"/>
      <c r="R708" s="7"/>
      <c r="S708" s="9"/>
      <c r="T708" s="7"/>
      <c r="U708" s="7"/>
      <c r="V708" s="7"/>
      <c r="AC708" s="7"/>
      <c r="AD708" s="7"/>
      <c r="AE708" s="7"/>
    </row>
    <row r="709">
      <c r="A709" s="7"/>
      <c r="B709" s="7"/>
      <c r="C709" s="7"/>
      <c r="D709" s="9"/>
      <c r="E709" s="10"/>
      <c r="F709" s="11"/>
      <c r="G709" s="11"/>
      <c r="J709" s="7"/>
      <c r="K709" s="8"/>
      <c r="L709" s="7"/>
      <c r="M709" s="7"/>
      <c r="N709" s="7"/>
      <c r="Q709" s="8"/>
      <c r="R709" s="7"/>
      <c r="S709" s="9"/>
      <c r="T709" s="7"/>
      <c r="U709" s="7"/>
      <c r="V709" s="7"/>
      <c r="AC709" s="7"/>
      <c r="AD709" s="7"/>
      <c r="AE709" s="7"/>
    </row>
    <row r="710">
      <c r="A710" s="7"/>
      <c r="B710" s="7"/>
      <c r="C710" s="7"/>
      <c r="D710" s="9"/>
      <c r="E710" s="10"/>
      <c r="F710" s="11"/>
      <c r="G710" s="11"/>
      <c r="J710" s="7"/>
      <c r="K710" s="8"/>
      <c r="L710" s="7"/>
      <c r="M710" s="7"/>
      <c r="N710" s="7"/>
      <c r="Q710" s="8"/>
      <c r="R710" s="7"/>
      <c r="S710" s="9"/>
      <c r="T710" s="7"/>
      <c r="U710" s="7"/>
      <c r="V710" s="7"/>
      <c r="AC710" s="7"/>
      <c r="AD710" s="7"/>
      <c r="AE710" s="7"/>
    </row>
    <row r="711">
      <c r="A711" s="7"/>
      <c r="B711" s="7"/>
      <c r="C711" s="7"/>
      <c r="D711" s="9"/>
      <c r="E711" s="10"/>
      <c r="F711" s="11"/>
      <c r="G711" s="11"/>
      <c r="J711" s="7"/>
      <c r="K711" s="8"/>
      <c r="L711" s="7"/>
      <c r="M711" s="7"/>
      <c r="N711" s="7"/>
      <c r="Q711" s="8"/>
      <c r="R711" s="7"/>
      <c r="S711" s="9"/>
      <c r="T711" s="7"/>
      <c r="U711" s="7"/>
      <c r="V711" s="7"/>
      <c r="AC711" s="7"/>
      <c r="AD711" s="7"/>
      <c r="AE711" s="7"/>
    </row>
    <row r="712">
      <c r="A712" s="7"/>
      <c r="B712" s="7"/>
      <c r="C712" s="7"/>
      <c r="D712" s="9"/>
      <c r="E712" s="10"/>
      <c r="F712" s="11"/>
      <c r="G712" s="11"/>
      <c r="J712" s="7"/>
      <c r="K712" s="8"/>
      <c r="L712" s="7"/>
      <c r="M712" s="7"/>
      <c r="N712" s="7"/>
      <c r="Q712" s="8"/>
      <c r="R712" s="7"/>
      <c r="S712" s="9"/>
      <c r="T712" s="7"/>
      <c r="U712" s="7"/>
      <c r="V712" s="7"/>
      <c r="AC712" s="7"/>
      <c r="AD712" s="7"/>
      <c r="AE712" s="7"/>
    </row>
    <row r="713">
      <c r="A713" s="7"/>
      <c r="B713" s="7"/>
      <c r="C713" s="7"/>
      <c r="D713" s="9"/>
      <c r="E713" s="10"/>
      <c r="F713" s="11"/>
      <c r="G713" s="11"/>
      <c r="J713" s="7"/>
      <c r="K713" s="8"/>
      <c r="L713" s="7"/>
      <c r="M713" s="7"/>
      <c r="N713" s="7"/>
      <c r="Q713" s="8"/>
      <c r="R713" s="7"/>
      <c r="S713" s="9"/>
      <c r="T713" s="7"/>
      <c r="U713" s="7"/>
      <c r="V713" s="7"/>
      <c r="AC713" s="7"/>
      <c r="AD713" s="7"/>
      <c r="AE713" s="7"/>
    </row>
    <row r="714">
      <c r="A714" s="7"/>
      <c r="B714" s="7"/>
      <c r="C714" s="7"/>
      <c r="D714" s="9"/>
      <c r="E714" s="10"/>
      <c r="F714" s="11"/>
      <c r="G714" s="11"/>
      <c r="J714" s="7"/>
      <c r="K714" s="8"/>
      <c r="L714" s="7"/>
      <c r="M714" s="7"/>
      <c r="N714" s="7"/>
      <c r="Q714" s="8"/>
      <c r="R714" s="7"/>
      <c r="S714" s="9"/>
      <c r="T714" s="7"/>
      <c r="U714" s="7"/>
      <c r="V714" s="7"/>
      <c r="AC714" s="7"/>
      <c r="AD714" s="7"/>
      <c r="AE714" s="7"/>
    </row>
    <row r="715">
      <c r="A715" s="7"/>
      <c r="B715" s="7"/>
      <c r="C715" s="7"/>
      <c r="D715" s="9"/>
      <c r="E715" s="10"/>
      <c r="F715" s="11"/>
      <c r="G715" s="11"/>
      <c r="J715" s="7"/>
      <c r="K715" s="8"/>
      <c r="L715" s="7"/>
      <c r="M715" s="7"/>
      <c r="N715" s="7"/>
      <c r="Q715" s="8"/>
      <c r="R715" s="7"/>
      <c r="S715" s="9"/>
      <c r="T715" s="7"/>
      <c r="U715" s="7"/>
      <c r="V715" s="7"/>
      <c r="AC715" s="7"/>
      <c r="AD715" s="7"/>
      <c r="AE715" s="7"/>
    </row>
    <row r="716">
      <c r="A716" s="7"/>
      <c r="B716" s="7"/>
      <c r="C716" s="7"/>
      <c r="D716" s="9"/>
      <c r="E716" s="10"/>
      <c r="F716" s="11"/>
      <c r="G716" s="11"/>
      <c r="J716" s="7"/>
      <c r="K716" s="8"/>
      <c r="L716" s="7"/>
      <c r="M716" s="7"/>
      <c r="N716" s="7"/>
      <c r="Q716" s="8"/>
      <c r="R716" s="7"/>
      <c r="S716" s="9"/>
      <c r="T716" s="7"/>
      <c r="U716" s="7"/>
      <c r="V716" s="7"/>
      <c r="AC716" s="7"/>
      <c r="AD716" s="7"/>
      <c r="AE716" s="7"/>
    </row>
    <row r="717">
      <c r="A717" s="7"/>
      <c r="B717" s="7"/>
      <c r="C717" s="7"/>
      <c r="D717" s="9"/>
      <c r="E717" s="10"/>
      <c r="F717" s="11"/>
      <c r="G717" s="11"/>
      <c r="J717" s="7"/>
      <c r="K717" s="8"/>
      <c r="L717" s="7"/>
      <c r="M717" s="7"/>
      <c r="N717" s="7"/>
      <c r="Q717" s="8"/>
      <c r="R717" s="7"/>
      <c r="S717" s="9"/>
      <c r="T717" s="7"/>
      <c r="U717" s="7"/>
      <c r="V717" s="7"/>
      <c r="AC717" s="7"/>
      <c r="AD717" s="7"/>
      <c r="AE717" s="7"/>
    </row>
    <row r="718">
      <c r="A718" s="7"/>
      <c r="B718" s="7"/>
      <c r="C718" s="7"/>
      <c r="D718" s="9"/>
      <c r="E718" s="10"/>
      <c r="F718" s="11"/>
      <c r="G718" s="11"/>
      <c r="J718" s="7"/>
      <c r="K718" s="8"/>
      <c r="L718" s="7"/>
      <c r="M718" s="7"/>
      <c r="N718" s="7"/>
      <c r="Q718" s="8"/>
      <c r="R718" s="7"/>
      <c r="S718" s="9"/>
      <c r="T718" s="7"/>
      <c r="U718" s="7"/>
      <c r="V718" s="7"/>
      <c r="AC718" s="7"/>
      <c r="AD718" s="7"/>
      <c r="AE718" s="7"/>
    </row>
    <row r="719">
      <c r="A719" s="7"/>
      <c r="B719" s="7"/>
      <c r="C719" s="7"/>
      <c r="D719" s="9"/>
      <c r="E719" s="10"/>
      <c r="F719" s="11"/>
      <c r="G719" s="11"/>
      <c r="J719" s="7"/>
      <c r="K719" s="8"/>
      <c r="L719" s="7"/>
      <c r="M719" s="7"/>
      <c r="N719" s="7"/>
      <c r="Q719" s="8"/>
      <c r="R719" s="7"/>
      <c r="S719" s="9"/>
      <c r="T719" s="7"/>
      <c r="U719" s="7"/>
      <c r="V719" s="7"/>
      <c r="AC719" s="7"/>
      <c r="AD719" s="7"/>
      <c r="AE719" s="7"/>
    </row>
    <row r="720">
      <c r="A720" s="7"/>
      <c r="B720" s="7"/>
      <c r="C720" s="7"/>
      <c r="D720" s="9"/>
      <c r="E720" s="10"/>
      <c r="F720" s="11"/>
      <c r="G720" s="11"/>
      <c r="J720" s="7"/>
      <c r="K720" s="8"/>
      <c r="L720" s="7"/>
      <c r="M720" s="7"/>
      <c r="N720" s="7"/>
      <c r="Q720" s="8"/>
      <c r="R720" s="7"/>
      <c r="S720" s="9"/>
      <c r="T720" s="7"/>
      <c r="U720" s="7"/>
      <c r="V720" s="7"/>
      <c r="AC720" s="7"/>
      <c r="AD720" s="7"/>
      <c r="AE720" s="7"/>
    </row>
    <row r="721">
      <c r="A721" s="7"/>
      <c r="B721" s="7"/>
      <c r="C721" s="7"/>
      <c r="D721" s="9"/>
      <c r="E721" s="10"/>
      <c r="F721" s="11"/>
      <c r="G721" s="11"/>
      <c r="J721" s="7"/>
      <c r="K721" s="8"/>
      <c r="L721" s="7"/>
      <c r="M721" s="7"/>
      <c r="N721" s="7"/>
      <c r="Q721" s="8"/>
      <c r="R721" s="7"/>
      <c r="S721" s="9"/>
      <c r="T721" s="7"/>
      <c r="U721" s="7"/>
      <c r="V721" s="7"/>
      <c r="AC721" s="7"/>
      <c r="AD721" s="7"/>
      <c r="AE721" s="7"/>
    </row>
    <row r="722">
      <c r="A722" s="7"/>
      <c r="B722" s="7"/>
      <c r="C722" s="7"/>
      <c r="D722" s="9"/>
      <c r="E722" s="10"/>
      <c r="F722" s="11"/>
      <c r="G722" s="11"/>
      <c r="J722" s="7"/>
      <c r="K722" s="8"/>
      <c r="L722" s="7"/>
      <c r="M722" s="7"/>
      <c r="N722" s="7"/>
      <c r="Q722" s="8"/>
      <c r="R722" s="7"/>
      <c r="S722" s="9"/>
      <c r="T722" s="7"/>
      <c r="U722" s="7"/>
      <c r="V722" s="7"/>
      <c r="AC722" s="7"/>
      <c r="AD722" s="7"/>
      <c r="AE722" s="7"/>
    </row>
    <row r="723">
      <c r="A723" s="7"/>
      <c r="B723" s="7"/>
      <c r="C723" s="7"/>
      <c r="D723" s="9"/>
      <c r="E723" s="10"/>
      <c r="F723" s="11"/>
      <c r="G723" s="11"/>
      <c r="J723" s="7"/>
      <c r="K723" s="8"/>
      <c r="L723" s="7"/>
      <c r="M723" s="7"/>
      <c r="N723" s="7"/>
      <c r="Q723" s="8"/>
      <c r="R723" s="7"/>
      <c r="S723" s="9"/>
      <c r="T723" s="7"/>
      <c r="U723" s="7"/>
      <c r="V723" s="7"/>
      <c r="AC723" s="7"/>
      <c r="AD723" s="7"/>
      <c r="AE723" s="7"/>
    </row>
    <row r="724">
      <c r="A724" s="7"/>
      <c r="B724" s="7"/>
      <c r="C724" s="7"/>
      <c r="D724" s="9"/>
      <c r="E724" s="10"/>
      <c r="F724" s="11"/>
      <c r="G724" s="11"/>
      <c r="J724" s="7"/>
      <c r="K724" s="8"/>
      <c r="L724" s="7"/>
      <c r="M724" s="7"/>
      <c r="N724" s="7"/>
      <c r="Q724" s="8"/>
      <c r="R724" s="7"/>
      <c r="S724" s="9"/>
      <c r="T724" s="7"/>
      <c r="U724" s="7"/>
      <c r="V724" s="7"/>
      <c r="AC724" s="7"/>
      <c r="AD724" s="7"/>
      <c r="AE724" s="7"/>
    </row>
    <row r="725">
      <c r="A725" s="7"/>
      <c r="B725" s="7"/>
      <c r="C725" s="7"/>
      <c r="D725" s="9"/>
      <c r="E725" s="10"/>
      <c r="F725" s="11"/>
      <c r="G725" s="11"/>
      <c r="J725" s="7"/>
      <c r="K725" s="8"/>
      <c r="L725" s="7"/>
      <c r="M725" s="7"/>
      <c r="N725" s="7"/>
      <c r="Q725" s="8"/>
      <c r="R725" s="7"/>
      <c r="S725" s="9"/>
      <c r="T725" s="7"/>
      <c r="U725" s="7"/>
      <c r="V725" s="7"/>
      <c r="AC725" s="7"/>
      <c r="AD725" s="7"/>
      <c r="AE725" s="7"/>
    </row>
    <row r="726">
      <c r="A726" s="7"/>
      <c r="B726" s="7"/>
      <c r="C726" s="7"/>
      <c r="D726" s="9"/>
      <c r="E726" s="10"/>
      <c r="F726" s="11"/>
      <c r="G726" s="11"/>
      <c r="J726" s="7"/>
      <c r="K726" s="8"/>
      <c r="L726" s="7"/>
      <c r="M726" s="7"/>
      <c r="N726" s="7"/>
      <c r="Q726" s="8"/>
      <c r="R726" s="7"/>
      <c r="S726" s="9"/>
      <c r="T726" s="7"/>
      <c r="U726" s="7"/>
      <c r="V726" s="7"/>
      <c r="AC726" s="7"/>
      <c r="AD726" s="7"/>
      <c r="AE726" s="7"/>
    </row>
    <row r="727">
      <c r="A727" s="7"/>
      <c r="B727" s="7"/>
      <c r="C727" s="7"/>
      <c r="D727" s="9"/>
      <c r="E727" s="10"/>
      <c r="F727" s="11"/>
      <c r="G727" s="11"/>
      <c r="J727" s="7"/>
      <c r="K727" s="8"/>
      <c r="L727" s="7"/>
      <c r="M727" s="7"/>
      <c r="N727" s="7"/>
      <c r="Q727" s="8"/>
      <c r="R727" s="7"/>
      <c r="S727" s="9"/>
      <c r="T727" s="7"/>
      <c r="U727" s="7"/>
      <c r="V727" s="7"/>
      <c r="AC727" s="7"/>
      <c r="AD727" s="7"/>
      <c r="AE727" s="7"/>
    </row>
    <row r="728">
      <c r="A728" s="7"/>
      <c r="B728" s="7"/>
      <c r="C728" s="7"/>
      <c r="D728" s="9"/>
      <c r="E728" s="10"/>
      <c r="F728" s="11"/>
      <c r="G728" s="11"/>
      <c r="J728" s="7"/>
      <c r="K728" s="8"/>
      <c r="L728" s="7"/>
      <c r="M728" s="7"/>
      <c r="N728" s="7"/>
      <c r="Q728" s="8"/>
      <c r="R728" s="7"/>
      <c r="S728" s="9"/>
      <c r="T728" s="7"/>
      <c r="U728" s="7"/>
      <c r="V728" s="7"/>
      <c r="AC728" s="7"/>
      <c r="AD728" s="7"/>
      <c r="AE728" s="7"/>
    </row>
    <row r="729">
      <c r="A729" s="7"/>
      <c r="B729" s="7"/>
      <c r="C729" s="7"/>
      <c r="D729" s="9"/>
      <c r="E729" s="10"/>
      <c r="F729" s="11"/>
      <c r="G729" s="11"/>
      <c r="J729" s="7"/>
      <c r="K729" s="8"/>
      <c r="L729" s="7"/>
      <c r="M729" s="7"/>
      <c r="N729" s="7"/>
      <c r="Q729" s="8"/>
      <c r="R729" s="7"/>
      <c r="S729" s="9"/>
      <c r="T729" s="7"/>
      <c r="U729" s="7"/>
      <c r="V729" s="7"/>
      <c r="AC729" s="7"/>
      <c r="AD729" s="7"/>
      <c r="AE729" s="7"/>
    </row>
    <row r="730">
      <c r="A730" s="7"/>
      <c r="B730" s="7"/>
      <c r="C730" s="7"/>
      <c r="D730" s="9"/>
      <c r="E730" s="10"/>
      <c r="F730" s="11"/>
      <c r="G730" s="11"/>
      <c r="J730" s="7"/>
      <c r="K730" s="8"/>
      <c r="L730" s="7"/>
      <c r="M730" s="7"/>
      <c r="N730" s="7"/>
      <c r="Q730" s="8"/>
      <c r="R730" s="7"/>
      <c r="S730" s="9"/>
      <c r="T730" s="7"/>
      <c r="U730" s="7"/>
      <c r="V730" s="7"/>
      <c r="AC730" s="7"/>
      <c r="AD730" s="7"/>
      <c r="AE730" s="7"/>
    </row>
    <row r="731">
      <c r="A731" s="7"/>
      <c r="B731" s="7"/>
      <c r="C731" s="7"/>
      <c r="D731" s="9"/>
      <c r="E731" s="10"/>
      <c r="F731" s="11"/>
      <c r="G731" s="11"/>
      <c r="J731" s="7"/>
      <c r="K731" s="8"/>
      <c r="L731" s="7"/>
      <c r="M731" s="7"/>
      <c r="N731" s="7"/>
      <c r="Q731" s="8"/>
      <c r="R731" s="7"/>
      <c r="S731" s="9"/>
      <c r="T731" s="7"/>
      <c r="U731" s="7"/>
      <c r="V731" s="7"/>
      <c r="AC731" s="7"/>
      <c r="AD731" s="7"/>
      <c r="AE731" s="7"/>
    </row>
    <row r="732">
      <c r="A732" s="7"/>
      <c r="B732" s="7"/>
      <c r="C732" s="7"/>
      <c r="D732" s="9"/>
      <c r="E732" s="10"/>
      <c r="F732" s="11"/>
      <c r="G732" s="11"/>
      <c r="J732" s="7"/>
      <c r="K732" s="8"/>
      <c r="L732" s="7"/>
      <c r="M732" s="7"/>
      <c r="N732" s="7"/>
      <c r="Q732" s="8"/>
      <c r="R732" s="7"/>
      <c r="S732" s="9"/>
      <c r="T732" s="7"/>
      <c r="U732" s="7"/>
      <c r="V732" s="7"/>
      <c r="AC732" s="7"/>
      <c r="AD732" s="7"/>
      <c r="AE732" s="7"/>
    </row>
    <row r="733">
      <c r="A733" s="7"/>
      <c r="B733" s="7"/>
      <c r="C733" s="7"/>
      <c r="D733" s="9"/>
      <c r="E733" s="10"/>
      <c r="F733" s="11"/>
      <c r="G733" s="11"/>
      <c r="J733" s="7"/>
      <c r="K733" s="8"/>
      <c r="L733" s="7"/>
      <c r="M733" s="7"/>
      <c r="N733" s="7"/>
      <c r="Q733" s="8"/>
      <c r="R733" s="7"/>
      <c r="S733" s="9"/>
      <c r="T733" s="7"/>
      <c r="U733" s="7"/>
      <c r="V733" s="7"/>
      <c r="AC733" s="7"/>
      <c r="AD733" s="7"/>
      <c r="AE733" s="7"/>
    </row>
    <row r="734">
      <c r="A734" s="7"/>
      <c r="B734" s="7"/>
      <c r="C734" s="7"/>
      <c r="D734" s="9"/>
      <c r="E734" s="10"/>
      <c r="F734" s="11"/>
      <c r="G734" s="11"/>
      <c r="J734" s="7"/>
      <c r="K734" s="8"/>
      <c r="L734" s="7"/>
      <c r="M734" s="7"/>
      <c r="N734" s="7"/>
      <c r="Q734" s="8"/>
      <c r="R734" s="7"/>
      <c r="S734" s="9"/>
      <c r="T734" s="7"/>
      <c r="U734" s="7"/>
      <c r="V734" s="7"/>
      <c r="AC734" s="7"/>
      <c r="AD734" s="7"/>
      <c r="AE734" s="7"/>
    </row>
    <row r="735">
      <c r="A735" s="7"/>
      <c r="B735" s="7"/>
      <c r="C735" s="7"/>
      <c r="D735" s="9"/>
      <c r="E735" s="10"/>
      <c r="F735" s="11"/>
      <c r="G735" s="11"/>
      <c r="J735" s="7"/>
      <c r="K735" s="8"/>
      <c r="L735" s="7"/>
      <c r="M735" s="7"/>
      <c r="N735" s="7"/>
      <c r="Q735" s="8"/>
      <c r="R735" s="7"/>
      <c r="S735" s="9"/>
      <c r="T735" s="7"/>
      <c r="U735" s="7"/>
      <c r="V735" s="7"/>
      <c r="AC735" s="7"/>
      <c r="AD735" s="7"/>
      <c r="AE735" s="7"/>
    </row>
    <row r="736">
      <c r="A736" s="7"/>
      <c r="B736" s="7"/>
      <c r="C736" s="7"/>
      <c r="D736" s="9"/>
      <c r="E736" s="10"/>
      <c r="F736" s="11"/>
      <c r="G736" s="11"/>
      <c r="J736" s="7"/>
      <c r="K736" s="8"/>
      <c r="L736" s="7"/>
      <c r="M736" s="7"/>
      <c r="N736" s="7"/>
      <c r="Q736" s="8"/>
      <c r="R736" s="7"/>
      <c r="S736" s="9"/>
      <c r="T736" s="7"/>
      <c r="U736" s="7"/>
      <c r="V736" s="7"/>
      <c r="AC736" s="7"/>
      <c r="AD736" s="7"/>
      <c r="AE736" s="7"/>
    </row>
    <row r="737">
      <c r="A737" s="7"/>
      <c r="B737" s="7"/>
      <c r="C737" s="7"/>
      <c r="D737" s="9"/>
      <c r="E737" s="10"/>
      <c r="F737" s="11"/>
      <c r="G737" s="11"/>
      <c r="J737" s="7"/>
      <c r="K737" s="8"/>
      <c r="L737" s="7"/>
      <c r="M737" s="7"/>
      <c r="N737" s="7"/>
      <c r="Q737" s="8"/>
      <c r="R737" s="7"/>
      <c r="S737" s="9"/>
      <c r="T737" s="7"/>
      <c r="U737" s="7"/>
      <c r="V737" s="7"/>
      <c r="AC737" s="7"/>
      <c r="AD737" s="7"/>
      <c r="AE737" s="7"/>
    </row>
    <row r="738">
      <c r="A738" s="7"/>
      <c r="B738" s="7"/>
      <c r="C738" s="7"/>
      <c r="D738" s="9"/>
      <c r="E738" s="10"/>
      <c r="F738" s="11"/>
      <c r="G738" s="11"/>
      <c r="J738" s="7"/>
      <c r="K738" s="8"/>
      <c r="L738" s="7"/>
      <c r="M738" s="7"/>
      <c r="N738" s="7"/>
      <c r="Q738" s="8"/>
      <c r="R738" s="7"/>
      <c r="S738" s="9"/>
      <c r="T738" s="7"/>
      <c r="U738" s="7"/>
      <c r="V738" s="7"/>
      <c r="AC738" s="7"/>
      <c r="AD738" s="7"/>
      <c r="AE738" s="7"/>
    </row>
    <row r="739">
      <c r="A739" s="7"/>
      <c r="B739" s="7"/>
      <c r="C739" s="7"/>
      <c r="D739" s="9"/>
      <c r="E739" s="10"/>
      <c r="F739" s="11"/>
      <c r="G739" s="11"/>
      <c r="J739" s="7"/>
      <c r="K739" s="8"/>
      <c r="L739" s="7"/>
      <c r="M739" s="7"/>
      <c r="N739" s="7"/>
      <c r="Q739" s="8"/>
      <c r="R739" s="7"/>
      <c r="S739" s="9"/>
      <c r="T739" s="7"/>
      <c r="U739" s="7"/>
      <c r="V739" s="7"/>
      <c r="AC739" s="7"/>
      <c r="AD739" s="7"/>
      <c r="AE739" s="7"/>
    </row>
    <row r="740">
      <c r="A740" s="7"/>
      <c r="B740" s="7"/>
      <c r="C740" s="7"/>
      <c r="D740" s="9"/>
      <c r="E740" s="10"/>
      <c r="F740" s="11"/>
      <c r="G740" s="11"/>
      <c r="J740" s="7"/>
      <c r="K740" s="8"/>
      <c r="L740" s="7"/>
      <c r="M740" s="7"/>
      <c r="N740" s="7"/>
      <c r="Q740" s="8"/>
      <c r="R740" s="7"/>
      <c r="S740" s="9"/>
      <c r="T740" s="7"/>
      <c r="U740" s="7"/>
      <c r="V740" s="7"/>
      <c r="AC740" s="7"/>
      <c r="AD740" s="7"/>
      <c r="AE740" s="7"/>
    </row>
    <row r="741">
      <c r="A741" s="7"/>
      <c r="B741" s="7"/>
      <c r="C741" s="7"/>
      <c r="D741" s="9"/>
      <c r="E741" s="10"/>
      <c r="F741" s="11"/>
      <c r="G741" s="11"/>
      <c r="J741" s="7"/>
      <c r="K741" s="8"/>
      <c r="L741" s="7"/>
      <c r="M741" s="7"/>
      <c r="N741" s="7"/>
      <c r="Q741" s="8"/>
      <c r="R741" s="7"/>
      <c r="S741" s="9"/>
      <c r="T741" s="7"/>
      <c r="U741" s="7"/>
      <c r="V741" s="7"/>
      <c r="AC741" s="7"/>
      <c r="AD741" s="7"/>
      <c r="AE741" s="7"/>
    </row>
    <row r="742">
      <c r="A742" s="7"/>
      <c r="B742" s="7"/>
      <c r="C742" s="7"/>
      <c r="D742" s="9"/>
      <c r="E742" s="10"/>
      <c r="F742" s="11"/>
      <c r="G742" s="11"/>
      <c r="J742" s="7"/>
      <c r="K742" s="8"/>
      <c r="L742" s="7"/>
      <c r="M742" s="7"/>
      <c r="N742" s="7"/>
      <c r="Q742" s="8"/>
      <c r="R742" s="7"/>
      <c r="S742" s="9"/>
      <c r="T742" s="7"/>
      <c r="U742" s="7"/>
      <c r="V742" s="7"/>
      <c r="AC742" s="7"/>
      <c r="AD742" s="7"/>
      <c r="AE742" s="7"/>
    </row>
    <row r="743">
      <c r="A743" s="7"/>
      <c r="B743" s="7"/>
      <c r="C743" s="7"/>
      <c r="D743" s="9"/>
      <c r="E743" s="10"/>
      <c r="F743" s="11"/>
      <c r="G743" s="11"/>
      <c r="J743" s="7"/>
      <c r="K743" s="8"/>
      <c r="L743" s="7"/>
      <c r="M743" s="7"/>
      <c r="N743" s="7"/>
      <c r="Q743" s="8"/>
      <c r="R743" s="7"/>
      <c r="S743" s="9"/>
      <c r="T743" s="7"/>
      <c r="U743" s="7"/>
      <c r="V743" s="7"/>
      <c r="AC743" s="7"/>
      <c r="AD743" s="7"/>
      <c r="AE743" s="7"/>
    </row>
    <row r="744">
      <c r="A744" s="7"/>
      <c r="B744" s="7"/>
      <c r="C744" s="7"/>
      <c r="D744" s="9"/>
      <c r="E744" s="10"/>
      <c r="F744" s="11"/>
      <c r="G744" s="11"/>
      <c r="J744" s="7"/>
      <c r="K744" s="8"/>
      <c r="L744" s="7"/>
      <c r="M744" s="7"/>
      <c r="N744" s="7"/>
      <c r="Q744" s="8"/>
      <c r="R744" s="7"/>
      <c r="S744" s="9"/>
      <c r="T744" s="7"/>
      <c r="U744" s="7"/>
      <c r="V744" s="7"/>
      <c r="AC744" s="7"/>
      <c r="AD744" s="7"/>
      <c r="AE744" s="7"/>
    </row>
    <row r="745">
      <c r="A745" s="7"/>
      <c r="B745" s="7"/>
      <c r="C745" s="7"/>
      <c r="D745" s="9"/>
      <c r="E745" s="10"/>
      <c r="F745" s="11"/>
      <c r="G745" s="11"/>
      <c r="J745" s="7"/>
      <c r="K745" s="8"/>
      <c r="L745" s="7"/>
      <c r="M745" s="7"/>
      <c r="N745" s="7"/>
      <c r="Q745" s="8"/>
      <c r="R745" s="7"/>
      <c r="S745" s="9"/>
      <c r="T745" s="7"/>
      <c r="U745" s="7"/>
      <c r="V745" s="7"/>
      <c r="AC745" s="7"/>
      <c r="AD745" s="7"/>
      <c r="AE745" s="7"/>
    </row>
    <row r="746">
      <c r="A746" s="7"/>
      <c r="B746" s="7"/>
      <c r="C746" s="7"/>
      <c r="D746" s="9"/>
      <c r="E746" s="10"/>
      <c r="F746" s="11"/>
      <c r="G746" s="11"/>
      <c r="J746" s="7"/>
      <c r="K746" s="8"/>
      <c r="L746" s="7"/>
      <c r="M746" s="7"/>
      <c r="N746" s="7"/>
      <c r="Q746" s="8"/>
      <c r="R746" s="7"/>
      <c r="S746" s="9"/>
      <c r="T746" s="7"/>
      <c r="U746" s="7"/>
      <c r="V746" s="7"/>
      <c r="AC746" s="7"/>
      <c r="AD746" s="7"/>
      <c r="AE746" s="7"/>
    </row>
    <row r="747">
      <c r="A747" s="7"/>
      <c r="B747" s="7"/>
      <c r="C747" s="7"/>
      <c r="D747" s="9"/>
      <c r="E747" s="10"/>
      <c r="F747" s="11"/>
      <c r="G747" s="11"/>
      <c r="J747" s="7"/>
      <c r="K747" s="8"/>
      <c r="L747" s="7"/>
      <c r="M747" s="7"/>
      <c r="N747" s="7"/>
      <c r="Q747" s="8"/>
      <c r="R747" s="7"/>
      <c r="S747" s="9"/>
      <c r="T747" s="7"/>
      <c r="U747" s="7"/>
      <c r="V747" s="7"/>
      <c r="AC747" s="7"/>
      <c r="AD747" s="7"/>
      <c r="AE747" s="7"/>
    </row>
    <row r="748">
      <c r="A748" s="7"/>
      <c r="B748" s="7"/>
      <c r="C748" s="7"/>
      <c r="D748" s="9"/>
      <c r="E748" s="10"/>
      <c r="F748" s="11"/>
      <c r="G748" s="11"/>
      <c r="J748" s="7"/>
      <c r="K748" s="8"/>
      <c r="L748" s="7"/>
      <c r="M748" s="7"/>
      <c r="N748" s="7"/>
      <c r="Q748" s="8"/>
      <c r="R748" s="7"/>
      <c r="S748" s="9"/>
      <c r="T748" s="7"/>
      <c r="U748" s="7"/>
      <c r="V748" s="7"/>
      <c r="AC748" s="7"/>
      <c r="AD748" s="7"/>
      <c r="AE748" s="7"/>
    </row>
    <row r="749">
      <c r="A749" s="7"/>
      <c r="B749" s="7"/>
      <c r="C749" s="7"/>
      <c r="D749" s="9"/>
      <c r="E749" s="10"/>
      <c r="F749" s="11"/>
      <c r="G749" s="11"/>
      <c r="J749" s="7"/>
      <c r="K749" s="8"/>
      <c r="L749" s="7"/>
      <c r="M749" s="7"/>
      <c r="N749" s="7"/>
      <c r="Q749" s="8"/>
      <c r="R749" s="7"/>
      <c r="S749" s="9"/>
      <c r="T749" s="7"/>
      <c r="U749" s="7"/>
      <c r="V749" s="7"/>
      <c r="AC749" s="7"/>
      <c r="AD749" s="7"/>
      <c r="AE749" s="7"/>
    </row>
    <row r="750">
      <c r="A750" s="7"/>
      <c r="B750" s="7"/>
      <c r="C750" s="7"/>
      <c r="D750" s="9"/>
      <c r="E750" s="10"/>
      <c r="F750" s="11"/>
      <c r="G750" s="11"/>
      <c r="J750" s="7"/>
      <c r="K750" s="8"/>
      <c r="L750" s="7"/>
      <c r="M750" s="7"/>
      <c r="N750" s="7"/>
      <c r="Q750" s="8"/>
      <c r="R750" s="7"/>
      <c r="S750" s="9"/>
      <c r="T750" s="7"/>
      <c r="U750" s="7"/>
      <c r="V750" s="7"/>
      <c r="AC750" s="7"/>
      <c r="AD750" s="7"/>
      <c r="AE750" s="7"/>
    </row>
    <row r="751">
      <c r="A751" s="7"/>
      <c r="B751" s="7"/>
      <c r="C751" s="7"/>
      <c r="D751" s="9"/>
      <c r="E751" s="10"/>
      <c r="F751" s="11"/>
      <c r="G751" s="11"/>
      <c r="J751" s="7"/>
      <c r="K751" s="8"/>
      <c r="L751" s="7"/>
      <c r="M751" s="7"/>
      <c r="N751" s="7"/>
      <c r="Q751" s="8"/>
      <c r="R751" s="7"/>
      <c r="S751" s="9"/>
      <c r="T751" s="7"/>
      <c r="U751" s="7"/>
      <c r="V751" s="7"/>
      <c r="AC751" s="7"/>
      <c r="AD751" s="7"/>
      <c r="AE751" s="7"/>
    </row>
    <row r="752">
      <c r="A752" s="7"/>
      <c r="B752" s="7"/>
      <c r="C752" s="7"/>
      <c r="D752" s="9"/>
      <c r="E752" s="10"/>
      <c r="F752" s="11"/>
      <c r="G752" s="11"/>
      <c r="J752" s="7"/>
      <c r="K752" s="8"/>
      <c r="L752" s="7"/>
      <c r="M752" s="7"/>
      <c r="N752" s="7"/>
      <c r="Q752" s="8"/>
      <c r="R752" s="7"/>
      <c r="S752" s="9"/>
      <c r="T752" s="7"/>
      <c r="U752" s="7"/>
      <c r="V752" s="7"/>
      <c r="AC752" s="7"/>
      <c r="AD752" s="7"/>
      <c r="AE752" s="7"/>
    </row>
    <row r="753">
      <c r="A753" s="7"/>
      <c r="B753" s="7"/>
      <c r="C753" s="7"/>
      <c r="D753" s="9"/>
      <c r="E753" s="10"/>
      <c r="F753" s="11"/>
      <c r="G753" s="11"/>
      <c r="J753" s="7"/>
      <c r="K753" s="8"/>
      <c r="L753" s="7"/>
      <c r="M753" s="7"/>
      <c r="N753" s="7"/>
      <c r="Q753" s="8"/>
      <c r="R753" s="7"/>
      <c r="S753" s="9"/>
      <c r="T753" s="7"/>
      <c r="U753" s="7"/>
      <c r="V753" s="7"/>
      <c r="AC753" s="7"/>
      <c r="AD753" s="7"/>
      <c r="AE753" s="7"/>
    </row>
    <row r="754">
      <c r="A754" s="7"/>
      <c r="B754" s="7"/>
      <c r="C754" s="7"/>
      <c r="D754" s="9"/>
      <c r="E754" s="10"/>
      <c r="F754" s="11"/>
      <c r="G754" s="11"/>
      <c r="J754" s="7"/>
      <c r="K754" s="8"/>
      <c r="L754" s="7"/>
      <c r="M754" s="7"/>
      <c r="N754" s="7"/>
      <c r="Q754" s="8"/>
      <c r="R754" s="7"/>
      <c r="S754" s="9"/>
      <c r="T754" s="7"/>
      <c r="U754" s="7"/>
      <c r="V754" s="7"/>
      <c r="AC754" s="7"/>
      <c r="AD754" s="7"/>
      <c r="AE754" s="7"/>
    </row>
    <row r="755">
      <c r="A755" s="7"/>
      <c r="B755" s="7"/>
      <c r="C755" s="7"/>
      <c r="D755" s="9"/>
      <c r="E755" s="10"/>
      <c r="F755" s="11"/>
      <c r="G755" s="11"/>
      <c r="J755" s="7"/>
      <c r="K755" s="8"/>
      <c r="L755" s="7"/>
      <c r="M755" s="7"/>
      <c r="N755" s="7"/>
      <c r="Q755" s="8"/>
      <c r="R755" s="7"/>
      <c r="S755" s="9"/>
      <c r="T755" s="7"/>
      <c r="U755" s="7"/>
      <c r="V755" s="7"/>
      <c r="AC755" s="7"/>
      <c r="AD755" s="7"/>
      <c r="AE755" s="7"/>
    </row>
    <row r="756">
      <c r="A756" s="7"/>
      <c r="B756" s="7"/>
      <c r="C756" s="7"/>
      <c r="D756" s="9"/>
      <c r="E756" s="10"/>
      <c r="F756" s="11"/>
      <c r="G756" s="11"/>
      <c r="J756" s="7"/>
      <c r="K756" s="8"/>
      <c r="L756" s="7"/>
      <c r="M756" s="7"/>
      <c r="N756" s="7"/>
      <c r="Q756" s="8"/>
      <c r="R756" s="7"/>
      <c r="S756" s="9"/>
      <c r="T756" s="7"/>
      <c r="U756" s="7"/>
      <c r="V756" s="7"/>
      <c r="AC756" s="7"/>
      <c r="AD756" s="7"/>
      <c r="AE756" s="7"/>
    </row>
    <row r="757">
      <c r="A757" s="7"/>
      <c r="B757" s="7"/>
      <c r="C757" s="7"/>
      <c r="D757" s="9"/>
      <c r="E757" s="10"/>
      <c r="F757" s="11"/>
      <c r="G757" s="11"/>
      <c r="J757" s="7"/>
      <c r="K757" s="8"/>
      <c r="L757" s="7"/>
      <c r="M757" s="7"/>
      <c r="N757" s="7"/>
      <c r="Q757" s="8"/>
      <c r="R757" s="7"/>
      <c r="S757" s="9"/>
      <c r="T757" s="7"/>
      <c r="U757" s="7"/>
      <c r="V757" s="7"/>
      <c r="AC757" s="7"/>
      <c r="AD757" s="7"/>
      <c r="AE757" s="7"/>
    </row>
    <row r="758">
      <c r="A758" s="7"/>
      <c r="B758" s="7"/>
      <c r="C758" s="7"/>
      <c r="D758" s="9"/>
      <c r="E758" s="10"/>
      <c r="F758" s="11"/>
      <c r="G758" s="11"/>
      <c r="J758" s="7"/>
      <c r="K758" s="8"/>
      <c r="L758" s="7"/>
      <c r="M758" s="7"/>
      <c r="N758" s="7"/>
      <c r="Q758" s="8"/>
      <c r="R758" s="7"/>
      <c r="S758" s="9"/>
      <c r="T758" s="7"/>
      <c r="U758" s="7"/>
      <c r="V758" s="7"/>
      <c r="AC758" s="7"/>
      <c r="AD758" s="7"/>
      <c r="AE758" s="7"/>
    </row>
    <row r="759">
      <c r="A759" s="7"/>
      <c r="B759" s="7"/>
      <c r="C759" s="7"/>
      <c r="D759" s="9"/>
      <c r="E759" s="10"/>
      <c r="F759" s="11"/>
      <c r="G759" s="11"/>
      <c r="J759" s="7"/>
      <c r="K759" s="8"/>
      <c r="L759" s="7"/>
      <c r="M759" s="7"/>
      <c r="N759" s="7"/>
      <c r="Q759" s="8"/>
      <c r="R759" s="7"/>
      <c r="S759" s="9"/>
      <c r="T759" s="7"/>
      <c r="U759" s="7"/>
      <c r="V759" s="7"/>
      <c r="AC759" s="7"/>
      <c r="AD759" s="7"/>
      <c r="AE759" s="7"/>
    </row>
    <row r="760">
      <c r="A760" s="7"/>
      <c r="B760" s="7"/>
      <c r="C760" s="7"/>
      <c r="D760" s="9"/>
      <c r="E760" s="10"/>
      <c r="F760" s="11"/>
      <c r="G760" s="11"/>
      <c r="J760" s="7"/>
      <c r="K760" s="8"/>
      <c r="L760" s="7"/>
      <c r="M760" s="7"/>
      <c r="N760" s="7"/>
      <c r="Q760" s="8"/>
      <c r="R760" s="7"/>
      <c r="S760" s="9"/>
      <c r="T760" s="7"/>
      <c r="U760" s="7"/>
      <c r="V760" s="7"/>
      <c r="AC760" s="7"/>
      <c r="AD760" s="7"/>
      <c r="AE760" s="7"/>
    </row>
    <row r="761">
      <c r="A761" s="7"/>
      <c r="B761" s="7"/>
      <c r="C761" s="7"/>
      <c r="D761" s="9"/>
      <c r="E761" s="10"/>
      <c r="F761" s="11"/>
      <c r="G761" s="11"/>
      <c r="J761" s="7"/>
      <c r="K761" s="8"/>
      <c r="L761" s="7"/>
      <c r="M761" s="7"/>
      <c r="N761" s="7"/>
      <c r="Q761" s="8"/>
      <c r="R761" s="7"/>
      <c r="S761" s="9"/>
      <c r="T761" s="7"/>
      <c r="U761" s="7"/>
      <c r="V761" s="7"/>
      <c r="AC761" s="7"/>
      <c r="AD761" s="7"/>
      <c r="AE761" s="7"/>
    </row>
    <row r="762">
      <c r="A762" s="7"/>
      <c r="B762" s="7"/>
      <c r="C762" s="7"/>
      <c r="D762" s="9"/>
      <c r="E762" s="10"/>
      <c r="F762" s="11"/>
      <c r="G762" s="11"/>
      <c r="J762" s="7"/>
      <c r="K762" s="8"/>
      <c r="L762" s="7"/>
      <c r="M762" s="7"/>
      <c r="N762" s="7"/>
      <c r="Q762" s="8"/>
      <c r="R762" s="7"/>
      <c r="S762" s="9"/>
      <c r="T762" s="7"/>
      <c r="U762" s="7"/>
      <c r="V762" s="7"/>
      <c r="AC762" s="7"/>
      <c r="AD762" s="7"/>
      <c r="AE762" s="7"/>
    </row>
    <row r="763">
      <c r="A763" s="7"/>
      <c r="B763" s="7"/>
      <c r="C763" s="7"/>
      <c r="D763" s="9"/>
      <c r="E763" s="10"/>
      <c r="F763" s="11"/>
      <c r="G763" s="11"/>
      <c r="J763" s="7"/>
      <c r="K763" s="8"/>
      <c r="L763" s="7"/>
      <c r="M763" s="7"/>
      <c r="N763" s="7"/>
      <c r="Q763" s="8"/>
      <c r="R763" s="7"/>
      <c r="S763" s="9"/>
      <c r="T763" s="7"/>
      <c r="U763" s="7"/>
      <c r="V763" s="7"/>
      <c r="AC763" s="7"/>
      <c r="AD763" s="7"/>
      <c r="AE763" s="7"/>
    </row>
    <row r="764">
      <c r="A764" s="7"/>
      <c r="B764" s="7"/>
      <c r="C764" s="7"/>
      <c r="D764" s="9"/>
      <c r="E764" s="10"/>
      <c r="F764" s="11"/>
      <c r="G764" s="11"/>
      <c r="J764" s="7"/>
      <c r="K764" s="8"/>
      <c r="L764" s="7"/>
      <c r="M764" s="7"/>
      <c r="N764" s="7"/>
      <c r="Q764" s="8"/>
      <c r="R764" s="7"/>
      <c r="S764" s="9"/>
      <c r="T764" s="7"/>
      <c r="U764" s="7"/>
      <c r="V764" s="7"/>
      <c r="AC764" s="7"/>
      <c r="AD764" s="7"/>
      <c r="AE764" s="7"/>
    </row>
    <row r="765">
      <c r="A765" s="7"/>
      <c r="B765" s="7"/>
      <c r="C765" s="7"/>
      <c r="D765" s="9"/>
      <c r="E765" s="10"/>
      <c r="F765" s="11"/>
      <c r="G765" s="11"/>
      <c r="J765" s="7"/>
      <c r="K765" s="8"/>
      <c r="L765" s="7"/>
      <c r="M765" s="7"/>
      <c r="N765" s="7"/>
      <c r="Q765" s="8"/>
      <c r="R765" s="7"/>
      <c r="S765" s="9"/>
      <c r="T765" s="7"/>
      <c r="U765" s="7"/>
      <c r="V765" s="7"/>
      <c r="AC765" s="7"/>
      <c r="AD765" s="7"/>
      <c r="AE765" s="7"/>
    </row>
    <row r="766">
      <c r="A766" s="7"/>
      <c r="B766" s="7"/>
      <c r="C766" s="7"/>
      <c r="D766" s="9"/>
      <c r="E766" s="10"/>
      <c r="F766" s="11"/>
      <c r="G766" s="11"/>
      <c r="J766" s="7"/>
      <c r="K766" s="8"/>
      <c r="L766" s="7"/>
      <c r="M766" s="7"/>
      <c r="N766" s="7"/>
      <c r="Q766" s="8"/>
      <c r="R766" s="7"/>
      <c r="S766" s="9"/>
      <c r="T766" s="7"/>
      <c r="U766" s="7"/>
      <c r="V766" s="7"/>
      <c r="AC766" s="7"/>
      <c r="AD766" s="7"/>
      <c r="AE766" s="7"/>
    </row>
    <row r="767">
      <c r="A767" s="7"/>
      <c r="B767" s="7"/>
      <c r="C767" s="7"/>
      <c r="D767" s="9"/>
      <c r="E767" s="10"/>
      <c r="F767" s="11"/>
      <c r="G767" s="11"/>
      <c r="J767" s="7"/>
      <c r="K767" s="8"/>
      <c r="L767" s="7"/>
      <c r="M767" s="7"/>
      <c r="N767" s="7"/>
      <c r="Q767" s="8"/>
      <c r="R767" s="7"/>
      <c r="S767" s="9"/>
      <c r="T767" s="7"/>
      <c r="U767" s="7"/>
      <c r="V767" s="7"/>
      <c r="AC767" s="7"/>
      <c r="AD767" s="7"/>
      <c r="AE767" s="7"/>
    </row>
    <row r="768">
      <c r="A768" s="7"/>
      <c r="B768" s="7"/>
      <c r="C768" s="7"/>
      <c r="D768" s="9"/>
      <c r="E768" s="10"/>
      <c r="F768" s="11"/>
      <c r="G768" s="11"/>
      <c r="J768" s="7"/>
      <c r="K768" s="8"/>
      <c r="L768" s="7"/>
      <c r="M768" s="7"/>
      <c r="N768" s="7"/>
      <c r="Q768" s="8"/>
      <c r="R768" s="7"/>
      <c r="S768" s="9"/>
      <c r="T768" s="7"/>
      <c r="U768" s="7"/>
      <c r="V768" s="7"/>
      <c r="AC768" s="7"/>
      <c r="AD768" s="7"/>
      <c r="AE768" s="7"/>
    </row>
    <row r="769">
      <c r="A769" s="7"/>
      <c r="B769" s="7"/>
      <c r="C769" s="7"/>
      <c r="D769" s="9"/>
      <c r="E769" s="10"/>
      <c r="F769" s="11"/>
      <c r="G769" s="11"/>
      <c r="J769" s="7"/>
      <c r="K769" s="8"/>
      <c r="L769" s="7"/>
      <c r="M769" s="7"/>
      <c r="N769" s="7"/>
      <c r="Q769" s="8"/>
      <c r="R769" s="7"/>
      <c r="S769" s="9"/>
      <c r="T769" s="7"/>
      <c r="U769" s="7"/>
      <c r="V769" s="7"/>
      <c r="AC769" s="7"/>
      <c r="AD769" s="7"/>
      <c r="AE769" s="7"/>
    </row>
    <row r="770">
      <c r="A770" s="7"/>
      <c r="B770" s="7"/>
      <c r="C770" s="7"/>
      <c r="D770" s="9"/>
      <c r="E770" s="10"/>
      <c r="F770" s="11"/>
      <c r="G770" s="11"/>
      <c r="J770" s="7"/>
      <c r="K770" s="8"/>
      <c r="L770" s="7"/>
      <c r="M770" s="7"/>
      <c r="N770" s="7"/>
      <c r="Q770" s="8"/>
      <c r="R770" s="7"/>
      <c r="S770" s="9"/>
      <c r="T770" s="7"/>
      <c r="U770" s="7"/>
      <c r="V770" s="7"/>
      <c r="AC770" s="7"/>
      <c r="AD770" s="7"/>
      <c r="AE770" s="7"/>
    </row>
    <row r="771">
      <c r="A771" s="7"/>
      <c r="B771" s="7"/>
      <c r="C771" s="7"/>
      <c r="D771" s="9"/>
      <c r="E771" s="10"/>
      <c r="F771" s="11"/>
      <c r="G771" s="11"/>
      <c r="J771" s="7"/>
      <c r="K771" s="8"/>
      <c r="L771" s="7"/>
      <c r="M771" s="7"/>
      <c r="N771" s="7"/>
      <c r="Q771" s="8"/>
      <c r="R771" s="7"/>
      <c r="S771" s="9"/>
      <c r="T771" s="7"/>
      <c r="U771" s="7"/>
      <c r="V771" s="7"/>
      <c r="AC771" s="7"/>
      <c r="AD771" s="7"/>
      <c r="AE771" s="7"/>
    </row>
    <row r="772">
      <c r="A772" s="7"/>
      <c r="B772" s="7"/>
      <c r="C772" s="7"/>
      <c r="D772" s="9"/>
      <c r="E772" s="10"/>
      <c r="F772" s="11"/>
      <c r="G772" s="11"/>
      <c r="J772" s="7"/>
      <c r="K772" s="8"/>
      <c r="L772" s="7"/>
      <c r="M772" s="7"/>
      <c r="N772" s="7"/>
      <c r="Q772" s="8"/>
      <c r="R772" s="7"/>
      <c r="S772" s="9"/>
      <c r="T772" s="7"/>
      <c r="U772" s="7"/>
      <c r="V772" s="7"/>
      <c r="AC772" s="7"/>
      <c r="AD772" s="7"/>
      <c r="AE772" s="7"/>
    </row>
    <row r="773">
      <c r="A773" s="7"/>
      <c r="B773" s="7"/>
      <c r="C773" s="7"/>
      <c r="D773" s="9"/>
      <c r="E773" s="10"/>
      <c r="F773" s="11"/>
      <c r="G773" s="11"/>
      <c r="J773" s="7"/>
      <c r="K773" s="8"/>
      <c r="L773" s="7"/>
      <c r="M773" s="7"/>
      <c r="N773" s="7"/>
      <c r="Q773" s="8"/>
      <c r="R773" s="7"/>
      <c r="S773" s="9"/>
      <c r="T773" s="7"/>
      <c r="U773" s="7"/>
      <c r="V773" s="7"/>
      <c r="AC773" s="7"/>
      <c r="AD773" s="7"/>
      <c r="AE773" s="7"/>
    </row>
    <row r="774">
      <c r="A774" s="7"/>
      <c r="B774" s="7"/>
      <c r="C774" s="7"/>
      <c r="D774" s="9"/>
      <c r="E774" s="10"/>
      <c r="F774" s="11"/>
      <c r="G774" s="11"/>
      <c r="J774" s="7"/>
      <c r="K774" s="8"/>
      <c r="L774" s="7"/>
      <c r="M774" s="7"/>
      <c r="N774" s="7"/>
      <c r="Q774" s="8"/>
      <c r="R774" s="7"/>
      <c r="S774" s="9"/>
      <c r="T774" s="7"/>
      <c r="U774" s="7"/>
      <c r="V774" s="7"/>
      <c r="AC774" s="7"/>
      <c r="AD774" s="7"/>
      <c r="AE774" s="7"/>
    </row>
    <row r="775">
      <c r="A775" s="7"/>
      <c r="B775" s="7"/>
      <c r="C775" s="7"/>
      <c r="D775" s="9"/>
      <c r="E775" s="10"/>
      <c r="F775" s="11"/>
      <c r="G775" s="11"/>
      <c r="J775" s="7"/>
      <c r="K775" s="8"/>
      <c r="L775" s="7"/>
      <c r="M775" s="7"/>
      <c r="N775" s="7"/>
      <c r="Q775" s="8"/>
      <c r="R775" s="7"/>
      <c r="S775" s="9"/>
      <c r="T775" s="7"/>
      <c r="U775" s="7"/>
      <c r="V775" s="7"/>
      <c r="AC775" s="7"/>
      <c r="AD775" s="7"/>
      <c r="AE775" s="7"/>
    </row>
    <row r="776">
      <c r="A776" s="7"/>
      <c r="B776" s="7"/>
      <c r="C776" s="7"/>
      <c r="D776" s="9"/>
      <c r="E776" s="10"/>
      <c r="F776" s="11"/>
      <c r="G776" s="11"/>
      <c r="J776" s="7"/>
      <c r="K776" s="8"/>
      <c r="L776" s="7"/>
      <c r="M776" s="7"/>
      <c r="N776" s="7"/>
      <c r="Q776" s="8"/>
      <c r="R776" s="7"/>
      <c r="S776" s="9"/>
      <c r="T776" s="7"/>
      <c r="U776" s="7"/>
      <c r="V776" s="7"/>
      <c r="AC776" s="7"/>
      <c r="AD776" s="7"/>
      <c r="AE776" s="7"/>
    </row>
    <row r="777">
      <c r="A777" s="7"/>
      <c r="B777" s="7"/>
      <c r="C777" s="7"/>
      <c r="D777" s="9"/>
      <c r="E777" s="10"/>
      <c r="F777" s="11"/>
      <c r="G777" s="11"/>
      <c r="J777" s="7"/>
      <c r="K777" s="8"/>
      <c r="L777" s="7"/>
      <c r="M777" s="7"/>
      <c r="N777" s="7"/>
      <c r="Q777" s="8"/>
      <c r="R777" s="7"/>
      <c r="S777" s="9"/>
      <c r="T777" s="7"/>
      <c r="U777" s="7"/>
      <c r="V777" s="7"/>
      <c r="AC777" s="7"/>
      <c r="AD777" s="7"/>
      <c r="AE777" s="7"/>
    </row>
    <row r="778">
      <c r="A778" s="7"/>
      <c r="B778" s="7"/>
      <c r="C778" s="7"/>
      <c r="D778" s="9"/>
      <c r="E778" s="10"/>
      <c r="F778" s="11"/>
      <c r="G778" s="11"/>
      <c r="J778" s="7"/>
      <c r="K778" s="8"/>
      <c r="L778" s="7"/>
      <c r="M778" s="7"/>
      <c r="N778" s="7"/>
      <c r="Q778" s="8"/>
      <c r="R778" s="7"/>
      <c r="S778" s="9"/>
      <c r="T778" s="7"/>
      <c r="U778" s="7"/>
      <c r="V778" s="7"/>
      <c r="AC778" s="7"/>
      <c r="AD778" s="7"/>
      <c r="AE778" s="7"/>
    </row>
    <row r="779">
      <c r="A779" s="7"/>
      <c r="B779" s="7"/>
      <c r="C779" s="7"/>
      <c r="D779" s="9"/>
      <c r="E779" s="10"/>
      <c r="F779" s="11"/>
      <c r="G779" s="11"/>
      <c r="J779" s="7"/>
      <c r="K779" s="8"/>
      <c r="L779" s="7"/>
      <c r="M779" s="7"/>
      <c r="N779" s="7"/>
      <c r="Q779" s="8"/>
      <c r="R779" s="7"/>
      <c r="S779" s="9"/>
      <c r="T779" s="7"/>
      <c r="U779" s="7"/>
      <c r="V779" s="7"/>
      <c r="AC779" s="7"/>
      <c r="AD779" s="7"/>
      <c r="AE779" s="7"/>
    </row>
    <row r="780">
      <c r="A780" s="7"/>
      <c r="B780" s="7"/>
      <c r="C780" s="7"/>
      <c r="D780" s="9"/>
      <c r="E780" s="10"/>
      <c r="F780" s="11"/>
      <c r="G780" s="11"/>
      <c r="J780" s="7"/>
      <c r="K780" s="8"/>
      <c r="L780" s="7"/>
      <c r="M780" s="7"/>
      <c r="N780" s="7"/>
      <c r="Q780" s="8"/>
      <c r="R780" s="7"/>
      <c r="S780" s="9"/>
      <c r="T780" s="7"/>
      <c r="U780" s="7"/>
      <c r="V780" s="7"/>
      <c r="AC780" s="7"/>
      <c r="AD780" s="7"/>
      <c r="AE780" s="7"/>
    </row>
    <row r="781">
      <c r="A781" s="7"/>
      <c r="B781" s="7"/>
      <c r="C781" s="7"/>
      <c r="D781" s="9"/>
      <c r="E781" s="10"/>
      <c r="F781" s="11"/>
      <c r="G781" s="11"/>
      <c r="J781" s="7"/>
      <c r="K781" s="8"/>
      <c r="L781" s="7"/>
      <c r="M781" s="7"/>
      <c r="N781" s="7"/>
      <c r="Q781" s="8"/>
      <c r="R781" s="7"/>
      <c r="S781" s="9"/>
      <c r="T781" s="7"/>
      <c r="U781" s="7"/>
      <c r="V781" s="7"/>
      <c r="AC781" s="7"/>
      <c r="AD781" s="7"/>
      <c r="AE781" s="7"/>
    </row>
    <row r="782">
      <c r="A782" s="7"/>
      <c r="B782" s="7"/>
      <c r="C782" s="7"/>
      <c r="D782" s="9"/>
      <c r="E782" s="10"/>
      <c r="F782" s="11"/>
      <c r="G782" s="11"/>
      <c r="J782" s="7"/>
      <c r="K782" s="8"/>
      <c r="L782" s="7"/>
      <c r="M782" s="7"/>
      <c r="N782" s="7"/>
      <c r="Q782" s="8"/>
      <c r="R782" s="7"/>
      <c r="S782" s="9"/>
      <c r="T782" s="7"/>
      <c r="U782" s="7"/>
      <c r="V782" s="7"/>
      <c r="AC782" s="7"/>
      <c r="AD782" s="7"/>
      <c r="AE782" s="7"/>
    </row>
    <row r="783">
      <c r="A783" s="7"/>
      <c r="B783" s="7"/>
      <c r="C783" s="7"/>
      <c r="D783" s="9"/>
      <c r="E783" s="10"/>
      <c r="F783" s="11"/>
      <c r="G783" s="11"/>
      <c r="J783" s="7"/>
      <c r="K783" s="8"/>
      <c r="L783" s="7"/>
      <c r="M783" s="7"/>
      <c r="N783" s="7"/>
      <c r="Q783" s="8"/>
      <c r="R783" s="7"/>
      <c r="S783" s="9"/>
      <c r="T783" s="7"/>
      <c r="U783" s="7"/>
      <c r="V783" s="7"/>
      <c r="AC783" s="7"/>
      <c r="AD783" s="7"/>
      <c r="AE783" s="7"/>
    </row>
    <row r="784">
      <c r="A784" s="7"/>
      <c r="B784" s="7"/>
      <c r="C784" s="7"/>
      <c r="D784" s="9"/>
      <c r="E784" s="10"/>
      <c r="F784" s="11"/>
      <c r="G784" s="11"/>
      <c r="J784" s="7"/>
      <c r="K784" s="8"/>
      <c r="L784" s="7"/>
      <c r="M784" s="7"/>
      <c r="N784" s="7"/>
      <c r="Q784" s="8"/>
      <c r="R784" s="7"/>
      <c r="S784" s="9"/>
      <c r="T784" s="7"/>
      <c r="U784" s="7"/>
      <c r="V784" s="7"/>
      <c r="AC784" s="7"/>
      <c r="AD784" s="7"/>
      <c r="AE784" s="7"/>
    </row>
    <row r="785">
      <c r="A785" s="7"/>
      <c r="B785" s="7"/>
      <c r="C785" s="7"/>
      <c r="D785" s="9"/>
      <c r="E785" s="10"/>
      <c r="F785" s="11"/>
      <c r="G785" s="11"/>
      <c r="J785" s="7"/>
      <c r="K785" s="8"/>
      <c r="L785" s="7"/>
      <c r="M785" s="7"/>
      <c r="N785" s="7"/>
      <c r="Q785" s="8"/>
      <c r="R785" s="7"/>
      <c r="S785" s="9"/>
      <c r="T785" s="7"/>
      <c r="U785" s="7"/>
      <c r="V785" s="7"/>
      <c r="AC785" s="7"/>
      <c r="AD785" s="7"/>
      <c r="AE785" s="7"/>
    </row>
    <row r="786">
      <c r="A786" s="7"/>
      <c r="B786" s="7"/>
      <c r="C786" s="7"/>
      <c r="D786" s="9"/>
      <c r="E786" s="10"/>
      <c r="F786" s="11"/>
      <c r="G786" s="11"/>
      <c r="J786" s="7"/>
      <c r="K786" s="8"/>
      <c r="L786" s="7"/>
      <c r="M786" s="7"/>
      <c r="N786" s="7"/>
      <c r="Q786" s="8"/>
      <c r="R786" s="7"/>
      <c r="S786" s="9"/>
      <c r="T786" s="7"/>
      <c r="U786" s="7"/>
      <c r="V786" s="7"/>
      <c r="AC786" s="7"/>
      <c r="AD786" s="7"/>
      <c r="AE786" s="7"/>
    </row>
    <row r="787">
      <c r="A787" s="7"/>
      <c r="B787" s="7"/>
      <c r="C787" s="7"/>
      <c r="D787" s="9"/>
      <c r="E787" s="10"/>
      <c r="F787" s="11"/>
      <c r="G787" s="11"/>
      <c r="J787" s="7"/>
      <c r="K787" s="8"/>
      <c r="L787" s="7"/>
      <c r="M787" s="7"/>
      <c r="N787" s="7"/>
      <c r="Q787" s="8"/>
      <c r="R787" s="7"/>
      <c r="S787" s="9"/>
      <c r="T787" s="7"/>
      <c r="U787" s="7"/>
      <c r="V787" s="7"/>
      <c r="AC787" s="7"/>
      <c r="AD787" s="7"/>
      <c r="AE787" s="7"/>
    </row>
    <row r="788">
      <c r="A788" s="7"/>
      <c r="B788" s="7"/>
      <c r="C788" s="7"/>
      <c r="D788" s="9"/>
      <c r="E788" s="10"/>
      <c r="F788" s="11"/>
      <c r="G788" s="11"/>
      <c r="J788" s="7"/>
      <c r="K788" s="8"/>
      <c r="L788" s="7"/>
      <c r="M788" s="7"/>
      <c r="N788" s="7"/>
      <c r="Q788" s="8"/>
      <c r="R788" s="7"/>
      <c r="S788" s="9"/>
      <c r="T788" s="7"/>
      <c r="U788" s="7"/>
      <c r="V788" s="7"/>
      <c r="AC788" s="7"/>
      <c r="AD788" s="7"/>
      <c r="AE788" s="7"/>
    </row>
    <row r="789">
      <c r="A789" s="7"/>
      <c r="B789" s="7"/>
      <c r="C789" s="7"/>
      <c r="D789" s="9"/>
      <c r="E789" s="10"/>
      <c r="F789" s="11"/>
      <c r="G789" s="11"/>
      <c r="J789" s="7"/>
      <c r="K789" s="8"/>
      <c r="L789" s="7"/>
      <c r="M789" s="7"/>
      <c r="N789" s="7"/>
      <c r="Q789" s="8"/>
      <c r="R789" s="7"/>
      <c r="S789" s="9"/>
      <c r="T789" s="7"/>
      <c r="U789" s="7"/>
      <c r="V789" s="7"/>
      <c r="AC789" s="7"/>
      <c r="AD789" s="7"/>
      <c r="AE789" s="7"/>
    </row>
    <row r="790">
      <c r="A790" s="7"/>
      <c r="B790" s="7"/>
      <c r="C790" s="7"/>
      <c r="D790" s="9"/>
      <c r="E790" s="10"/>
      <c r="F790" s="11"/>
      <c r="G790" s="11"/>
      <c r="J790" s="7"/>
      <c r="K790" s="8"/>
      <c r="L790" s="7"/>
      <c r="M790" s="7"/>
      <c r="N790" s="7"/>
      <c r="Q790" s="8"/>
      <c r="R790" s="7"/>
      <c r="S790" s="9"/>
      <c r="T790" s="7"/>
      <c r="U790" s="7"/>
      <c r="V790" s="7"/>
      <c r="AC790" s="7"/>
      <c r="AD790" s="7"/>
      <c r="AE790" s="7"/>
    </row>
    <row r="791">
      <c r="A791" s="7"/>
      <c r="B791" s="7"/>
      <c r="C791" s="7"/>
      <c r="D791" s="9"/>
      <c r="E791" s="10"/>
      <c r="F791" s="11"/>
      <c r="G791" s="11"/>
      <c r="J791" s="7"/>
      <c r="K791" s="8"/>
      <c r="L791" s="7"/>
      <c r="M791" s="7"/>
      <c r="N791" s="7"/>
      <c r="Q791" s="8"/>
      <c r="R791" s="7"/>
      <c r="S791" s="9"/>
      <c r="T791" s="7"/>
      <c r="U791" s="7"/>
      <c r="V791" s="7"/>
      <c r="AC791" s="7"/>
      <c r="AD791" s="7"/>
      <c r="AE791" s="7"/>
    </row>
    <row r="792">
      <c r="A792" s="7"/>
      <c r="B792" s="7"/>
      <c r="C792" s="7"/>
      <c r="D792" s="9"/>
      <c r="E792" s="10"/>
      <c r="F792" s="11"/>
      <c r="G792" s="11"/>
      <c r="J792" s="7"/>
      <c r="K792" s="8"/>
      <c r="L792" s="7"/>
      <c r="M792" s="7"/>
      <c r="N792" s="7"/>
      <c r="Q792" s="8"/>
      <c r="R792" s="7"/>
      <c r="S792" s="9"/>
      <c r="T792" s="7"/>
      <c r="U792" s="7"/>
      <c r="V792" s="7"/>
      <c r="AC792" s="7"/>
      <c r="AD792" s="7"/>
      <c r="AE792" s="7"/>
    </row>
    <row r="793">
      <c r="A793" s="7"/>
      <c r="B793" s="7"/>
      <c r="C793" s="7"/>
      <c r="D793" s="9"/>
      <c r="E793" s="10"/>
      <c r="F793" s="11"/>
      <c r="G793" s="11"/>
      <c r="J793" s="7"/>
      <c r="K793" s="8"/>
      <c r="L793" s="7"/>
      <c r="M793" s="7"/>
      <c r="N793" s="7"/>
      <c r="Q793" s="8"/>
      <c r="R793" s="7"/>
      <c r="S793" s="9"/>
      <c r="T793" s="7"/>
      <c r="U793" s="7"/>
      <c r="V793" s="7"/>
      <c r="AC793" s="7"/>
      <c r="AD793" s="7"/>
      <c r="AE793" s="7"/>
    </row>
    <row r="794">
      <c r="A794" s="7"/>
      <c r="B794" s="7"/>
      <c r="C794" s="7"/>
      <c r="D794" s="9"/>
      <c r="E794" s="10"/>
      <c r="F794" s="11"/>
      <c r="G794" s="11"/>
      <c r="J794" s="7"/>
      <c r="K794" s="8"/>
      <c r="L794" s="7"/>
      <c r="M794" s="7"/>
      <c r="N794" s="7"/>
      <c r="Q794" s="8"/>
      <c r="R794" s="7"/>
      <c r="S794" s="9"/>
      <c r="T794" s="7"/>
      <c r="U794" s="7"/>
      <c r="V794" s="7"/>
      <c r="AC794" s="7"/>
      <c r="AD794" s="7"/>
      <c r="AE794" s="7"/>
    </row>
    <row r="795">
      <c r="A795" s="7"/>
      <c r="B795" s="7"/>
      <c r="C795" s="7"/>
      <c r="D795" s="9"/>
      <c r="E795" s="10"/>
      <c r="F795" s="11"/>
      <c r="G795" s="11"/>
      <c r="J795" s="7"/>
      <c r="K795" s="8"/>
      <c r="L795" s="7"/>
      <c r="M795" s="7"/>
      <c r="N795" s="7"/>
      <c r="Q795" s="8"/>
      <c r="R795" s="7"/>
      <c r="S795" s="9"/>
      <c r="T795" s="7"/>
      <c r="U795" s="7"/>
      <c r="V795" s="7"/>
      <c r="AC795" s="7"/>
      <c r="AD795" s="7"/>
      <c r="AE795" s="7"/>
    </row>
    <row r="796">
      <c r="A796" s="7"/>
      <c r="B796" s="7"/>
      <c r="C796" s="7"/>
      <c r="D796" s="9"/>
      <c r="E796" s="10"/>
      <c r="F796" s="11"/>
      <c r="G796" s="11"/>
      <c r="J796" s="7"/>
      <c r="K796" s="8"/>
      <c r="L796" s="7"/>
      <c r="M796" s="7"/>
      <c r="N796" s="7"/>
      <c r="Q796" s="8"/>
      <c r="R796" s="7"/>
      <c r="S796" s="9"/>
      <c r="T796" s="7"/>
      <c r="U796" s="7"/>
      <c r="V796" s="7"/>
      <c r="AC796" s="7"/>
      <c r="AD796" s="7"/>
      <c r="AE796" s="7"/>
    </row>
    <row r="797">
      <c r="A797" s="7"/>
      <c r="B797" s="7"/>
      <c r="C797" s="7"/>
      <c r="D797" s="9"/>
      <c r="E797" s="10"/>
      <c r="F797" s="11"/>
      <c r="G797" s="11"/>
      <c r="J797" s="7"/>
      <c r="K797" s="8"/>
      <c r="L797" s="7"/>
      <c r="M797" s="7"/>
      <c r="N797" s="7"/>
      <c r="Q797" s="8"/>
      <c r="R797" s="7"/>
      <c r="S797" s="9"/>
      <c r="T797" s="7"/>
      <c r="U797" s="7"/>
      <c r="V797" s="7"/>
      <c r="AC797" s="7"/>
      <c r="AD797" s="7"/>
      <c r="AE797" s="7"/>
    </row>
    <row r="798">
      <c r="A798" s="7"/>
      <c r="B798" s="7"/>
      <c r="C798" s="7"/>
      <c r="D798" s="9"/>
      <c r="E798" s="10"/>
      <c r="F798" s="11"/>
      <c r="G798" s="11"/>
      <c r="J798" s="7"/>
      <c r="K798" s="8"/>
      <c r="L798" s="7"/>
      <c r="M798" s="7"/>
      <c r="N798" s="7"/>
      <c r="Q798" s="8"/>
      <c r="R798" s="7"/>
      <c r="S798" s="9"/>
      <c r="T798" s="7"/>
      <c r="U798" s="7"/>
      <c r="V798" s="7"/>
      <c r="AC798" s="7"/>
      <c r="AD798" s="7"/>
      <c r="AE798" s="7"/>
    </row>
    <row r="799">
      <c r="A799" s="7"/>
      <c r="B799" s="7"/>
      <c r="C799" s="7"/>
      <c r="D799" s="9"/>
      <c r="E799" s="10"/>
      <c r="F799" s="11"/>
      <c r="G799" s="11"/>
      <c r="J799" s="7"/>
      <c r="K799" s="8"/>
      <c r="L799" s="7"/>
      <c r="M799" s="7"/>
      <c r="N799" s="7"/>
      <c r="Q799" s="8"/>
      <c r="R799" s="7"/>
      <c r="S799" s="9"/>
      <c r="T799" s="7"/>
      <c r="U799" s="7"/>
      <c r="V799" s="7"/>
      <c r="AC799" s="7"/>
      <c r="AD799" s="7"/>
      <c r="AE799" s="7"/>
    </row>
    <row r="800">
      <c r="A800" s="7"/>
      <c r="B800" s="7"/>
      <c r="C800" s="7"/>
      <c r="D800" s="9"/>
      <c r="E800" s="10"/>
      <c r="F800" s="11"/>
      <c r="G800" s="11"/>
      <c r="J800" s="7"/>
      <c r="K800" s="8"/>
      <c r="L800" s="7"/>
      <c r="M800" s="7"/>
      <c r="N800" s="7"/>
      <c r="Q800" s="8"/>
      <c r="R800" s="7"/>
      <c r="S800" s="9"/>
      <c r="T800" s="7"/>
      <c r="U800" s="7"/>
      <c r="V800" s="7"/>
      <c r="AC800" s="7"/>
      <c r="AD800" s="7"/>
      <c r="AE800" s="7"/>
    </row>
    <row r="801">
      <c r="A801" s="7"/>
      <c r="B801" s="7"/>
      <c r="C801" s="7"/>
      <c r="D801" s="9"/>
      <c r="E801" s="10"/>
      <c r="F801" s="11"/>
      <c r="G801" s="11"/>
      <c r="J801" s="7"/>
      <c r="K801" s="8"/>
      <c r="L801" s="7"/>
      <c r="M801" s="7"/>
      <c r="N801" s="7"/>
      <c r="Q801" s="8"/>
      <c r="R801" s="7"/>
      <c r="S801" s="9"/>
      <c r="T801" s="7"/>
      <c r="U801" s="7"/>
      <c r="V801" s="7"/>
      <c r="AC801" s="7"/>
      <c r="AD801" s="7"/>
      <c r="AE801" s="7"/>
    </row>
    <row r="802">
      <c r="A802" s="7"/>
      <c r="B802" s="7"/>
      <c r="C802" s="7"/>
      <c r="D802" s="9"/>
      <c r="E802" s="10"/>
      <c r="F802" s="11"/>
      <c r="G802" s="11"/>
      <c r="J802" s="7"/>
      <c r="K802" s="8"/>
      <c r="L802" s="7"/>
      <c r="M802" s="7"/>
      <c r="N802" s="7"/>
      <c r="Q802" s="8"/>
      <c r="R802" s="7"/>
      <c r="S802" s="9"/>
      <c r="T802" s="7"/>
      <c r="U802" s="7"/>
      <c r="V802" s="7"/>
      <c r="AC802" s="7"/>
      <c r="AD802" s="7"/>
      <c r="AE802" s="7"/>
    </row>
    <row r="803">
      <c r="A803" s="7"/>
      <c r="B803" s="7"/>
      <c r="C803" s="7"/>
      <c r="D803" s="9"/>
      <c r="E803" s="10"/>
      <c r="F803" s="11"/>
      <c r="G803" s="11"/>
      <c r="J803" s="7"/>
      <c r="K803" s="8"/>
      <c r="L803" s="7"/>
      <c r="M803" s="7"/>
      <c r="N803" s="7"/>
      <c r="Q803" s="8"/>
      <c r="R803" s="7"/>
      <c r="S803" s="9"/>
      <c r="T803" s="7"/>
      <c r="U803" s="7"/>
      <c r="V803" s="7"/>
      <c r="AC803" s="7"/>
      <c r="AD803" s="7"/>
      <c r="AE803" s="7"/>
    </row>
    <row r="804">
      <c r="A804" s="7"/>
      <c r="B804" s="7"/>
      <c r="C804" s="7"/>
      <c r="D804" s="9"/>
      <c r="E804" s="10"/>
      <c r="F804" s="11"/>
      <c r="G804" s="11"/>
      <c r="J804" s="7"/>
      <c r="K804" s="8"/>
      <c r="L804" s="7"/>
      <c r="M804" s="7"/>
      <c r="N804" s="7"/>
      <c r="Q804" s="8"/>
      <c r="R804" s="7"/>
      <c r="S804" s="9"/>
      <c r="T804" s="7"/>
      <c r="U804" s="7"/>
      <c r="V804" s="7"/>
      <c r="AC804" s="7"/>
      <c r="AD804" s="7"/>
      <c r="AE804" s="7"/>
    </row>
    <row r="805">
      <c r="A805" s="7"/>
      <c r="B805" s="7"/>
      <c r="C805" s="7"/>
      <c r="D805" s="9"/>
      <c r="E805" s="10"/>
      <c r="F805" s="11"/>
      <c r="G805" s="11"/>
      <c r="J805" s="7"/>
      <c r="K805" s="8"/>
      <c r="L805" s="7"/>
      <c r="M805" s="7"/>
      <c r="N805" s="7"/>
      <c r="Q805" s="8"/>
      <c r="R805" s="7"/>
      <c r="S805" s="9"/>
      <c r="T805" s="7"/>
      <c r="U805" s="7"/>
      <c r="V805" s="7"/>
      <c r="AC805" s="7"/>
      <c r="AD805" s="7"/>
      <c r="AE805" s="7"/>
    </row>
    <row r="806">
      <c r="A806" s="7"/>
      <c r="B806" s="7"/>
      <c r="C806" s="7"/>
      <c r="D806" s="9"/>
      <c r="E806" s="10"/>
      <c r="F806" s="11"/>
      <c r="G806" s="11"/>
      <c r="J806" s="7"/>
      <c r="K806" s="8"/>
      <c r="L806" s="7"/>
      <c r="M806" s="7"/>
      <c r="N806" s="7"/>
      <c r="Q806" s="8"/>
      <c r="R806" s="7"/>
      <c r="S806" s="9"/>
      <c r="T806" s="7"/>
      <c r="U806" s="7"/>
      <c r="V806" s="7"/>
      <c r="AC806" s="7"/>
      <c r="AD806" s="7"/>
      <c r="AE806" s="7"/>
    </row>
    <row r="807">
      <c r="A807" s="7"/>
      <c r="B807" s="7"/>
      <c r="C807" s="7"/>
      <c r="D807" s="9"/>
      <c r="E807" s="10"/>
      <c r="F807" s="11"/>
      <c r="G807" s="11"/>
      <c r="J807" s="7"/>
      <c r="K807" s="8"/>
      <c r="L807" s="7"/>
      <c r="M807" s="7"/>
      <c r="N807" s="7"/>
      <c r="Q807" s="8"/>
      <c r="R807" s="7"/>
      <c r="S807" s="9"/>
      <c r="T807" s="7"/>
      <c r="U807" s="7"/>
      <c r="V807" s="7"/>
      <c r="AC807" s="7"/>
      <c r="AD807" s="7"/>
      <c r="AE807" s="7"/>
    </row>
    <row r="808">
      <c r="A808" s="7"/>
      <c r="B808" s="7"/>
      <c r="C808" s="7"/>
      <c r="D808" s="9"/>
      <c r="E808" s="10"/>
      <c r="F808" s="11"/>
      <c r="G808" s="11"/>
      <c r="J808" s="7"/>
      <c r="K808" s="8"/>
      <c r="L808" s="7"/>
      <c r="M808" s="7"/>
      <c r="N808" s="7"/>
      <c r="Q808" s="8"/>
      <c r="R808" s="7"/>
      <c r="S808" s="9"/>
      <c r="T808" s="7"/>
      <c r="U808" s="7"/>
      <c r="V808" s="7"/>
      <c r="AC808" s="7"/>
      <c r="AD808" s="7"/>
      <c r="AE808" s="7"/>
    </row>
    <row r="809">
      <c r="A809" s="7"/>
      <c r="B809" s="7"/>
      <c r="C809" s="7"/>
      <c r="D809" s="9"/>
      <c r="E809" s="10"/>
      <c r="F809" s="11"/>
      <c r="G809" s="11"/>
      <c r="J809" s="7"/>
      <c r="K809" s="8"/>
      <c r="L809" s="7"/>
      <c r="M809" s="7"/>
      <c r="N809" s="7"/>
      <c r="Q809" s="8"/>
      <c r="R809" s="7"/>
      <c r="S809" s="9"/>
      <c r="T809" s="7"/>
      <c r="U809" s="7"/>
      <c r="V809" s="7"/>
      <c r="AC809" s="7"/>
      <c r="AD809" s="7"/>
      <c r="AE809" s="7"/>
    </row>
    <row r="810">
      <c r="A810" s="7"/>
      <c r="B810" s="7"/>
      <c r="C810" s="7"/>
      <c r="D810" s="9"/>
      <c r="E810" s="10"/>
      <c r="F810" s="11"/>
      <c r="G810" s="11"/>
      <c r="J810" s="7"/>
      <c r="K810" s="8"/>
      <c r="L810" s="7"/>
      <c r="M810" s="7"/>
      <c r="N810" s="7"/>
      <c r="Q810" s="8"/>
      <c r="R810" s="7"/>
      <c r="S810" s="9"/>
      <c r="T810" s="7"/>
      <c r="U810" s="7"/>
      <c r="V810" s="7"/>
      <c r="AC810" s="7"/>
      <c r="AD810" s="7"/>
      <c r="AE810" s="7"/>
    </row>
    <row r="811">
      <c r="A811" s="7"/>
      <c r="B811" s="7"/>
      <c r="C811" s="7"/>
      <c r="D811" s="9"/>
      <c r="E811" s="10"/>
      <c r="F811" s="11"/>
      <c r="G811" s="11"/>
      <c r="J811" s="7"/>
      <c r="K811" s="8"/>
      <c r="L811" s="7"/>
      <c r="M811" s="7"/>
      <c r="N811" s="7"/>
      <c r="Q811" s="8"/>
      <c r="R811" s="7"/>
      <c r="S811" s="9"/>
      <c r="T811" s="7"/>
      <c r="U811" s="7"/>
      <c r="V811" s="7"/>
      <c r="AC811" s="7"/>
      <c r="AD811" s="7"/>
      <c r="AE811" s="7"/>
    </row>
    <row r="812">
      <c r="A812" s="7"/>
      <c r="B812" s="7"/>
      <c r="C812" s="7"/>
      <c r="D812" s="9"/>
      <c r="E812" s="10"/>
      <c r="F812" s="11"/>
      <c r="G812" s="11"/>
      <c r="J812" s="7"/>
      <c r="K812" s="8"/>
      <c r="L812" s="7"/>
      <c r="M812" s="7"/>
      <c r="N812" s="7"/>
      <c r="Q812" s="8"/>
      <c r="R812" s="7"/>
      <c r="S812" s="9"/>
      <c r="T812" s="7"/>
      <c r="U812" s="7"/>
      <c r="V812" s="7"/>
      <c r="AC812" s="7"/>
      <c r="AD812" s="7"/>
      <c r="AE812" s="7"/>
    </row>
    <row r="813">
      <c r="A813" s="7"/>
      <c r="B813" s="7"/>
      <c r="C813" s="7"/>
      <c r="D813" s="9"/>
      <c r="E813" s="10"/>
      <c r="F813" s="11"/>
      <c r="G813" s="11"/>
      <c r="J813" s="7"/>
      <c r="K813" s="8"/>
      <c r="L813" s="7"/>
      <c r="M813" s="7"/>
      <c r="N813" s="7"/>
      <c r="Q813" s="8"/>
      <c r="R813" s="7"/>
      <c r="S813" s="9"/>
      <c r="T813" s="7"/>
      <c r="U813" s="7"/>
      <c r="V813" s="7"/>
      <c r="AC813" s="7"/>
      <c r="AD813" s="7"/>
      <c r="AE813" s="7"/>
    </row>
    <row r="814">
      <c r="A814" s="7"/>
      <c r="B814" s="7"/>
      <c r="C814" s="7"/>
      <c r="D814" s="9"/>
      <c r="E814" s="10"/>
      <c r="F814" s="11"/>
      <c r="G814" s="11"/>
      <c r="J814" s="7"/>
      <c r="K814" s="8"/>
      <c r="L814" s="7"/>
      <c r="M814" s="7"/>
      <c r="N814" s="7"/>
      <c r="Q814" s="8"/>
      <c r="R814" s="7"/>
      <c r="S814" s="9"/>
      <c r="T814" s="7"/>
      <c r="U814" s="7"/>
      <c r="V814" s="7"/>
      <c r="AC814" s="7"/>
      <c r="AD814" s="7"/>
      <c r="AE814" s="7"/>
    </row>
    <row r="815">
      <c r="A815" s="7"/>
      <c r="B815" s="7"/>
      <c r="C815" s="7"/>
      <c r="D815" s="9"/>
      <c r="E815" s="10"/>
      <c r="F815" s="11"/>
      <c r="G815" s="11"/>
      <c r="J815" s="7"/>
      <c r="K815" s="8"/>
      <c r="L815" s="7"/>
      <c r="M815" s="7"/>
      <c r="N815" s="7"/>
      <c r="Q815" s="8"/>
      <c r="R815" s="7"/>
      <c r="S815" s="9"/>
      <c r="T815" s="7"/>
      <c r="U815" s="7"/>
      <c r="V815" s="7"/>
      <c r="AC815" s="7"/>
      <c r="AD815" s="7"/>
      <c r="AE815" s="7"/>
    </row>
    <row r="816">
      <c r="A816" s="7"/>
      <c r="B816" s="7"/>
      <c r="C816" s="7"/>
      <c r="D816" s="9"/>
      <c r="E816" s="10"/>
      <c r="F816" s="11"/>
      <c r="G816" s="11"/>
      <c r="J816" s="7"/>
      <c r="K816" s="8"/>
      <c r="L816" s="7"/>
      <c r="M816" s="7"/>
      <c r="N816" s="7"/>
      <c r="Q816" s="8"/>
      <c r="R816" s="7"/>
      <c r="S816" s="9"/>
      <c r="T816" s="7"/>
      <c r="U816" s="7"/>
      <c r="V816" s="7"/>
      <c r="AC816" s="7"/>
      <c r="AD816" s="7"/>
      <c r="AE816" s="7"/>
    </row>
    <row r="817">
      <c r="A817" s="7"/>
      <c r="B817" s="7"/>
      <c r="C817" s="7"/>
      <c r="D817" s="9"/>
      <c r="E817" s="10"/>
      <c r="F817" s="11"/>
      <c r="G817" s="11"/>
      <c r="J817" s="7"/>
      <c r="K817" s="8"/>
      <c r="L817" s="7"/>
      <c r="M817" s="7"/>
      <c r="N817" s="7"/>
      <c r="Q817" s="8"/>
      <c r="R817" s="7"/>
      <c r="S817" s="9"/>
      <c r="T817" s="7"/>
      <c r="U817" s="7"/>
      <c r="V817" s="7"/>
      <c r="AC817" s="7"/>
      <c r="AD817" s="7"/>
      <c r="AE817" s="7"/>
    </row>
    <row r="818">
      <c r="A818" s="7"/>
      <c r="B818" s="7"/>
      <c r="C818" s="7"/>
      <c r="D818" s="9"/>
      <c r="E818" s="10"/>
      <c r="F818" s="11"/>
      <c r="G818" s="11"/>
      <c r="J818" s="7"/>
      <c r="K818" s="8"/>
      <c r="L818" s="7"/>
      <c r="M818" s="7"/>
      <c r="N818" s="7"/>
      <c r="Q818" s="8"/>
      <c r="R818" s="7"/>
      <c r="S818" s="9"/>
      <c r="T818" s="7"/>
      <c r="U818" s="7"/>
      <c r="V818" s="7"/>
      <c r="AC818" s="7"/>
      <c r="AD818" s="7"/>
      <c r="AE818" s="7"/>
    </row>
    <row r="819">
      <c r="A819" s="7"/>
      <c r="B819" s="7"/>
      <c r="C819" s="7"/>
      <c r="D819" s="9"/>
      <c r="E819" s="10"/>
      <c r="F819" s="11"/>
      <c r="G819" s="11"/>
      <c r="J819" s="7"/>
      <c r="K819" s="8"/>
      <c r="L819" s="7"/>
      <c r="M819" s="7"/>
      <c r="N819" s="7"/>
      <c r="Q819" s="8"/>
      <c r="R819" s="7"/>
      <c r="S819" s="9"/>
      <c r="T819" s="7"/>
      <c r="U819" s="7"/>
      <c r="V819" s="7"/>
      <c r="AC819" s="7"/>
      <c r="AD819" s="7"/>
      <c r="AE819" s="7"/>
    </row>
    <row r="820">
      <c r="A820" s="7"/>
      <c r="B820" s="7"/>
      <c r="C820" s="7"/>
      <c r="D820" s="9"/>
      <c r="E820" s="10"/>
      <c r="F820" s="11"/>
      <c r="G820" s="11"/>
      <c r="J820" s="7"/>
      <c r="K820" s="8"/>
      <c r="L820" s="7"/>
      <c r="M820" s="7"/>
      <c r="N820" s="7"/>
      <c r="Q820" s="8"/>
      <c r="R820" s="7"/>
      <c r="S820" s="9"/>
      <c r="T820" s="7"/>
      <c r="U820" s="7"/>
      <c r="V820" s="7"/>
      <c r="AC820" s="7"/>
      <c r="AD820" s="7"/>
      <c r="AE820" s="7"/>
    </row>
    <row r="821">
      <c r="A821" s="7"/>
      <c r="B821" s="7"/>
      <c r="C821" s="7"/>
      <c r="D821" s="9"/>
      <c r="E821" s="10"/>
      <c r="F821" s="11"/>
      <c r="G821" s="11"/>
      <c r="J821" s="7"/>
      <c r="K821" s="8"/>
      <c r="L821" s="7"/>
      <c r="M821" s="7"/>
      <c r="N821" s="7"/>
      <c r="Q821" s="8"/>
      <c r="R821" s="7"/>
      <c r="S821" s="9"/>
      <c r="T821" s="7"/>
      <c r="U821" s="7"/>
      <c r="V821" s="7"/>
      <c r="AC821" s="7"/>
      <c r="AD821" s="7"/>
      <c r="AE821" s="7"/>
    </row>
    <row r="822">
      <c r="A822" s="7"/>
      <c r="B822" s="7"/>
      <c r="C822" s="7"/>
      <c r="D822" s="9"/>
      <c r="E822" s="10"/>
      <c r="F822" s="11"/>
      <c r="G822" s="11"/>
      <c r="J822" s="7"/>
      <c r="K822" s="8"/>
      <c r="L822" s="7"/>
      <c r="M822" s="7"/>
      <c r="N822" s="7"/>
      <c r="Q822" s="8"/>
      <c r="R822" s="7"/>
      <c r="S822" s="9"/>
      <c r="T822" s="7"/>
      <c r="U822" s="7"/>
      <c r="V822" s="7"/>
      <c r="AC822" s="7"/>
      <c r="AD822" s="7"/>
      <c r="AE822" s="7"/>
    </row>
    <row r="823">
      <c r="A823" s="7"/>
      <c r="B823" s="7"/>
      <c r="C823" s="7"/>
      <c r="D823" s="9"/>
      <c r="E823" s="10"/>
      <c r="F823" s="11"/>
      <c r="G823" s="11"/>
      <c r="J823" s="7"/>
      <c r="K823" s="8"/>
      <c r="L823" s="7"/>
      <c r="M823" s="7"/>
      <c r="N823" s="7"/>
      <c r="Q823" s="8"/>
      <c r="R823" s="7"/>
      <c r="S823" s="9"/>
      <c r="T823" s="7"/>
      <c r="U823" s="7"/>
      <c r="V823" s="7"/>
      <c r="AC823" s="7"/>
      <c r="AD823" s="7"/>
      <c r="AE823" s="7"/>
    </row>
    <row r="824">
      <c r="A824" s="7"/>
      <c r="B824" s="7"/>
      <c r="C824" s="7"/>
      <c r="D824" s="9"/>
      <c r="E824" s="10"/>
      <c r="F824" s="11"/>
      <c r="G824" s="11"/>
      <c r="J824" s="7"/>
      <c r="K824" s="8"/>
      <c r="L824" s="7"/>
      <c r="M824" s="7"/>
      <c r="N824" s="7"/>
      <c r="Q824" s="8"/>
      <c r="R824" s="7"/>
      <c r="S824" s="9"/>
      <c r="T824" s="7"/>
      <c r="U824" s="7"/>
      <c r="V824" s="7"/>
      <c r="AC824" s="7"/>
      <c r="AD824" s="7"/>
      <c r="AE824" s="7"/>
    </row>
    <row r="825">
      <c r="A825" s="7"/>
      <c r="B825" s="7"/>
      <c r="C825" s="7"/>
      <c r="D825" s="9"/>
      <c r="E825" s="10"/>
      <c r="F825" s="11"/>
      <c r="G825" s="11"/>
      <c r="J825" s="7"/>
      <c r="K825" s="8"/>
      <c r="L825" s="7"/>
      <c r="M825" s="7"/>
      <c r="N825" s="7"/>
      <c r="Q825" s="8"/>
      <c r="R825" s="7"/>
      <c r="S825" s="9"/>
      <c r="T825" s="7"/>
      <c r="U825" s="7"/>
      <c r="V825" s="7"/>
      <c r="AC825" s="7"/>
      <c r="AD825" s="7"/>
      <c r="AE825" s="7"/>
    </row>
    <row r="826">
      <c r="A826" s="7"/>
      <c r="B826" s="7"/>
      <c r="C826" s="7"/>
      <c r="D826" s="9"/>
      <c r="E826" s="10"/>
      <c r="F826" s="11"/>
      <c r="G826" s="11"/>
      <c r="J826" s="7"/>
      <c r="K826" s="8"/>
      <c r="L826" s="7"/>
      <c r="M826" s="7"/>
      <c r="N826" s="7"/>
      <c r="Q826" s="8"/>
      <c r="R826" s="7"/>
      <c r="S826" s="9"/>
      <c r="T826" s="7"/>
      <c r="U826" s="7"/>
      <c r="V826" s="7"/>
      <c r="AC826" s="7"/>
      <c r="AD826" s="7"/>
      <c r="AE826" s="7"/>
    </row>
    <row r="827">
      <c r="A827" s="7"/>
      <c r="B827" s="7"/>
      <c r="C827" s="7"/>
      <c r="D827" s="9"/>
      <c r="E827" s="10"/>
      <c r="F827" s="11"/>
      <c r="G827" s="11"/>
      <c r="J827" s="7"/>
      <c r="K827" s="8"/>
      <c r="L827" s="7"/>
      <c r="M827" s="7"/>
      <c r="N827" s="7"/>
      <c r="Q827" s="8"/>
      <c r="R827" s="7"/>
      <c r="S827" s="9"/>
      <c r="T827" s="7"/>
      <c r="U827" s="7"/>
      <c r="V827" s="7"/>
      <c r="AC827" s="7"/>
      <c r="AD827" s="7"/>
      <c r="AE827" s="7"/>
    </row>
    <row r="828">
      <c r="A828" s="7"/>
      <c r="B828" s="7"/>
      <c r="C828" s="7"/>
      <c r="D828" s="9"/>
      <c r="E828" s="10"/>
      <c r="F828" s="11"/>
      <c r="G828" s="11"/>
      <c r="J828" s="7"/>
      <c r="K828" s="8"/>
      <c r="L828" s="7"/>
      <c r="M828" s="7"/>
      <c r="N828" s="7"/>
      <c r="Q828" s="8"/>
      <c r="R828" s="7"/>
      <c r="S828" s="9"/>
      <c r="T828" s="7"/>
      <c r="U828" s="7"/>
      <c r="V828" s="7"/>
      <c r="AC828" s="7"/>
      <c r="AD828" s="7"/>
      <c r="AE828" s="7"/>
    </row>
    <row r="829">
      <c r="A829" s="7"/>
      <c r="B829" s="7"/>
      <c r="C829" s="7"/>
      <c r="D829" s="9"/>
      <c r="E829" s="10"/>
      <c r="F829" s="11"/>
      <c r="G829" s="11"/>
      <c r="J829" s="7"/>
      <c r="K829" s="8"/>
      <c r="L829" s="7"/>
      <c r="M829" s="7"/>
      <c r="N829" s="7"/>
      <c r="Q829" s="8"/>
      <c r="R829" s="7"/>
      <c r="S829" s="9"/>
      <c r="T829" s="7"/>
      <c r="U829" s="7"/>
      <c r="V829" s="7"/>
      <c r="AC829" s="7"/>
      <c r="AD829" s="7"/>
      <c r="AE829" s="7"/>
    </row>
    <row r="830">
      <c r="A830" s="7"/>
      <c r="B830" s="7"/>
      <c r="C830" s="7"/>
      <c r="D830" s="9"/>
      <c r="E830" s="10"/>
      <c r="F830" s="11"/>
      <c r="G830" s="11"/>
      <c r="J830" s="7"/>
      <c r="K830" s="8"/>
      <c r="L830" s="7"/>
      <c r="M830" s="7"/>
      <c r="N830" s="7"/>
      <c r="Q830" s="8"/>
      <c r="R830" s="7"/>
      <c r="S830" s="9"/>
      <c r="T830" s="7"/>
      <c r="U830" s="7"/>
      <c r="V830" s="7"/>
      <c r="AC830" s="7"/>
      <c r="AD830" s="7"/>
      <c r="AE830" s="7"/>
    </row>
    <row r="831">
      <c r="A831" s="7"/>
      <c r="B831" s="7"/>
      <c r="C831" s="7"/>
      <c r="D831" s="9"/>
      <c r="E831" s="10"/>
      <c r="F831" s="11"/>
      <c r="G831" s="11"/>
      <c r="J831" s="7"/>
      <c r="K831" s="8"/>
      <c r="L831" s="7"/>
      <c r="M831" s="7"/>
      <c r="N831" s="7"/>
      <c r="Q831" s="8"/>
      <c r="R831" s="7"/>
      <c r="S831" s="9"/>
      <c r="T831" s="7"/>
      <c r="U831" s="7"/>
      <c r="V831" s="7"/>
      <c r="AC831" s="7"/>
      <c r="AD831" s="7"/>
      <c r="AE831" s="7"/>
    </row>
    <row r="832">
      <c r="A832" s="7"/>
      <c r="B832" s="7"/>
      <c r="C832" s="7"/>
      <c r="D832" s="9"/>
      <c r="E832" s="10"/>
      <c r="F832" s="11"/>
      <c r="G832" s="11"/>
      <c r="J832" s="7"/>
      <c r="K832" s="8"/>
      <c r="L832" s="7"/>
      <c r="M832" s="7"/>
      <c r="N832" s="7"/>
      <c r="Q832" s="8"/>
      <c r="R832" s="7"/>
      <c r="S832" s="9"/>
      <c r="T832" s="7"/>
      <c r="U832" s="7"/>
      <c r="V832" s="7"/>
      <c r="AC832" s="7"/>
      <c r="AD832" s="7"/>
      <c r="AE832" s="7"/>
    </row>
    <row r="833">
      <c r="A833" s="7"/>
      <c r="B833" s="7"/>
      <c r="C833" s="7"/>
      <c r="D833" s="9"/>
      <c r="E833" s="10"/>
      <c r="F833" s="11"/>
      <c r="G833" s="11"/>
      <c r="J833" s="7"/>
      <c r="K833" s="8"/>
      <c r="L833" s="7"/>
      <c r="M833" s="7"/>
      <c r="N833" s="7"/>
      <c r="Q833" s="8"/>
      <c r="R833" s="7"/>
      <c r="S833" s="9"/>
      <c r="T833" s="7"/>
      <c r="U833" s="7"/>
      <c r="V833" s="7"/>
      <c r="AC833" s="7"/>
      <c r="AD833" s="7"/>
      <c r="AE833" s="7"/>
    </row>
    <row r="834">
      <c r="A834" s="7"/>
      <c r="B834" s="7"/>
      <c r="C834" s="7"/>
      <c r="D834" s="9"/>
      <c r="E834" s="10"/>
      <c r="F834" s="11"/>
      <c r="G834" s="11"/>
      <c r="J834" s="7"/>
      <c r="K834" s="8"/>
      <c r="L834" s="7"/>
      <c r="M834" s="7"/>
      <c r="N834" s="7"/>
      <c r="Q834" s="8"/>
      <c r="R834" s="7"/>
      <c r="S834" s="9"/>
      <c r="T834" s="7"/>
      <c r="U834" s="7"/>
      <c r="V834" s="7"/>
      <c r="AC834" s="7"/>
      <c r="AD834" s="7"/>
      <c r="AE834" s="7"/>
    </row>
    <row r="835">
      <c r="A835" s="7"/>
      <c r="B835" s="7"/>
      <c r="C835" s="7"/>
      <c r="D835" s="9"/>
      <c r="E835" s="10"/>
      <c r="F835" s="11"/>
      <c r="G835" s="11"/>
      <c r="J835" s="7"/>
      <c r="K835" s="8"/>
      <c r="L835" s="7"/>
      <c r="M835" s="7"/>
      <c r="N835" s="7"/>
      <c r="Q835" s="8"/>
      <c r="R835" s="7"/>
      <c r="S835" s="9"/>
      <c r="T835" s="7"/>
      <c r="U835" s="7"/>
      <c r="V835" s="7"/>
      <c r="AC835" s="7"/>
      <c r="AD835" s="7"/>
      <c r="AE835" s="7"/>
    </row>
    <row r="836">
      <c r="A836" s="7"/>
      <c r="B836" s="7"/>
      <c r="C836" s="7"/>
      <c r="D836" s="9"/>
      <c r="E836" s="10"/>
      <c r="F836" s="11"/>
      <c r="G836" s="11"/>
      <c r="J836" s="7"/>
      <c r="K836" s="8"/>
      <c r="L836" s="7"/>
      <c r="M836" s="7"/>
      <c r="N836" s="7"/>
      <c r="Q836" s="8"/>
      <c r="R836" s="7"/>
      <c r="S836" s="9"/>
      <c r="T836" s="7"/>
      <c r="U836" s="7"/>
      <c r="V836" s="7"/>
      <c r="AC836" s="7"/>
      <c r="AD836" s="7"/>
      <c r="AE836" s="7"/>
    </row>
    <row r="837">
      <c r="A837" s="7"/>
      <c r="B837" s="7"/>
      <c r="C837" s="7"/>
      <c r="D837" s="9"/>
      <c r="E837" s="10"/>
      <c r="F837" s="11"/>
      <c r="G837" s="11"/>
      <c r="J837" s="7"/>
      <c r="K837" s="8"/>
      <c r="L837" s="7"/>
      <c r="M837" s="7"/>
      <c r="N837" s="7"/>
      <c r="Q837" s="8"/>
      <c r="R837" s="7"/>
      <c r="S837" s="9"/>
      <c r="T837" s="7"/>
      <c r="U837" s="7"/>
      <c r="V837" s="7"/>
      <c r="AC837" s="7"/>
      <c r="AD837" s="7"/>
      <c r="AE837" s="7"/>
    </row>
    <row r="838">
      <c r="A838" s="7"/>
      <c r="B838" s="7"/>
      <c r="C838" s="7"/>
      <c r="D838" s="9"/>
      <c r="E838" s="10"/>
      <c r="F838" s="11"/>
      <c r="G838" s="11"/>
      <c r="J838" s="7"/>
      <c r="K838" s="8"/>
      <c r="L838" s="7"/>
      <c r="M838" s="7"/>
      <c r="N838" s="7"/>
      <c r="Q838" s="8"/>
      <c r="R838" s="7"/>
      <c r="S838" s="9"/>
      <c r="T838" s="7"/>
      <c r="U838" s="7"/>
      <c r="V838" s="7"/>
      <c r="AC838" s="7"/>
      <c r="AD838" s="7"/>
      <c r="AE838" s="7"/>
    </row>
    <row r="839">
      <c r="A839" s="7"/>
      <c r="B839" s="7"/>
      <c r="C839" s="7"/>
      <c r="D839" s="9"/>
      <c r="E839" s="10"/>
      <c r="F839" s="11"/>
      <c r="G839" s="11"/>
      <c r="J839" s="7"/>
      <c r="K839" s="8"/>
      <c r="L839" s="7"/>
      <c r="M839" s="7"/>
      <c r="N839" s="7"/>
      <c r="Q839" s="8"/>
      <c r="R839" s="7"/>
      <c r="S839" s="9"/>
      <c r="T839" s="7"/>
      <c r="U839" s="7"/>
      <c r="V839" s="7"/>
      <c r="AC839" s="7"/>
      <c r="AD839" s="7"/>
      <c r="AE839" s="7"/>
    </row>
    <row r="840">
      <c r="A840" s="7"/>
      <c r="B840" s="7"/>
      <c r="C840" s="7"/>
      <c r="D840" s="9"/>
      <c r="E840" s="10"/>
      <c r="F840" s="11"/>
      <c r="G840" s="11"/>
      <c r="J840" s="7"/>
      <c r="K840" s="8"/>
      <c r="L840" s="7"/>
      <c r="M840" s="7"/>
      <c r="N840" s="7"/>
      <c r="Q840" s="8"/>
      <c r="R840" s="7"/>
      <c r="S840" s="9"/>
      <c r="T840" s="7"/>
      <c r="U840" s="7"/>
      <c r="V840" s="7"/>
      <c r="AC840" s="7"/>
      <c r="AD840" s="7"/>
      <c r="AE840" s="7"/>
    </row>
    <row r="841">
      <c r="A841" s="7"/>
      <c r="B841" s="7"/>
      <c r="C841" s="7"/>
      <c r="D841" s="9"/>
      <c r="E841" s="10"/>
      <c r="F841" s="11"/>
      <c r="G841" s="11"/>
      <c r="J841" s="7"/>
      <c r="K841" s="8"/>
      <c r="L841" s="7"/>
      <c r="M841" s="7"/>
      <c r="N841" s="7"/>
      <c r="Q841" s="8"/>
      <c r="R841" s="7"/>
      <c r="S841" s="9"/>
      <c r="T841" s="7"/>
      <c r="U841" s="7"/>
      <c r="V841" s="7"/>
      <c r="AC841" s="7"/>
      <c r="AD841" s="7"/>
      <c r="AE841" s="7"/>
    </row>
    <row r="842">
      <c r="A842" s="7"/>
      <c r="B842" s="7"/>
      <c r="C842" s="7"/>
      <c r="D842" s="9"/>
      <c r="E842" s="10"/>
      <c r="F842" s="11"/>
      <c r="G842" s="11"/>
      <c r="J842" s="7"/>
      <c r="K842" s="8"/>
      <c r="L842" s="7"/>
      <c r="M842" s="7"/>
      <c r="N842" s="7"/>
      <c r="Q842" s="8"/>
      <c r="R842" s="7"/>
      <c r="S842" s="9"/>
      <c r="T842" s="7"/>
      <c r="U842" s="7"/>
      <c r="V842" s="7"/>
      <c r="AC842" s="7"/>
      <c r="AD842" s="7"/>
      <c r="AE842" s="7"/>
    </row>
    <row r="843">
      <c r="A843" s="7"/>
      <c r="B843" s="7"/>
      <c r="C843" s="7"/>
      <c r="D843" s="9"/>
      <c r="E843" s="10"/>
      <c r="F843" s="11"/>
      <c r="G843" s="11"/>
      <c r="J843" s="7"/>
      <c r="K843" s="8"/>
      <c r="L843" s="7"/>
      <c r="M843" s="7"/>
      <c r="N843" s="7"/>
      <c r="Q843" s="8"/>
      <c r="R843" s="7"/>
      <c r="S843" s="9"/>
      <c r="T843" s="7"/>
      <c r="U843" s="7"/>
      <c r="V843" s="7"/>
      <c r="AC843" s="7"/>
      <c r="AD843" s="7"/>
      <c r="AE843" s="7"/>
    </row>
    <row r="844">
      <c r="A844" s="7"/>
      <c r="B844" s="7"/>
      <c r="C844" s="7"/>
      <c r="D844" s="9"/>
      <c r="E844" s="10"/>
      <c r="F844" s="11"/>
      <c r="G844" s="11"/>
      <c r="J844" s="7"/>
      <c r="K844" s="8"/>
      <c r="L844" s="7"/>
      <c r="M844" s="7"/>
      <c r="N844" s="7"/>
      <c r="Q844" s="8"/>
      <c r="R844" s="7"/>
      <c r="S844" s="9"/>
      <c r="T844" s="7"/>
      <c r="U844" s="7"/>
      <c r="V844" s="7"/>
      <c r="AC844" s="7"/>
      <c r="AD844" s="7"/>
      <c r="AE844" s="7"/>
    </row>
    <row r="845">
      <c r="A845" s="7"/>
      <c r="B845" s="7"/>
      <c r="C845" s="7"/>
      <c r="D845" s="9"/>
      <c r="E845" s="10"/>
      <c r="F845" s="11"/>
      <c r="G845" s="11"/>
      <c r="J845" s="7"/>
      <c r="K845" s="8"/>
      <c r="L845" s="7"/>
      <c r="M845" s="7"/>
      <c r="N845" s="7"/>
      <c r="Q845" s="8"/>
      <c r="R845" s="7"/>
      <c r="S845" s="9"/>
      <c r="T845" s="7"/>
      <c r="U845" s="7"/>
      <c r="V845" s="7"/>
      <c r="AC845" s="7"/>
      <c r="AD845" s="7"/>
      <c r="AE845" s="7"/>
    </row>
    <row r="846">
      <c r="A846" s="7"/>
      <c r="B846" s="7"/>
      <c r="C846" s="7"/>
      <c r="D846" s="9"/>
      <c r="E846" s="10"/>
      <c r="F846" s="11"/>
      <c r="G846" s="11"/>
      <c r="J846" s="7"/>
      <c r="K846" s="8"/>
      <c r="L846" s="7"/>
      <c r="M846" s="7"/>
      <c r="N846" s="7"/>
      <c r="Q846" s="8"/>
      <c r="R846" s="7"/>
      <c r="S846" s="9"/>
      <c r="T846" s="7"/>
      <c r="U846" s="7"/>
      <c r="V846" s="7"/>
      <c r="AC846" s="7"/>
      <c r="AD846" s="7"/>
      <c r="AE846" s="7"/>
    </row>
    <row r="847">
      <c r="A847" s="7"/>
      <c r="B847" s="7"/>
      <c r="C847" s="7"/>
      <c r="D847" s="9"/>
      <c r="E847" s="10"/>
      <c r="F847" s="11"/>
      <c r="G847" s="11"/>
      <c r="J847" s="7"/>
      <c r="K847" s="8"/>
      <c r="L847" s="7"/>
      <c r="M847" s="7"/>
      <c r="N847" s="7"/>
      <c r="Q847" s="8"/>
      <c r="R847" s="7"/>
      <c r="S847" s="9"/>
      <c r="T847" s="7"/>
      <c r="U847" s="7"/>
      <c r="V847" s="7"/>
      <c r="AC847" s="7"/>
      <c r="AD847" s="7"/>
      <c r="AE847" s="7"/>
    </row>
    <row r="848">
      <c r="A848" s="7"/>
      <c r="B848" s="7"/>
      <c r="C848" s="7"/>
      <c r="D848" s="9"/>
      <c r="E848" s="10"/>
      <c r="F848" s="11"/>
      <c r="G848" s="11"/>
      <c r="J848" s="7"/>
      <c r="K848" s="8"/>
      <c r="L848" s="7"/>
      <c r="M848" s="7"/>
      <c r="N848" s="7"/>
      <c r="Q848" s="8"/>
      <c r="R848" s="7"/>
      <c r="S848" s="9"/>
      <c r="T848" s="7"/>
      <c r="U848" s="7"/>
      <c r="V848" s="7"/>
      <c r="AC848" s="7"/>
      <c r="AD848" s="7"/>
      <c r="AE848" s="7"/>
    </row>
    <row r="849">
      <c r="A849" s="7"/>
      <c r="B849" s="7"/>
      <c r="C849" s="7"/>
      <c r="D849" s="9"/>
      <c r="E849" s="10"/>
      <c r="F849" s="11"/>
      <c r="G849" s="11"/>
      <c r="J849" s="7"/>
      <c r="K849" s="8"/>
      <c r="L849" s="7"/>
      <c r="M849" s="7"/>
      <c r="N849" s="7"/>
      <c r="Q849" s="8"/>
      <c r="R849" s="7"/>
      <c r="S849" s="9"/>
      <c r="T849" s="7"/>
      <c r="U849" s="7"/>
      <c r="V849" s="7"/>
      <c r="AC849" s="7"/>
      <c r="AD849" s="7"/>
      <c r="AE849" s="7"/>
    </row>
    <row r="850">
      <c r="A850" s="7"/>
      <c r="B850" s="7"/>
      <c r="C850" s="7"/>
      <c r="D850" s="9"/>
      <c r="E850" s="10"/>
      <c r="F850" s="11"/>
      <c r="G850" s="11"/>
      <c r="J850" s="7"/>
      <c r="K850" s="8"/>
      <c r="L850" s="7"/>
      <c r="M850" s="7"/>
      <c r="N850" s="7"/>
      <c r="Q850" s="8"/>
      <c r="R850" s="7"/>
      <c r="S850" s="9"/>
      <c r="T850" s="7"/>
      <c r="U850" s="7"/>
      <c r="V850" s="7"/>
      <c r="AC850" s="7"/>
      <c r="AD850" s="7"/>
      <c r="AE850" s="7"/>
    </row>
    <row r="851">
      <c r="A851" s="7"/>
      <c r="B851" s="7"/>
      <c r="C851" s="7"/>
      <c r="D851" s="9"/>
      <c r="E851" s="10"/>
      <c r="F851" s="11"/>
      <c r="G851" s="11"/>
      <c r="J851" s="7"/>
      <c r="K851" s="8"/>
      <c r="L851" s="7"/>
      <c r="M851" s="7"/>
      <c r="N851" s="7"/>
      <c r="Q851" s="8"/>
      <c r="R851" s="7"/>
      <c r="S851" s="9"/>
      <c r="T851" s="7"/>
      <c r="U851" s="7"/>
      <c r="V851" s="7"/>
      <c r="AC851" s="7"/>
      <c r="AD851" s="7"/>
      <c r="AE851" s="7"/>
    </row>
    <row r="852">
      <c r="A852" s="7"/>
      <c r="B852" s="7"/>
      <c r="C852" s="7"/>
      <c r="D852" s="9"/>
      <c r="E852" s="10"/>
      <c r="F852" s="11"/>
      <c r="G852" s="11"/>
      <c r="J852" s="7"/>
      <c r="K852" s="8"/>
      <c r="L852" s="7"/>
      <c r="M852" s="7"/>
      <c r="N852" s="7"/>
      <c r="Q852" s="8"/>
      <c r="R852" s="7"/>
      <c r="S852" s="9"/>
      <c r="T852" s="7"/>
      <c r="U852" s="7"/>
      <c r="V852" s="7"/>
      <c r="AC852" s="7"/>
      <c r="AD852" s="7"/>
      <c r="AE852" s="7"/>
    </row>
    <row r="853">
      <c r="A853" s="7"/>
      <c r="B853" s="7"/>
      <c r="C853" s="7"/>
      <c r="D853" s="9"/>
      <c r="E853" s="10"/>
      <c r="F853" s="11"/>
      <c r="G853" s="11"/>
      <c r="J853" s="7"/>
      <c r="K853" s="8"/>
      <c r="L853" s="7"/>
      <c r="M853" s="7"/>
      <c r="N853" s="7"/>
      <c r="Q853" s="8"/>
      <c r="R853" s="7"/>
      <c r="S853" s="9"/>
      <c r="T853" s="7"/>
      <c r="U853" s="7"/>
      <c r="V853" s="7"/>
      <c r="AC853" s="7"/>
      <c r="AD853" s="7"/>
      <c r="AE853" s="7"/>
    </row>
    <row r="854">
      <c r="A854" s="7"/>
      <c r="B854" s="7"/>
      <c r="C854" s="7"/>
      <c r="D854" s="9"/>
      <c r="E854" s="10"/>
      <c r="F854" s="11"/>
      <c r="G854" s="11"/>
      <c r="J854" s="7"/>
      <c r="K854" s="8"/>
      <c r="L854" s="7"/>
      <c r="M854" s="7"/>
      <c r="N854" s="7"/>
      <c r="Q854" s="8"/>
      <c r="R854" s="7"/>
      <c r="S854" s="9"/>
      <c r="T854" s="7"/>
      <c r="U854" s="7"/>
      <c r="V854" s="7"/>
      <c r="AC854" s="7"/>
      <c r="AD854" s="7"/>
      <c r="AE854" s="7"/>
    </row>
    <row r="855">
      <c r="A855" s="7"/>
      <c r="B855" s="7"/>
      <c r="C855" s="7"/>
      <c r="D855" s="9"/>
      <c r="E855" s="10"/>
      <c r="F855" s="11"/>
      <c r="G855" s="11"/>
      <c r="J855" s="7"/>
      <c r="K855" s="8"/>
      <c r="L855" s="7"/>
      <c r="M855" s="7"/>
      <c r="N855" s="7"/>
      <c r="Q855" s="8"/>
      <c r="R855" s="7"/>
      <c r="S855" s="9"/>
      <c r="T855" s="7"/>
      <c r="U855" s="7"/>
      <c r="V855" s="7"/>
      <c r="AC855" s="7"/>
      <c r="AD855" s="7"/>
      <c r="AE855" s="7"/>
    </row>
    <row r="856">
      <c r="A856" s="7"/>
      <c r="B856" s="7"/>
      <c r="C856" s="7"/>
      <c r="D856" s="9"/>
      <c r="E856" s="10"/>
      <c r="F856" s="11"/>
      <c r="G856" s="11"/>
      <c r="J856" s="7"/>
      <c r="K856" s="8"/>
      <c r="L856" s="7"/>
      <c r="M856" s="7"/>
      <c r="N856" s="7"/>
      <c r="Q856" s="8"/>
      <c r="R856" s="7"/>
      <c r="S856" s="9"/>
      <c r="T856" s="7"/>
      <c r="U856" s="7"/>
      <c r="V856" s="7"/>
      <c r="AC856" s="7"/>
      <c r="AD856" s="7"/>
      <c r="AE856" s="7"/>
    </row>
    <row r="857">
      <c r="A857" s="7"/>
      <c r="B857" s="7"/>
      <c r="C857" s="7"/>
      <c r="D857" s="9"/>
      <c r="E857" s="10"/>
      <c r="F857" s="11"/>
      <c r="G857" s="11"/>
      <c r="J857" s="7"/>
      <c r="K857" s="8"/>
      <c r="L857" s="7"/>
      <c r="M857" s="7"/>
      <c r="N857" s="7"/>
      <c r="Q857" s="8"/>
      <c r="R857" s="7"/>
      <c r="S857" s="9"/>
      <c r="T857" s="7"/>
      <c r="U857" s="7"/>
      <c r="V857" s="7"/>
      <c r="AC857" s="7"/>
      <c r="AD857" s="7"/>
      <c r="AE857" s="7"/>
    </row>
    <row r="858">
      <c r="A858" s="7"/>
      <c r="B858" s="7"/>
      <c r="C858" s="7"/>
      <c r="D858" s="9"/>
      <c r="E858" s="10"/>
      <c r="F858" s="11"/>
      <c r="G858" s="11"/>
      <c r="J858" s="7"/>
      <c r="K858" s="8"/>
      <c r="L858" s="7"/>
      <c r="M858" s="7"/>
      <c r="N858" s="7"/>
      <c r="Q858" s="8"/>
      <c r="R858" s="7"/>
      <c r="S858" s="9"/>
      <c r="T858" s="7"/>
      <c r="U858" s="7"/>
      <c r="V858" s="7"/>
      <c r="AC858" s="7"/>
      <c r="AD858" s="7"/>
      <c r="AE858" s="7"/>
    </row>
    <row r="859">
      <c r="A859" s="7"/>
      <c r="B859" s="7"/>
      <c r="C859" s="7"/>
      <c r="D859" s="9"/>
      <c r="E859" s="10"/>
      <c r="F859" s="11"/>
      <c r="G859" s="11"/>
      <c r="J859" s="7"/>
      <c r="K859" s="8"/>
      <c r="L859" s="7"/>
      <c r="M859" s="7"/>
      <c r="N859" s="7"/>
      <c r="Q859" s="8"/>
      <c r="R859" s="7"/>
      <c r="S859" s="9"/>
      <c r="T859" s="7"/>
      <c r="U859" s="7"/>
      <c r="V859" s="7"/>
      <c r="AC859" s="7"/>
      <c r="AD859" s="7"/>
      <c r="AE859" s="7"/>
    </row>
    <row r="860">
      <c r="A860" s="7"/>
      <c r="B860" s="7"/>
      <c r="C860" s="7"/>
      <c r="D860" s="9"/>
      <c r="E860" s="10"/>
      <c r="F860" s="11"/>
      <c r="G860" s="11"/>
      <c r="J860" s="7"/>
      <c r="K860" s="8"/>
      <c r="L860" s="7"/>
      <c r="M860" s="7"/>
      <c r="N860" s="7"/>
      <c r="Q860" s="8"/>
      <c r="R860" s="7"/>
      <c r="S860" s="9"/>
      <c r="T860" s="7"/>
      <c r="U860" s="7"/>
      <c r="V860" s="7"/>
      <c r="AC860" s="7"/>
      <c r="AD860" s="7"/>
      <c r="AE860" s="7"/>
    </row>
    <row r="861">
      <c r="A861" s="7"/>
      <c r="B861" s="7"/>
      <c r="C861" s="7"/>
      <c r="D861" s="9"/>
      <c r="E861" s="10"/>
      <c r="F861" s="11"/>
      <c r="G861" s="11"/>
      <c r="J861" s="7"/>
      <c r="K861" s="8"/>
      <c r="L861" s="7"/>
      <c r="M861" s="7"/>
      <c r="N861" s="7"/>
      <c r="Q861" s="8"/>
      <c r="R861" s="7"/>
      <c r="S861" s="9"/>
      <c r="T861" s="7"/>
      <c r="U861" s="7"/>
      <c r="V861" s="7"/>
      <c r="AC861" s="7"/>
      <c r="AD861" s="7"/>
      <c r="AE861" s="7"/>
    </row>
    <row r="862">
      <c r="A862" s="7"/>
      <c r="B862" s="7"/>
      <c r="C862" s="7"/>
      <c r="D862" s="9"/>
      <c r="E862" s="10"/>
      <c r="F862" s="11"/>
      <c r="G862" s="11"/>
      <c r="J862" s="7"/>
      <c r="K862" s="8"/>
      <c r="L862" s="7"/>
      <c r="M862" s="7"/>
      <c r="N862" s="7"/>
      <c r="Q862" s="8"/>
      <c r="R862" s="7"/>
      <c r="S862" s="9"/>
      <c r="T862" s="7"/>
      <c r="U862" s="7"/>
      <c r="V862" s="7"/>
      <c r="AC862" s="7"/>
      <c r="AD862" s="7"/>
      <c r="AE862" s="7"/>
    </row>
    <row r="863">
      <c r="A863" s="7"/>
      <c r="B863" s="7"/>
      <c r="C863" s="7"/>
      <c r="D863" s="9"/>
      <c r="E863" s="10"/>
      <c r="F863" s="11"/>
      <c r="G863" s="11"/>
      <c r="J863" s="7"/>
      <c r="K863" s="8"/>
      <c r="L863" s="7"/>
      <c r="M863" s="7"/>
      <c r="N863" s="7"/>
      <c r="Q863" s="8"/>
      <c r="R863" s="7"/>
      <c r="S863" s="9"/>
      <c r="T863" s="7"/>
      <c r="U863" s="7"/>
      <c r="V863" s="7"/>
      <c r="AC863" s="7"/>
      <c r="AD863" s="7"/>
      <c r="AE863" s="7"/>
    </row>
    <row r="864">
      <c r="A864" s="7"/>
      <c r="B864" s="7"/>
      <c r="C864" s="7"/>
      <c r="D864" s="9"/>
      <c r="E864" s="10"/>
      <c r="F864" s="11"/>
      <c r="G864" s="11"/>
      <c r="J864" s="7"/>
      <c r="K864" s="8"/>
      <c r="L864" s="7"/>
      <c r="M864" s="7"/>
      <c r="N864" s="7"/>
      <c r="Q864" s="8"/>
      <c r="R864" s="7"/>
      <c r="S864" s="9"/>
      <c r="T864" s="7"/>
      <c r="U864" s="7"/>
      <c r="V864" s="7"/>
      <c r="AC864" s="7"/>
      <c r="AD864" s="7"/>
      <c r="AE864" s="7"/>
    </row>
    <row r="865">
      <c r="A865" s="7"/>
      <c r="B865" s="7"/>
      <c r="C865" s="7"/>
      <c r="D865" s="9"/>
      <c r="E865" s="10"/>
      <c r="F865" s="11"/>
      <c r="G865" s="11"/>
      <c r="J865" s="7"/>
      <c r="K865" s="8"/>
      <c r="L865" s="7"/>
      <c r="M865" s="7"/>
      <c r="N865" s="7"/>
      <c r="Q865" s="8"/>
      <c r="R865" s="7"/>
      <c r="S865" s="9"/>
      <c r="T865" s="7"/>
      <c r="U865" s="7"/>
      <c r="V865" s="7"/>
      <c r="AC865" s="7"/>
      <c r="AD865" s="7"/>
      <c r="AE865" s="7"/>
    </row>
    <row r="866">
      <c r="A866" s="7"/>
      <c r="B866" s="7"/>
      <c r="C866" s="7"/>
      <c r="D866" s="9"/>
      <c r="E866" s="10"/>
      <c r="F866" s="11"/>
      <c r="G866" s="11"/>
      <c r="J866" s="7"/>
      <c r="K866" s="8"/>
      <c r="L866" s="7"/>
      <c r="M866" s="7"/>
      <c r="N866" s="7"/>
      <c r="Q866" s="8"/>
      <c r="R866" s="7"/>
      <c r="S866" s="9"/>
      <c r="T866" s="7"/>
      <c r="U866" s="7"/>
      <c r="V866" s="7"/>
      <c r="AC866" s="7"/>
      <c r="AD866" s="7"/>
      <c r="AE866" s="7"/>
    </row>
    <row r="867">
      <c r="A867" s="7"/>
      <c r="B867" s="7"/>
      <c r="C867" s="7"/>
      <c r="D867" s="9"/>
      <c r="E867" s="10"/>
      <c r="F867" s="11"/>
      <c r="G867" s="11"/>
      <c r="J867" s="7"/>
      <c r="K867" s="8"/>
      <c r="L867" s="7"/>
      <c r="M867" s="7"/>
      <c r="N867" s="7"/>
      <c r="Q867" s="8"/>
      <c r="R867" s="7"/>
      <c r="S867" s="9"/>
      <c r="T867" s="7"/>
      <c r="U867" s="7"/>
      <c r="V867" s="7"/>
      <c r="AC867" s="7"/>
      <c r="AD867" s="7"/>
      <c r="AE867" s="7"/>
    </row>
    <row r="868">
      <c r="A868" s="7"/>
      <c r="B868" s="7"/>
      <c r="C868" s="7"/>
      <c r="D868" s="9"/>
      <c r="E868" s="10"/>
      <c r="F868" s="11"/>
      <c r="G868" s="11"/>
      <c r="J868" s="7"/>
      <c r="K868" s="8"/>
      <c r="L868" s="7"/>
      <c r="M868" s="7"/>
      <c r="N868" s="7"/>
      <c r="Q868" s="8"/>
      <c r="R868" s="7"/>
      <c r="S868" s="9"/>
      <c r="T868" s="7"/>
      <c r="U868" s="7"/>
      <c r="V868" s="7"/>
      <c r="AC868" s="7"/>
      <c r="AD868" s="7"/>
      <c r="AE868" s="7"/>
    </row>
    <row r="869">
      <c r="A869" s="7"/>
      <c r="B869" s="7"/>
      <c r="C869" s="7"/>
      <c r="D869" s="9"/>
      <c r="E869" s="10"/>
      <c r="F869" s="11"/>
      <c r="G869" s="11"/>
      <c r="J869" s="7"/>
      <c r="K869" s="8"/>
      <c r="L869" s="7"/>
      <c r="M869" s="7"/>
      <c r="N869" s="7"/>
      <c r="Q869" s="8"/>
      <c r="R869" s="7"/>
      <c r="S869" s="9"/>
      <c r="T869" s="7"/>
      <c r="U869" s="7"/>
      <c r="V869" s="7"/>
      <c r="AC869" s="7"/>
      <c r="AD869" s="7"/>
      <c r="AE869" s="7"/>
    </row>
    <row r="870">
      <c r="A870" s="7"/>
      <c r="B870" s="7"/>
      <c r="C870" s="7"/>
      <c r="D870" s="9"/>
      <c r="E870" s="10"/>
      <c r="F870" s="11"/>
      <c r="G870" s="11"/>
      <c r="J870" s="7"/>
      <c r="K870" s="8"/>
      <c r="L870" s="7"/>
      <c r="M870" s="7"/>
      <c r="N870" s="7"/>
      <c r="Q870" s="8"/>
      <c r="R870" s="7"/>
      <c r="S870" s="9"/>
      <c r="T870" s="7"/>
      <c r="U870" s="7"/>
      <c r="V870" s="7"/>
      <c r="AC870" s="7"/>
      <c r="AD870" s="7"/>
      <c r="AE870" s="7"/>
    </row>
    <row r="871">
      <c r="A871" s="7"/>
      <c r="B871" s="7"/>
      <c r="C871" s="7"/>
      <c r="D871" s="9"/>
      <c r="E871" s="10"/>
      <c r="F871" s="11"/>
      <c r="G871" s="11"/>
      <c r="J871" s="7"/>
      <c r="K871" s="8"/>
      <c r="L871" s="7"/>
      <c r="M871" s="7"/>
      <c r="N871" s="7"/>
      <c r="Q871" s="8"/>
      <c r="R871" s="7"/>
      <c r="S871" s="9"/>
      <c r="T871" s="7"/>
      <c r="U871" s="7"/>
      <c r="V871" s="7"/>
      <c r="AC871" s="7"/>
      <c r="AD871" s="7"/>
      <c r="AE871" s="7"/>
    </row>
    <row r="872">
      <c r="A872" s="7"/>
      <c r="B872" s="7"/>
      <c r="C872" s="7"/>
      <c r="D872" s="9"/>
      <c r="E872" s="10"/>
      <c r="F872" s="11"/>
      <c r="G872" s="11"/>
      <c r="J872" s="7"/>
      <c r="K872" s="8"/>
      <c r="L872" s="7"/>
      <c r="M872" s="7"/>
      <c r="N872" s="7"/>
      <c r="Q872" s="8"/>
      <c r="R872" s="7"/>
      <c r="S872" s="9"/>
      <c r="T872" s="7"/>
      <c r="U872" s="7"/>
      <c r="V872" s="7"/>
      <c r="AC872" s="7"/>
      <c r="AD872" s="7"/>
      <c r="AE872" s="7"/>
    </row>
    <row r="873">
      <c r="A873" s="7"/>
      <c r="B873" s="7"/>
      <c r="C873" s="7"/>
      <c r="D873" s="9"/>
      <c r="E873" s="10"/>
      <c r="F873" s="11"/>
      <c r="G873" s="11"/>
      <c r="J873" s="7"/>
      <c r="K873" s="8"/>
      <c r="L873" s="7"/>
      <c r="M873" s="7"/>
      <c r="N873" s="7"/>
      <c r="Q873" s="8"/>
      <c r="R873" s="7"/>
      <c r="S873" s="9"/>
      <c r="T873" s="7"/>
      <c r="U873" s="7"/>
      <c r="V873" s="7"/>
      <c r="AC873" s="7"/>
      <c r="AD873" s="7"/>
      <c r="AE873" s="7"/>
    </row>
    <row r="874">
      <c r="A874" s="7"/>
      <c r="B874" s="7"/>
      <c r="C874" s="7"/>
      <c r="D874" s="9"/>
      <c r="E874" s="10"/>
      <c r="F874" s="11"/>
      <c r="G874" s="11"/>
      <c r="J874" s="7"/>
      <c r="K874" s="8"/>
      <c r="L874" s="7"/>
      <c r="M874" s="7"/>
      <c r="N874" s="7"/>
      <c r="Q874" s="8"/>
      <c r="R874" s="7"/>
      <c r="S874" s="9"/>
      <c r="T874" s="7"/>
      <c r="U874" s="7"/>
      <c r="V874" s="7"/>
      <c r="AC874" s="7"/>
      <c r="AD874" s="7"/>
      <c r="AE874" s="7"/>
    </row>
    <row r="875">
      <c r="A875" s="7"/>
      <c r="B875" s="7"/>
      <c r="C875" s="7"/>
      <c r="D875" s="9"/>
      <c r="E875" s="10"/>
      <c r="F875" s="11"/>
      <c r="G875" s="11"/>
      <c r="J875" s="7"/>
      <c r="K875" s="8"/>
      <c r="L875" s="7"/>
      <c r="M875" s="7"/>
      <c r="N875" s="7"/>
      <c r="Q875" s="8"/>
      <c r="R875" s="7"/>
      <c r="S875" s="9"/>
      <c r="T875" s="7"/>
      <c r="U875" s="7"/>
      <c r="V875" s="7"/>
      <c r="AC875" s="7"/>
      <c r="AD875" s="7"/>
      <c r="AE875" s="7"/>
    </row>
    <row r="876">
      <c r="A876" s="7"/>
      <c r="B876" s="7"/>
      <c r="C876" s="7"/>
      <c r="D876" s="9"/>
      <c r="E876" s="10"/>
      <c r="F876" s="11"/>
      <c r="G876" s="11"/>
      <c r="J876" s="7"/>
      <c r="K876" s="8"/>
      <c r="L876" s="7"/>
      <c r="M876" s="7"/>
      <c r="N876" s="7"/>
      <c r="Q876" s="8"/>
      <c r="R876" s="7"/>
      <c r="S876" s="9"/>
      <c r="T876" s="7"/>
      <c r="U876" s="7"/>
      <c r="V876" s="7"/>
      <c r="AC876" s="7"/>
      <c r="AD876" s="7"/>
      <c r="AE876" s="7"/>
    </row>
    <row r="877">
      <c r="A877" s="7"/>
      <c r="B877" s="7"/>
      <c r="C877" s="7"/>
      <c r="D877" s="9"/>
      <c r="E877" s="10"/>
      <c r="F877" s="11"/>
      <c r="G877" s="11"/>
      <c r="J877" s="7"/>
      <c r="K877" s="8"/>
      <c r="L877" s="7"/>
      <c r="M877" s="7"/>
      <c r="N877" s="7"/>
      <c r="Q877" s="8"/>
      <c r="R877" s="7"/>
      <c r="S877" s="9"/>
      <c r="T877" s="7"/>
      <c r="U877" s="7"/>
      <c r="V877" s="7"/>
      <c r="AC877" s="7"/>
      <c r="AD877" s="7"/>
      <c r="AE877" s="7"/>
    </row>
    <row r="878">
      <c r="A878" s="7"/>
      <c r="B878" s="7"/>
      <c r="C878" s="7"/>
      <c r="D878" s="9"/>
      <c r="E878" s="10"/>
      <c r="F878" s="11"/>
      <c r="G878" s="11"/>
      <c r="J878" s="7"/>
      <c r="K878" s="8"/>
      <c r="L878" s="7"/>
      <c r="M878" s="7"/>
      <c r="N878" s="7"/>
      <c r="Q878" s="8"/>
      <c r="R878" s="7"/>
      <c r="S878" s="9"/>
      <c r="T878" s="7"/>
      <c r="U878" s="7"/>
      <c r="V878" s="7"/>
      <c r="AC878" s="7"/>
      <c r="AD878" s="7"/>
      <c r="AE878" s="7"/>
    </row>
    <row r="879">
      <c r="A879" s="7"/>
      <c r="B879" s="7"/>
      <c r="C879" s="7"/>
      <c r="D879" s="9"/>
      <c r="E879" s="10"/>
      <c r="F879" s="11"/>
      <c r="G879" s="11"/>
      <c r="J879" s="7"/>
      <c r="K879" s="8"/>
      <c r="L879" s="7"/>
      <c r="M879" s="7"/>
      <c r="N879" s="7"/>
      <c r="Q879" s="8"/>
      <c r="R879" s="7"/>
      <c r="S879" s="9"/>
      <c r="T879" s="7"/>
      <c r="U879" s="7"/>
      <c r="V879" s="7"/>
      <c r="AC879" s="7"/>
      <c r="AD879" s="7"/>
      <c r="AE879" s="7"/>
    </row>
    <row r="880">
      <c r="A880" s="7"/>
      <c r="B880" s="7"/>
      <c r="C880" s="7"/>
      <c r="D880" s="9"/>
      <c r="E880" s="10"/>
      <c r="F880" s="11"/>
      <c r="G880" s="11"/>
      <c r="J880" s="7"/>
      <c r="K880" s="8"/>
      <c r="L880" s="7"/>
      <c r="M880" s="7"/>
      <c r="N880" s="7"/>
      <c r="Q880" s="8"/>
      <c r="R880" s="7"/>
      <c r="S880" s="9"/>
      <c r="T880" s="7"/>
      <c r="U880" s="7"/>
      <c r="V880" s="7"/>
      <c r="AC880" s="7"/>
      <c r="AD880" s="7"/>
      <c r="AE880" s="7"/>
    </row>
    <row r="881">
      <c r="A881" s="7"/>
      <c r="B881" s="7"/>
      <c r="C881" s="7"/>
      <c r="D881" s="9"/>
      <c r="E881" s="10"/>
      <c r="F881" s="11"/>
      <c r="G881" s="11"/>
      <c r="J881" s="7"/>
      <c r="K881" s="8"/>
      <c r="L881" s="7"/>
      <c r="M881" s="7"/>
      <c r="N881" s="7"/>
      <c r="Q881" s="8"/>
      <c r="R881" s="7"/>
      <c r="S881" s="9"/>
      <c r="T881" s="7"/>
      <c r="U881" s="7"/>
      <c r="V881" s="7"/>
      <c r="AC881" s="7"/>
      <c r="AD881" s="7"/>
      <c r="AE881" s="7"/>
    </row>
    <row r="882">
      <c r="A882" s="7"/>
      <c r="B882" s="7"/>
      <c r="C882" s="7"/>
      <c r="D882" s="9"/>
      <c r="E882" s="10"/>
      <c r="F882" s="11"/>
      <c r="G882" s="11"/>
      <c r="J882" s="7"/>
      <c r="K882" s="8"/>
      <c r="L882" s="7"/>
      <c r="M882" s="7"/>
      <c r="N882" s="7"/>
      <c r="Q882" s="8"/>
      <c r="R882" s="7"/>
      <c r="S882" s="9"/>
      <c r="T882" s="7"/>
      <c r="U882" s="7"/>
      <c r="V882" s="7"/>
      <c r="AC882" s="7"/>
      <c r="AD882" s="7"/>
      <c r="AE882" s="7"/>
    </row>
    <row r="883">
      <c r="A883" s="7"/>
      <c r="B883" s="7"/>
      <c r="C883" s="7"/>
      <c r="D883" s="9"/>
      <c r="E883" s="10"/>
      <c r="F883" s="11"/>
      <c r="G883" s="11"/>
      <c r="J883" s="7"/>
      <c r="K883" s="8"/>
      <c r="L883" s="7"/>
      <c r="M883" s="7"/>
      <c r="N883" s="7"/>
      <c r="Q883" s="8"/>
      <c r="R883" s="7"/>
      <c r="S883" s="9"/>
      <c r="T883" s="7"/>
      <c r="U883" s="7"/>
      <c r="V883" s="7"/>
      <c r="AC883" s="7"/>
      <c r="AD883" s="7"/>
      <c r="AE883" s="7"/>
    </row>
    <row r="884">
      <c r="A884" s="7"/>
      <c r="B884" s="7"/>
      <c r="C884" s="7"/>
      <c r="D884" s="9"/>
      <c r="E884" s="10"/>
      <c r="F884" s="11"/>
      <c r="G884" s="11"/>
      <c r="J884" s="7"/>
      <c r="K884" s="8"/>
      <c r="L884" s="7"/>
      <c r="M884" s="7"/>
      <c r="N884" s="7"/>
      <c r="Q884" s="8"/>
      <c r="R884" s="7"/>
      <c r="S884" s="9"/>
      <c r="T884" s="7"/>
      <c r="U884" s="7"/>
      <c r="V884" s="7"/>
      <c r="AC884" s="7"/>
      <c r="AD884" s="7"/>
      <c r="AE884" s="7"/>
    </row>
    <row r="885">
      <c r="A885" s="7"/>
      <c r="B885" s="7"/>
      <c r="C885" s="7"/>
      <c r="D885" s="9"/>
      <c r="E885" s="10"/>
      <c r="F885" s="11"/>
      <c r="G885" s="11"/>
      <c r="J885" s="7"/>
      <c r="K885" s="8"/>
      <c r="L885" s="7"/>
      <c r="M885" s="7"/>
      <c r="N885" s="7"/>
      <c r="Q885" s="8"/>
      <c r="R885" s="7"/>
      <c r="S885" s="9"/>
      <c r="T885" s="7"/>
      <c r="U885" s="7"/>
      <c r="V885" s="7"/>
      <c r="AC885" s="7"/>
      <c r="AD885" s="7"/>
      <c r="AE885" s="7"/>
    </row>
    <row r="886">
      <c r="A886" s="7"/>
      <c r="B886" s="7"/>
      <c r="C886" s="7"/>
      <c r="D886" s="9"/>
      <c r="E886" s="10"/>
      <c r="F886" s="11"/>
      <c r="G886" s="11"/>
      <c r="J886" s="7"/>
      <c r="K886" s="8"/>
      <c r="L886" s="7"/>
      <c r="M886" s="7"/>
      <c r="N886" s="7"/>
      <c r="Q886" s="8"/>
      <c r="R886" s="7"/>
      <c r="S886" s="9"/>
      <c r="T886" s="7"/>
      <c r="U886" s="7"/>
      <c r="V886" s="7"/>
      <c r="AC886" s="7"/>
      <c r="AD886" s="7"/>
      <c r="AE886" s="7"/>
    </row>
    <row r="887">
      <c r="A887" s="7"/>
      <c r="B887" s="7"/>
      <c r="C887" s="7"/>
      <c r="D887" s="9"/>
      <c r="E887" s="10"/>
      <c r="F887" s="11"/>
      <c r="G887" s="11"/>
      <c r="J887" s="7"/>
      <c r="K887" s="8"/>
      <c r="L887" s="7"/>
      <c r="M887" s="7"/>
      <c r="N887" s="7"/>
      <c r="Q887" s="8"/>
      <c r="R887" s="7"/>
      <c r="S887" s="9"/>
      <c r="T887" s="7"/>
      <c r="U887" s="7"/>
      <c r="V887" s="7"/>
      <c r="AC887" s="7"/>
      <c r="AD887" s="7"/>
      <c r="AE887" s="7"/>
    </row>
    <row r="888">
      <c r="A888" s="7"/>
      <c r="B888" s="7"/>
      <c r="C888" s="7"/>
      <c r="D888" s="9"/>
      <c r="E888" s="10"/>
      <c r="F888" s="11"/>
      <c r="G888" s="11"/>
      <c r="J888" s="7"/>
      <c r="K888" s="8"/>
      <c r="L888" s="7"/>
      <c r="M888" s="7"/>
      <c r="N888" s="7"/>
      <c r="Q888" s="8"/>
      <c r="R888" s="7"/>
      <c r="S888" s="9"/>
      <c r="T888" s="7"/>
      <c r="U888" s="7"/>
      <c r="V888" s="7"/>
      <c r="AC888" s="7"/>
      <c r="AD888" s="7"/>
      <c r="AE888" s="7"/>
    </row>
    <row r="889">
      <c r="A889" s="7"/>
      <c r="B889" s="7"/>
      <c r="C889" s="7"/>
      <c r="D889" s="9"/>
      <c r="E889" s="10"/>
      <c r="F889" s="11"/>
      <c r="G889" s="11"/>
      <c r="J889" s="7"/>
      <c r="K889" s="8"/>
      <c r="L889" s="7"/>
      <c r="M889" s="7"/>
      <c r="N889" s="7"/>
      <c r="Q889" s="8"/>
      <c r="R889" s="7"/>
      <c r="S889" s="9"/>
      <c r="T889" s="7"/>
      <c r="U889" s="7"/>
      <c r="V889" s="7"/>
      <c r="AC889" s="7"/>
      <c r="AD889" s="7"/>
      <c r="AE889" s="7"/>
    </row>
    <row r="890">
      <c r="A890" s="7"/>
      <c r="B890" s="7"/>
      <c r="C890" s="7"/>
      <c r="D890" s="9"/>
      <c r="E890" s="10"/>
      <c r="F890" s="11"/>
      <c r="G890" s="11"/>
      <c r="J890" s="7"/>
      <c r="K890" s="8"/>
      <c r="L890" s="7"/>
      <c r="M890" s="7"/>
      <c r="N890" s="7"/>
      <c r="Q890" s="8"/>
      <c r="R890" s="7"/>
      <c r="S890" s="9"/>
      <c r="T890" s="7"/>
      <c r="U890" s="7"/>
      <c r="V890" s="7"/>
      <c r="AC890" s="7"/>
      <c r="AD890" s="7"/>
      <c r="AE890" s="7"/>
    </row>
    <row r="891">
      <c r="A891" s="7"/>
      <c r="B891" s="7"/>
      <c r="C891" s="7"/>
      <c r="D891" s="9"/>
      <c r="E891" s="10"/>
      <c r="F891" s="11"/>
      <c r="G891" s="11"/>
      <c r="J891" s="7"/>
      <c r="K891" s="8"/>
      <c r="L891" s="7"/>
      <c r="M891" s="7"/>
      <c r="N891" s="7"/>
      <c r="Q891" s="8"/>
      <c r="R891" s="7"/>
      <c r="S891" s="9"/>
      <c r="T891" s="7"/>
      <c r="U891" s="7"/>
      <c r="V891" s="7"/>
      <c r="AC891" s="7"/>
      <c r="AD891" s="7"/>
      <c r="AE891" s="7"/>
    </row>
    <row r="892">
      <c r="A892" s="7"/>
      <c r="B892" s="7"/>
      <c r="C892" s="7"/>
      <c r="D892" s="9"/>
      <c r="E892" s="10"/>
      <c r="F892" s="11"/>
      <c r="G892" s="11"/>
      <c r="J892" s="7"/>
      <c r="K892" s="8"/>
      <c r="L892" s="7"/>
      <c r="M892" s="7"/>
      <c r="N892" s="7"/>
      <c r="Q892" s="8"/>
      <c r="R892" s="7"/>
      <c r="S892" s="9"/>
      <c r="T892" s="7"/>
      <c r="U892" s="7"/>
      <c r="V892" s="7"/>
      <c r="AC892" s="7"/>
      <c r="AD892" s="7"/>
      <c r="AE892" s="7"/>
    </row>
    <row r="893">
      <c r="A893" s="7"/>
      <c r="B893" s="7"/>
      <c r="C893" s="7"/>
      <c r="D893" s="9"/>
      <c r="E893" s="10"/>
      <c r="F893" s="11"/>
      <c r="G893" s="11"/>
      <c r="J893" s="7"/>
      <c r="K893" s="8"/>
      <c r="L893" s="7"/>
      <c r="M893" s="7"/>
      <c r="N893" s="7"/>
      <c r="Q893" s="8"/>
      <c r="R893" s="7"/>
      <c r="S893" s="9"/>
      <c r="T893" s="7"/>
      <c r="U893" s="7"/>
      <c r="V893" s="7"/>
      <c r="AC893" s="7"/>
      <c r="AD893" s="7"/>
      <c r="AE893" s="7"/>
    </row>
    <row r="894">
      <c r="A894" s="7"/>
      <c r="B894" s="7"/>
      <c r="C894" s="7"/>
      <c r="D894" s="9"/>
      <c r="E894" s="10"/>
      <c r="F894" s="11"/>
      <c r="G894" s="11"/>
      <c r="J894" s="7"/>
      <c r="K894" s="8"/>
      <c r="L894" s="7"/>
      <c r="M894" s="7"/>
      <c r="N894" s="7"/>
      <c r="Q894" s="8"/>
      <c r="R894" s="7"/>
      <c r="S894" s="9"/>
      <c r="T894" s="7"/>
      <c r="U894" s="7"/>
      <c r="V894" s="7"/>
      <c r="AC894" s="7"/>
      <c r="AD894" s="7"/>
      <c r="AE894" s="7"/>
    </row>
    <row r="895">
      <c r="A895" s="7"/>
      <c r="B895" s="7"/>
      <c r="C895" s="7"/>
      <c r="D895" s="9"/>
      <c r="E895" s="10"/>
      <c r="F895" s="11"/>
      <c r="G895" s="11"/>
      <c r="J895" s="7"/>
      <c r="K895" s="8"/>
      <c r="L895" s="7"/>
      <c r="M895" s="7"/>
      <c r="N895" s="7"/>
      <c r="Q895" s="8"/>
      <c r="R895" s="7"/>
      <c r="S895" s="9"/>
      <c r="T895" s="7"/>
      <c r="U895" s="7"/>
      <c r="V895" s="7"/>
      <c r="AC895" s="7"/>
      <c r="AD895" s="7"/>
      <c r="AE895" s="7"/>
    </row>
    <row r="896">
      <c r="A896" s="7"/>
      <c r="B896" s="7"/>
      <c r="C896" s="7"/>
      <c r="D896" s="9"/>
      <c r="E896" s="10"/>
      <c r="F896" s="11"/>
      <c r="G896" s="11"/>
      <c r="J896" s="7"/>
      <c r="K896" s="8"/>
      <c r="L896" s="7"/>
      <c r="M896" s="7"/>
      <c r="N896" s="7"/>
      <c r="Q896" s="8"/>
      <c r="R896" s="7"/>
      <c r="S896" s="9"/>
      <c r="T896" s="7"/>
      <c r="U896" s="7"/>
      <c r="V896" s="7"/>
      <c r="AC896" s="7"/>
      <c r="AD896" s="7"/>
      <c r="AE896" s="7"/>
    </row>
    <row r="897">
      <c r="A897" s="7"/>
      <c r="B897" s="7"/>
      <c r="C897" s="7"/>
      <c r="D897" s="9"/>
      <c r="E897" s="10"/>
      <c r="F897" s="11"/>
      <c r="G897" s="11"/>
      <c r="J897" s="7"/>
      <c r="K897" s="8"/>
      <c r="L897" s="7"/>
      <c r="M897" s="7"/>
      <c r="N897" s="7"/>
      <c r="Q897" s="8"/>
      <c r="R897" s="7"/>
      <c r="S897" s="9"/>
      <c r="T897" s="7"/>
      <c r="U897" s="7"/>
      <c r="V897" s="7"/>
      <c r="AC897" s="7"/>
      <c r="AD897" s="7"/>
      <c r="AE897" s="7"/>
    </row>
    <row r="898">
      <c r="A898" s="7"/>
      <c r="B898" s="7"/>
      <c r="C898" s="7"/>
      <c r="D898" s="9"/>
      <c r="E898" s="10"/>
      <c r="F898" s="11"/>
      <c r="G898" s="11"/>
      <c r="J898" s="7"/>
      <c r="K898" s="8"/>
      <c r="L898" s="7"/>
      <c r="M898" s="7"/>
      <c r="N898" s="7"/>
      <c r="Q898" s="8"/>
      <c r="R898" s="7"/>
      <c r="S898" s="9"/>
      <c r="T898" s="7"/>
      <c r="U898" s="7"/>
      <c r="V898" s="7"/>
      <c r="AC898" s="7"/>
      <c r="AD898" s="7"/>
      <c r="AE898" s="7"/>
    </row>
    <row r="899">
      <c r="A899" s="7"/>
      <c r="B899" s="7"/>
      <c r="C899" s="7"/>
      <c r="D899" s="9"/>
      <c r="E899" s="10"/>
      <c r="F899" s="11"/>
      <c r="G899" s="11"/>
      <c r="J899" s="7"/>
      <c r="K899" s="8"/>
      <c r="L899" s="7"/>
      <c r="M899" s="7"/>
      <c r="N899" s="7"/>
      <c r="Q899" s="8"/>
      <c r="R899" s="7"/>
      <c r="S899" s="9"/>
      <c r="T899" s="7"/>
      <c r="U899" s="7"/>
      <c r="V899" s="7"/>
      <c r="AC899" s="7"/>
      <c r="AD899" s="7"/>
      <c r="AE899" s="7"/>
    </row>
    <row r="900">
      <c r="A900" s="7"/>
      <c r="B900" s="7"/>
      <c r="C900" s="7"/>
      <c r="D900" s="9"/>
      <c r="E900" s="10"/>
      <c r="F900" s="11"/>
      <c r="G900" s="11"/>
      <c r="J900" s="7"/>
      <c r="K900" s="8"/>
      <c r="L900" s="7"/>
      <c r="M900" s="7"/>
      <c r="N900" s="7"/>
      <c r="Q900" s="8"/>
      <c r="R900" s="7"/>
      <c r="S900" s="9"/>
      <c r="T900" s="7"/>
      <c r="U900" s="7"/>
      <c r="V900" s="7"/>
      <c r="AC900" s="7"/>
      <c r="AD900" s="7"/>
      <c r="AE900" s="7"/>
    </row>
    <row r="901">
      <c r="A901" s="7"/>
      <c r="B901" s="7"/>
      <c r="C901" s="7"/>
      <c r="D901" s="9"/>
      <c r="E901" s="10"/>
      <c r="F901" s="11"/>
      <c r="G901" s="11"/>
      <c r="J901" s="7"/>
      <c r="K901" s="8"/>
      <c r="L901" s="7"/>
      <c r="M901" s="7"/>
      <c r="N901" s="7"/>
      <c r="Q901" s="8"/>
      <c r="R901" s="7"/>
      <c r="S901" s="9"/>
      <c r="T901" s="7"/>
      <c r="U901" s="7"/>
      <c r="V901" s="7"/>
      <c r="AC901" s="7"/>
      <c r="AD901" s="7"/>
      <c r="AE901" s="7"/>
    </row>
    <row r="902">
      <c r="A902" s="7"/>
      <c r="B902" s="7"/>
      <c r="C902" s="7"/>
      <c r="D902" s="9"/>
      <c r="E902" s="10"/>
      <c r="F902" s="11"/>
      <c r="G902" s="11"/>
      <c r="J902" s="7"/>
      <c r="K902" s="8"/>
      <c r="L902" s="7"/>
      <c r="M902" s="7"/>
      <c r="N902" s="7"/>
      <c r="Q902" s="8"/>
      <c r="R902" s="7"/>
      <c r="S902" s="9"/>
      <c r="T902" s="7"/>
      <c r="U902" s="7"/>
      <c r="V902" s="7"/>
      <c r="AC902" s="7"/>
      <c r="AD902" s="7"/>
      <c r="AE902" s="7"/>
    </row>
    <row r="903">
      <c r="A903" s="7"/>
      <c r="B903" s="7"/>
      <c r="C903" s="7"/>
      <c r="D903" s="9"/>
      <c r="E903" s="10"/>
      <c r="F903" s="11"/>
      <c r="G903" s="11"/>
      <c r="J903" s="7"/>
      <c r="K903" s="8"/>
      <c r="L903" s="7"/>
      <c r="M903" s="7"/>
      <c r="N903" s="7"/>
      <c r="Q903" s="8"/>
      <c r="R903" s="7"/>
      <c r="S903" s="9"/>
      <c r="T903" s="7"/>
      <c r="U903" s="7"/>
      <c r="V903" s="7"/>
      <c r="AC903" s="7"/>
      <c r="AD903" s="7"/>
      <c r="AE903" s="7"/>
    </row>
    <row r="904">
      <c r="A904" s="7"/>
      <c r="B904" s="7"/>
      <c r="C904" s="7"/>
      <c r="D904" s="9"/>
      <c r="E904" s="10"/>
      <c r="F904" s="11"/>
      <c r="G904" s="11"/>
      <c r="J904" s="7"/>
      <c r="K904" s="8"/>
      <c r="L904" s="7"/>
      <c r="M904" s="7"/>
      <c r="N904" s="7"/>
      <c r="Q904" s="8"/>
      <c r="R904" s="7"/>
      <c r="S904" s="9"/>
      <c r="T904" s="7"/>
      <c r="U904" s="7"/>
      <c r="V904" s="7"/>
      <c r="AC904" s="7"/>
      <c r="AD904" s="7"/>
      <c r="AE904" s="7"/>
    </row>
    <row r="905">
      <c r="A905" s="7"/>
      <c r="B905" s="7"/>
      <c r="C905" s="7"/>
      <c r="D905" s="9"/>
      <c r="E905" s="10"/>
      <c r="F905" s="11"/>
      <c r="G905" s="11"/>
      <c r="J905" s="7"/>
      <c r="K905" s="8"/>
      <c r="L905" s="7"/>
      <c r="M905" s="7"/>
      <c r="N905" s="7"/>
      <c r="Q905" s="8"/>
      <c r="R905" s="7"/>
      <c r="S905" s="9"/>
      <c r="T905" s="7"/>
      <c r="U905" s="7"/>
      <c r="V905" s="7"/>
      <c r="AC905" s="7"/>
      <c r="AD905" s="7"/>
      <c r="AE905" s="7"/>
    </row>
    <row r="906">
      <c r="A906" s="7"/>
      <c r="B906" s="7"/>
      <c r="C906" s="7"/>
      <c r="D906" s="9"/>
      <c r="E906" s="10"/>
      <c r="F906" s="11"/>
      <c r="G906" s="11"/>
      <c r="J906" s="7"/>
      <c r="K906" s="8"/>
      <c r="L906" s="7"/>
      <c r="M906" s="7"/>
      <c r="N906" s="7"/>
      <c r="Q906" s="8"/>
      <c r="R906" s="7"/>
      <c r="S906" s="9"/>
      <c r="T906" s="7"/>
      <c r="U906" s="7"/>
      <c r="V906" s="7"/>
      <c r="AC906" s="7"/>
      <c r="AD906" s="7"/>
      <c r="AE906" s="7"/>
    </row>
    <row r="907">
      <c r="A907" s="7"/>
      <c r="B907" s="7"/>
      <c r="C907" s="7"/>
      <c r="D907" s="9"/>
      <c r="E907" s="10"/>
      <c r="F907" s="11"/>
      <c r="G907" s="11"/>
      <c r="J907" s="7"/>
      <c r="K907" s="8"/>
      <c r="L907" s="7"/>
      <c r="M907" s="7"/>
      <c r="N907" s="7"/>
      <c r="Q907" s="8"/>
      <c r="R907" s="7"/>
      <c r="S907" s="9"/>
      <c r="T907" s="7"/>
      <c r="U907" s="7"/>
      <c r="V907" s="7"/>
      <c r="AC907" s="7"/>
      <c r="AD907" s="7"/>
      <c r="AE907" s="7"/>
    </row>
    <row r="908">
      <c r="A908" s="7"/>
      <c r="B908" s="7"/>
      <c r="C908" s="7"/>
      <c r="D908" s="9"/>
      <c r="E908" s="10"/>
      <c r="F908" s="11"/>
      <c r="G908" s="11"/>
      <c r="J908" s="7"/>
      <c r="K908" s="8"/>
      <c r="L908" s="7"/>
      <c r="M908" s="7"/>
      <c r="N908" s="7"/>
      <c r="Q908" s="8"/>
      <c r="R908" s="7"/>
      <c r="S908" s="9"/>
      <c r="T908" s="7"/>
      <c r="U908" s="7"/>
      <c r="V908" s="7"/>
      <c r="AC908" s="7"/>
      <c r="AD908" s="7"/>
      <c r="AE908" s="7"/>
    </row>
    <row r="909">
      <c r="A909" s="7"/>
      <c r="B909" s="7"/>
      <c r="C909" s="7"/>
      <c r="D909" s="9"/>
      <c r="E909" s="10"/>
      <c r="F909" s="11"/>
      <c r="G909" s="11"/>
      <c r="J909" s="7"/>
      <c r="K909" s="8"/>
      <c r="L909" s="7"/>
      <c r="M909" s="7"/>
      <c r="N909" s="7"/>
      <c r="Q909" s="8"/>
      <c r="R909" s="7"/>
      <c r="S909" s="9"/>
      <c r="T909" s="7"/>
      <c r="U909" s="7"/>
      <c r="V909" s="7"/>
      <c r="AC909" s="7"/>
      <c r="AD909" s="7"/>
      <c r="AE909" s="7"/>
    </row>
    <row r="910">
      <c r="A910" s="7"/>
      <c r="B910" s="7"/>
      <c r="C910" s="7"/>
      <c r="D910" s="9"/>
      <c r="E910" s="10"/>
      <c r="F910" s="11"/>
      <c r="G910" s="11"/>
      <c r="J910" s="7"/>
      <c r="K910" s="8"/>
      <c r="L910" s="7"/>
      <c r="M910" s="7"/>
      <c r="N910" s="7"/>
      <c r="Q910" s="8"/>
      <c r="R910" s="7"/>
      <c r="S910" s="9"/>
      <c r="T910" s="7"/>
      <c r="U910" s="7"/>
      <c r="V910" s="7"/>
      <c r="AC910" s="7"/>
      <c r="AD910" s="7"/>
      <c r="AE910" s="7"/>
    </row>
    <row r="911">
      <c r="A911" s="7"/>
      <c r="B911" s="7"/>
      <c r="C911" s="7"/>
      <c r="D911" s="9"/>
      <c r="E911" s="10"/>
      <c r="F911" s="11"/>
      <c r="G911" s="11"/>
      <c r="J911" s="7"/>
      <c r="K911" s="8"/>
      <c r="L911" s="7"/>
      <c r="M911" s="7"/>
      <c r="N911" s="7"/>
      <c r="Q911" s="8"/>
      <c r="R911" s="7"/>
      <c r="S911" s="9"/>
      <c r="T911" s="7"/>
      <c r="U911" s="7"/>
      <c r="V911" s="7"/>
      <c r="AC911" s="7"/>
      <c r="AD911" s="7"/>
      <c r="AE911" s="7"/>
    </row>
    <row r="912">
      <c r="A912" s="7"/>
      <c r="B912" s="7"/>
      <c r="C912" s="7"/>
      <c r="D912" s="9"/>
      <c r="E912" s="10"/>
      <c r="F912" s="11"/>
      <c r="G912" s="11"/>
      <c r="J912" s="7"/>
      <c r="K912" s="8"/>
      <c r="L912" s="7"/>
      <c r="M912" s="7"/>
      <c r="N912" s="7"/>
      <c r="Q912" s="8"/>
      <c r="R912" s="7"/>
      <c r="S912" s="9"/>
      <c r="T912" s="7"/>
      <c r="U912" s="7"/>
      <c r="V912" s="7"/>
      <c r="AC912" s="7"/>
      <c r="AD912" s="7"/>
      <c r="AE912" s="7"/>
    </row>
    <row r="913">
      <c r="A913" s="7"/>
      <c r="B913" s="7"/>
      <c r="C913" s="7"/>
      <c r="D913" s="9"/>
      <c r="E913" s="10"/>
      <c r="F913" s="11"/>
      <c r="G913" s="11"/>
      <c r="J913" s="7"/>
      <c r="K913" s="8"/>
      <c r="L913" s="7"/>
      <c r="M913" s="7"/>
      <c r="N913" s="7"/>
      <c r="Q913" s="8"/>
      <c r="R913" s="7"/>
      <c r="S913" s="9"/>
      <c r="T913" s="7"/>
      <c r="U913" s="7"/>
      <c r="V913" s="7"/>
      <c r="AC913" s="7"/>
      <c r="AD913" s="7"/>
      <c r="AE913" s="7"/>
    </row>
    <row r="914">
      <c r="A914" s="7"/>
      <c r="B914" s="7"/>
      <c r="C914" s="7"/>
      <c r="D914" s="9"/>
      <c r="E914" s="10"/>
      <c r="F914" s="11"/>
      <c r="G914" s="11"/>
      <c r="J914" s="7"/>
      <c r="K914" s="8"/>
      <c r="L914" s="7"/>
      <c r="M914" s="7"/>
      <c r="N914" s="7"/>
      <c r="Q914" s="8"/>
      <c r="R914" s="7"/>
      <c r="S914" s="9"/>
      <c r="T914" s="7"/>
      <c r="U914" s="7"/>
      <c r="V914" s="7"/>
      <c r="AC914" s="7"/>
      <c r="AD914" s="7"/>
      <c r="AE914" s="7"/>
    </row>
    <row r="915">
      <c r="A915" s="7"/>
      <c r="B915" s="7"/>
      <c r="C915" s="7"/>
      <c r="D915" s="9"/>
      <c r="E915" s="10"/>
      <c r="F915" s="11"/>
      <c r="G915" s="11"/>
      <c r="J915" s="7"/>
      <c r="K915" s="8"/>
      <c r="L915" s="7"/>
      <c r="M915" s="7"/>
      <c r="N915" s="7"/>
      <c r="Q915" s="8"/>
      <c r="R915" s="7"/>
      <c r="S915" s="9"/>
      <c r="T915" s="7"/>
      <c r="U915" s="7"/>
      <c r="V915" s="7"/>
      <c r="AC915" s="7"/>
      <c r="AD915" s="7"/>
      <c r="AE915" s="7"/>
    </row>
    <row r="916">
      <c r="A916" s="7"/>
      <c r="B916" s="7"/>
      <c r="C916" s="7"/>
      <c r="D916" s="9"/>
      <c r="E916" s="10"/>
      <c r="F916" s="11"/>
      <c r="G916" s="11"/>
      <c r="J916" s="7"/>
      <c r="K916" s="8"/>
      <c r="L916" s="7"/>
      <c r="M916" s="7"/>
      <c r="N916" s="7"/>
      <c r="Q916" s="8"/>
      <c r="R916" s="7"/>
      <c r="S916" s="9"/>
      <c r="T916" s="7"/>
      <c r="U916" s="7"/>
      <c r="V916" s="7"/>
      <c r="AC916" s="7"/>
      <c r="AD916" s="7"/>
      <c r="AE916" s="7"/>
    </row>
    <row r="917">
      <c r="A917" s="7"/>
      <c r="B917" s="7"/>
      <c r="C917" s="7"/>
      <c r="D917" s="9"/>
      <c r="E917" s="10"/>
      <c r="F917" s="11"/>
      <c r="G917" s="11"/>
      <c r="J917" s="7"/>
      <c r="K917" s="8"/>
      <c r="L917" s="7"/>
      <c r="M917" s="7"/>
      <c r="N917" s="7"/>
      <c r="Q917" s="8"/>
      <c r="R917" s="7"/>
      <c r="S917" s="9"/>
      <c r="T917" s="7"/>
      <c r="U917" s="7"/>
      <c r="V917" s="7"/>
      <c r="AC917" s="7"/>
      <c r="AD917" s="7"/>
      <c r="AE917" s="7"/>
    </row>
    <row r="918">
      <c r="A918" s="7"/>
      <c r="B918" s="7"/>
      <c r="C918" s="7"/>
      <c r="D918" s="9"/>
      <c r="E918" s="10"/>
      <c r="F918" s="11"/>
      <c r="G918" s="11"/>
      <c r="J918" s="7"/>
      <c r="K918" s="8"/>
      <c r="L918" s="7"/>
      <c r="M918" s="7"/>
      <c r="N918" s="7"/>
      <c r="Q918" s="8"/>
      <c r="R918" s="7"/>
      <c r="S918" s="9"/>
      <c r="T918" s="7"/>
      <c r="U918" s="7"/>
      <c r="V918" s="7"/>
      <c r="AC918" s="7"/>
      <c r="AD918" s="7"/>
      <c r="AE918" s="7"/>
    </row>
    <row r="919">
      <c r="A919" s="7"/>
      <c r="B919" s="7"/>
      <c r="C919" s="7"/>
      <c r="D919" s="9"/>
      <c r="E919" s="10"/>
      <c r="F919" s="11"/>
      <c r="G919" s="11"/>
      <c r="J919" s="7"/>
      <c r="K919" s="8"/>
      <c r="L919" s="7"/>
      <c r="M919" s="7"/>
      <c r="N919" s="7"/>
      <c r="Q919" s="8"/>
      <c r="R919" s="7"/>
      <c r="S919" s="9"/>
      <c r="T919" s="7"/>
      <c r="U919" s="7"/>
      <c r="V919" s="7"/>
      <c r="AC919" s="7"/>
      <c r="AD919" s="7"/>
      <c r="AE919" s="7"/>
    </row>
    <row r="920">
      <c r="A920" s="7"/>
      <c r="B920" s="7"/>
      <c r="C920" s="7"/>
      <c r="D920" s="9"/>
      <c r="E920" s="10"/>
      <c r="F920" s="11"/>
      <c r="G920" s="11"/>
      <c r="J920" s="7"/>
      <c r="K920" s="8"/>
      <c r="L920" s="7"/>
      <c r="M920" s="7"/>
      <c r="N920" s="7"/>
      <c r="Q920" s="8"/>
      <c r="R920" s="7"/>
      <c r="S920" s="9"/>
      <c r="T920" s="7"/>
      <c r="U920" s="7"/>
      <c r="V920" s="7"/>
      <c r="AC920" s="7"/>
      <c r="AD920" s="7"/>
      <c r="AE920" s="7"/>
    </row>
    <row r="921">
      <c r="A921" s="7"/>
      <c r="B921" s="7"/>
      <c r="C921" s="7"/>
      <c r="D921" s="9"/>
      <c r="E921" s="10"/>
      <c r="F921" s="11"/>
      <c r="G921" s="11"/>
      <c r="J921" s="7"/>
      <c r="K921" s="8"/>
      <c r="L921" s="7"/>
      <c r="M921" s="7"/>
      <c r="N921" s="7"/>
      <c r="Q921" s="8"/>
      <c r="R921" s="7"/>
      <c r="S921" s="9"/>
      <c r="T921" s="7"/>
      <c r="U921" s="7"/>
      <c r="V921" s="7"/>
      <c r="AC921" s="7"/>
      <c r="AD921" s="7"/>
      <c r="AE921" s="7"/>
    </row>
    <row r="922">
      <c r="A922" s="7"/>
      <c r="B922" s="7"/>
      <c r="C922" s="7"/>
      <c r="D922" s="9"/>
      <c r="E922" s="10"/>
      <c r="F922" s="11"/>
      <c r="G922" s="11"/>
      <c r="J922" s="7"/>
      <c r="K922" s="8"/>
      <c r="L922" s="7"/>
      <c r="M922" s="7"/>
      <c r="N922" s="7"/>
      <c r="Q922" s="8"/>
      <c r="R922" s="7"/>
      <c r="S922" s="9"/>
      <c r="T922" s="7"/>
      <c r="U922" s="7"/>
      <c r="V922" s="7"/>
      <c r="AC922" s="7"/>
      <c r="AD922" s="7"/>
      <c r="AE922" s="7"/>
    </row>
    <row r="923">
      <c r="A923" s="7"/>
      <c r="B923" s="7"/>
      <c r="C923" s="7"/>
      <c r="D923" s="9"/>
      <c r="E923" s="10"/>
      <c r="F923" s="11"/>
      <c r="G923" s="11"/>
      <c r="J923" s="7"/>
      <c r="K923" s="8"/>
      <c r="L923" s="7"/>
      <c r="M923" s="7"/>
      <c r="N923" s="7"/>
      <c r="Q923" s="8"/>
      <c r="R923" s="7"/>
      <c r="S923" s="9"/>
      <c r="T923" s="7"/>
      <c r="U923" s="7"/>
      <c r="V923" s="7"/>
      <c r="AC923" s="7"/>
      <c r="AD923" s="7"/>
      <c r="AE923" s="7"/>
    </row>
    <row r="924">
      <c r="A924" s="7"/>
      <c r="B924" s="7"/>
      <c r="C924" s="7"/>
      <c r="D924" s="9"/>
      <c r="E924" s="10"/>
      <c r="F924" s="11"/>
      <c r="G924" s="11"/>
      <c r="J924" s="7"/>
      <c r="K924" s="8"/>
      <c r="L924" s="7"/>
      <c r="M924" s="7"/>
      <c r="N924" s="7"/>
      <c r="Q924" s="8"/>
      <c r="R924" s="7"/>
      <c r="S924" s="9"/>
      <c r="T924" s="7"/>
      <c r="U924" s="7"/>
      <c r="V924" s="7"/>
      <c r="AC924" s="7"/>
      <c r="AD924" s="7"/>
      <c r="AE924" s="7"/>
    </row>
    <row r="925">
      <c r="A925" s="7"/>
      <c r="B925" s="7"/>
      <c r="C925" s="7"/>
      <c r="D925" s="9"/>
      <c r="E925" s="10"/>
      <c r="F925" s="11"/>
      <c r="G925" s="11"/>
      <c r="J925" s="7"/>
      <c r="K925" s="8"/>
      <c r="L925" s="7"/>
      <c r="M925" s="7"/>
      <c r="N925" s="7"/>
      <c r="Q925" s="8"/>
      <c r="R925" s="7"/>
      <c r="S925" s="9"/>
      <c r="T925" s="7"/>
      <c r="U925" s="7"/>
      <c r="V925" s="7"/>
      <c r="AC925" s="7"/>
      <c r="AD925" s="7"/>
      <c r="AE925" s="7"/>
    </row>
    <row r="926">
      <c r="A926" s="7"/>
      <c r="B926" s="7"/>
      <c r="C926" s="7"/>
      <c r="D926" s="9"/>
      <c r="E926" s="10"/>
      <c r="F926" s="11"/>
      <c r="G926" s="11"/>
      <c r="J926" s="7"/>
      <c r="K926" s="8"/>
      <c r="L926" s="7"/>
      <c r="M926" s="7"/>
      <c r="N926" s="7"/>
      <c r="Q926" s="8"/>
      <c r="R926" s="7"/>
      <c r="S926" s="9"/>
      <c r="T926" s="7"/>
      <c r="U926" s="7"/>
      <c r="V926" s="7"/>
      <c r="AC926" s="7"/>
      <c r="AD926" s="7"/>
      <c r="AE926" s="7"/>
    </row>
    <row r="927">
      <c r="A927" s="7"/>
      <c r="B927" s="7"/>
      <c r="C927" s="7"/>
      <c r="D927" s="9"/>
      <c r="E927" s="10"/>
      <c r="F927" s="11"/>
      <c r="G927" s="11"/>
      <c r="J927" s="7"/>
      <c r="K927" s="8"/>
      <c r="L927" s="7"/>
      <c r="M927" s="7"/>
      <c r="N927" s="7"/>
      <c r="Q927" s="8"/>
      <c r="R927" s="7"/>
      <c r="S927" s="9"/>
      <c r="T927" s="7"/>
      <c r="U927" s="7"/>
      <c r="V927" s="7"/>
      <c r="AC927" s="7"/>
      <c r="AD927" s="7"/>
      <c r="AE927" s="7"/>
    </row>
    <row r="928">
      <c r="A928" s="7"/>
      <c r="B928" s="7"/>
      <c r="C928" s="7"/>
      <c r="D928" s="9"/>
      <c r="E928" s="10"/>
      <c r="F928" s="11"/>
      <c r="G928" s="11"/>
      <c r="J928" s="7"/>
      <c r="K928" s="8"/>
      <c r="L928" s="7"/>
      <c r="M928" s="7"/>
      <c r="N928" s="7"/>
      <c r="Q928" s="8"/>
      <c r="R928" s="7"/>
      <c r="S928" s="9"/>
      <c r="T928" s="7"/>
      <c r="U928" s="7"/>
      <c r="V928" s="7"/>
      <c r="AC928" s="7"/>
      <c r="AD928" s="7"/>
      <c r="AE928" s="7"/>
    </row>
    <row r="929">
      <c r="A929" s="7"/>
      <c r="B929" s="7"/>
      <c r="C929" s="7"/>
      <c r="D929" s="9"/>
      <c r="E929" s="10"/>
      <c r="F929" s="11"/>
      <c r="G929" s="11"/>
      <c r="J929" s="7"/>
      <c r="K929" s="8"/>
      <c r="L929" s="7"/>
      <c r="M929" s="7"/>
      <c r="N929" s="7"/>
      <c r="Q929" s="8"/>
      <c r="R929" s="7"/>
      <c r="S929" s="9"/>
      <c r="T929" s="7"/>
      <c r="U929" s="7"/>
      <c r="V929" s="7"/>
      <c r="AC929" s="7"/>
      <c r="AD929" s="7"/>
      <c r="AE929" s="7"/>
    </row>
    <row r="930">
      <c r="A930" s="7"/>
      <c r="B930" s="7"/>
      <c r="C930" s="7"/>
      <c r="D930" s="9"/>
      <c r="E930" s="10"/>
      <c r="F930" s="11"/>
      <c r="G930" s="11"/>
      <c r="J930" s="7"/>
      <c r="K930" s="8"/>
      <c r="L930" s="7"/>
      <c r="M930" s="7"/>
      <c r="N930" s="7"/>
      <c r="Q930" s="8"/>
      <c r="R930" s="7"/>
      <c r="S930" s="9"/>
      <c r="T930" s="7"/>
      <c r="U930" s="7"/>
      <c r="V930" s="7"/>
      <c r="AC930" s="7"/>
      <c r="AD930" s="7"/>
      <c r="AE930" s="7"/>
    </row>
    <row r="931">
      <c r="A931" s="7"/>
      <c r="B931" s="7"/>
      <c r="C931" s="7"/>
      <c r="D931" s="9"/>
      <c r="E931" s="10"/>
      <c r="F931" s="11"/>
      <c r="G931" s="11"/>
      <c r="J931" s="7"/>
      <c r="K931" s="8"/>
      <c r="L931" s="7"/>
      <c r="M931" s="7"/>
      <c r="N931" s="7"/>
      <c r="Q931" s="8"/>
      <c r="R931" s="7"/>
      <c r="S931" s="9"/>
      <c r="T931" s="7"/>
      <c r="U931" s="7"/>
      <c r="V931" s="7"/>
      <c r="AC931" s="7"/>
      <c r="AD931" s="7"/>
      <c r="AE931" s="7"/>
    </row>
    <row r="932">
      <c r="A932" s="7"/>
      <c r="B932" s="7"/>
      <c r="C932" s="7"/>
      <c r="D932" s="9"/>
      <c r="E932" s="10"/>
      <c r="F932" s="11"/>
      <c r="G932" s="11"/>
      <c r="J932" s="7"/>
      <c r="K932" s="8"/>
      <c r="L932" s="7"/>
      <c r="M932" s="7"/>
      <c r="N932" s="7"/>
      <c r="Q932" s="8"/>
      <c r="R932" s="7"/>
      <c r="S932" s="9"/>
      <c r="T932" s="7"/>
      <c r="U932" s="7"/>
      <c r="V932" s="7"/>
      <c r="AC932" s="7"/>
      <c r="AD932" s="7"/>
      <c r="AE932" s="7"/>
    </row>
    <row r="933">
      <c r="A933" s="7"/>
      <c r="B933" s="7"/>
      <c r="C933" s="7"/>
      <c r="D933" s="9"/>
      <c r="E933" s="10"/>
      <c r="F933" s="11"/>
      <c r="G933" s="11"/>
      <c r="J933" s="7"/>
      <c r="K933" s="8"/>
      <c r="L933" s="7"/>
      <c r="M933" s="7"/>
      <c r="N933" s="7"/>
      <c r="Q933" s="8"/>
      <c r="R933" s="7"/>
      <c r="S933" s="9"/>
      <c r="T933" s="7"/>
      <c r="U933" s="7"/>
      <c r="V933" s="7"/>
      <c r="AC933" s="7"/>
      <c r="AD933" s="7"/>
      <c r="AE933" s="7"/>
    </row>
    <row r="934">
      <c r="A934" s="7"/>
      <c r="B934" s="7"/>
      <c r="C934" s="7"/>
      <c r="D934" s="9"/>
      <c r="E934" s="10"/>
      <c r="F934" s="11"/>
      <c r="G934" s="11"/>
      <c r="J934" s="7"/>
      <c r="K934" s="8"/>
      <c r="L934" s="7"/>
      <c r="M934" s="7"/>
      <c r="N934" s="7"/>
      <c r="Q934" s="8"/>
      <c r="R934" s="7"/>
      <c r="S934" s="9"/>
      <c r="T934" s="7"/>
      <c r="U934" s="7"/>
      <c r="V934" s="7"/>
      <c r="AC934" s="7"/>
      <c r="AD934" s="7"/>
      <c r="AE934" s="7"/>
    </row>
    <row r="935">
      <c r="A935" s="7"/>
      <c r="B935" s="7"/>
      <c r="C935" s="7"/>
      <c r="D935" s="9"/>
      <c r="E935" s="10"/>
      <c r="F935" s="11"/>
      <c r="G935" s="11"/>
      <c r="J935" s="7"/>
      <c r="K935" s="8"/>
      <c r="L935" s="7"/>
      <c r="M935" s="7"/>
      <c r="N935" s="7"/>
      <c r="Q935" s="8"/>
      <c r="R935" s="7"/>
      <c r="S935" s="9"/>
      <c r="T935" s="7"/>
      <c r="U935" s="7"/>
      <c r="V935" s="7"/>
      <c r="AC935" s="7"/>
      <c r="AD935" s="7"/>
      <c r="AE935" s="7"/>
    </row>
    <row r="936">
      <c r="A936" s="7"/>
      <c r="B936" s="7"/>
      <c r="C936" s="7"/>
      <c r="D936" s="9"/>
      <c r="E936" s="10"/>
      <c r="F936" s="11"/>
      <c r="G936" s="11"/>
      <c r="J936" s="7"/>
      <c r="K936" s="8"/>
      <c r="L936" s="7"/>
      <c r="M936" s="7"/>
      <c r="N936" s="7"/>
      <c r="Q936" s="8"/>
      <c r="R936" s="7"/>
      <c r="S936" s="9"/>
      <c r="T936" s="7"/>
      <c r="U936" s="7"/>
      <c r="V936" s="7"/>
      <c r="AC936" s="7"/>
      <c r="AD936" s="7"/>
      <c r="AE936" s="7"/>
    </row>
    <row r="937">
      <c r="A937" s="7"/>
      <c r="B937" s="7"/>
      <c r="C937" s="7"/>
      <c r="D937" s="9"/>
      <c r="E937" s="10"/>
      <c r="F937" s="11"/>
      <c r="G937" s="11"/>
      <c r="J937" s="7"/>
      <c r="K937" s="8"/>
      <c r="L937" s="7"/>
      <c r="M937" s="7"/>
      <c r="N937" s="7"/>
      <c r="Q937" s="8"/>
      <c r="R937" s="7"/>
      <c r="S937" s="9"/>
      <c r="T937" s="7"/>
      <c r="U937" s="7"/>
      <c r="V937" s="7"/>
      <c r="AC937" s="7"/>
      <c r="AD937" s="7"/>
      <c r="AE937" s="7"/>
    </row>
    <row r="938">
      <c r="A938" s="7"/>
      <c r="B938" s="7"/>
      <c r="C938" s="7"/>
      <c r="D938" s="9"/>
      <c r="E938" s="10"/>
      <c r="F938" s="11"/>
      <c r="G938" s="11"/>
      <c r="J938" s="7"/>
      <c r="K938" s="8"/>
      <c r="L938" s="7"/>
      <c r="M938" s="7"/>
      <c r="N938" s="7"/>
      <c r="Q938" s="8"/>
      <c r="R938" s="7"/>
      <c r="S938" s="9"/>
      <c r="T938" s="7"/>
      <c r="U938" s="7"/>
      <c r="V938" s="7"/>
      <c r="AC938" s="7"/>
      <c r="AD938" s="7"/>
      <c r="AE938" s="7"/>
    </row>
    <row r="939">
      <c r="A939" s="7"/>
      <c r="B939" s="7"/>
      <c r="C939" s="7"/>
      <c r="D939" s="9"/>
      <c r="E939" s="10"/>
      <c r="F939" s="11"/>
      <c r="G939" s="11"/>
      <c r="J939" s="7"/>
      <c r="K939" s="8"/>
      <c r="L939" s="7"/>
      <c r="M939" s="7"/>
      <c r="N939" s="7"/>
      <c r="Q939" s="8"/>
      <c r="R939" s="7"/>
      <c r="S939" s="9"/>
      <c r="T939" s="7"/>
      <c r="U939" s="7"/>
      <c r="V939" s="7"/>
      <c r="AC939" s="7"/>
      <c r="AD939" s="7"/>
      <c r="AE939" s="7"/>
    </row>
    <row r="940">
      <c r="A940" s="7"/>
      <c r="B940" s="7"/>
      <c r="C940" s="7"/>
      <c r="D940" s="9"/>
      <c r="E940" s="10"/>
      <c r="F940" s="11"/>
      <c r="G940" s="11"/>
      <c r="J940" s="7"/>
      <c r="K940" s="8"/>
      <c r="L940" s="7"/>
      <c r="M940" s="7"/>
      <c r="N940" s="7"/>
      <c r="Q940" s="8"/>
      <c r="R940" s="7"/>
      <c r="S940" s="9"/>
      <c r="T940" s="7"/>
      <c r="U940" s="7"/>
      <c r="V940" s="7"/>
      <c r="AC940" s="7"/>
      <c r="AD940" s="7"/>
      <c r="AE940" s="7"/>
    </row>
    <row r="941">
      <c r="A941" s="7"/>
      <c r="B941" s="7"/>
      <c r="C941" s="7"/>
      <c r="D941" s="9"/>
      <c r="E941" s="10"/>
      <c r="F941" s="11"/>
      <c r="G941" s="11"/>
      <c r="J941" s="7"/>
      <c r="K941" s="8"/>
      <c r="L941" s="7"/>
      <c r="M941" s="7"/>
      <c r="N941" s="7"/>
      <c r="Q941" s="8"/>
      <c r="R941" s="7"/>
      <c r="S941" s="9"/>
      <c r="T941" s="7"/>
      <c r="U941" s="7"/>
      <c r="V941" s="7"/>
      <c r="AC941" s="7"/>
      <c r="AD941" s="7"/>
      <c r="AE941" s="7"/>
    </row>
    <row r="942">
      <c r="A942" s="7"/>
      <c r="B942" s="7"/>
      <c r="C942" s="7"/>
      <c r="D942" s="9"/>
      <c r="E942" s="10"/>
      <c r="F942" s="11"/>
      <c r="G942" s="11"/>
      <c r="J942" s="7"/>
      <c r="K942" s="8"/>
      <c r="L942" s="7"/>
      <c r="M942" s="7"/>
      <c r="N942" s="7"/>
      <c r="Q942" s="8"/>
      <c r="R942" s="7"/>
      <c r="S942" s="9"/>
      <c r="T942" s="7"/>
      <c r="U942" s="7"/>
      <c r="V942" s="7"/>
      <c r="AC942" s="7"/>
      <c r="AD942" s="7"/>
      <c r="AE942" s="7"/>
    </row>
    <row r="943">
      <c r="A943" s="7"/>
      <c r="B943" s="7"/>
      <c r="C943" s="7"/>
      <c r="D943" s="9"/>
      <c r="E943" s="10"/>
      <c r="F943" s="11"/>
      <c r="G943" s="11"/>
      <c r="J943" s="7"/>
      <c r="K943" s="8"/>
      <c r="L943" s="7"/>
      <c r="M943" s="7"/>
      <c r="N943" s="7"/>
      <c r="Q943" s="8"/>
      <c r="R943" s="7"/>
      <c r="S943" s="9"/>
      <c r="T943" s="7"/>
      <c r="U943" s="7"/>
      <c r="V943" s="7"/>
      <c r="AC943" s="7"/>
      <c r="AD943" s="7"/>
      <c r="AE943" s="7"/>
    </row>
    <row r="944">
      <c r="A944" s="7"/>
      <c r="B944" s="7"/>
      <c r="C944" s="7"/>
      <c r="D944" s="9"/>
      <c r="E944" s="10"/>
      <c r="F944" s="11"/>
      <c r="G944" s="11"/>
      <c r="J944" s="7"/>
      <c r="K944" s="8"/>
      <c r="L944" s="7"/>
      <c r="M944" s="7"/>
      <c r="N944" s="7"/>
      <c r="Q944" s="8"/>
      <c r="R944" s="7"/>
      <c r="S944" s="9"/>
      <c r="T944" s="7"/>
      <c r="U944" s="7"/>
      <c r="V944" s="7"/>
      <c r="AC944" s="7"/>
      <c r="AD944" s="7"/>
      <c r="AE944" s="7"/>
    </row>
    <row r="945">
      <c r="A945" s="7"/>
      <c r="B945" s="7"/>
      <c r="C945" s="7"/>
      <c r="D945" s="9"/>
      <c r="E945" s="10"/>
      <c r="F945" s="11"/>
      <c r="G945" s="11"/>
      <c r="J945" s="7"/>
      <c r="K945" s="8"/>
      <c r="L945" s="7"/>
      <c r="M945" s="7"/>
      <c r="N945" s="7"/>
      <c r="Q945" s="8"/>
      <c r="R945" s="7"/>
      <c r="S945" s="9"/>
      <c r="T945" s="7"/>
      <c r="U945" s="7"/>
      <c r="V945" s="7"/>
      <c r="AC945" s="7"/>
      <c r="AD945" s="7"/>
      <c r="AE945" s="7"/>
    </row>
    <row r="946">
      <c r="A946" s="7"/>
      <c r="B946" s="7"/>
      <c r="C946" s="7"/>
      <c r="D946" s="9"/>
      <c r="E946" s="10"/>
      <c r="F946" s="11"/>
      <c r="G946" s="11"/>
      <c r="J946" s="7"/>
      <c r="K946" s="8"/>
      <c r="L946" s="7"/>
      <c r="M946" s="7"/>
      <c r="N946" s="7"/>
      <c r="Q946" s="8"/>
      <c r="R946" s="7"/>
      <c r="S946" s="9"/>
      <c r="T946" s="7"/>
      <c r="U946" s="7"/>
      <c r="V946" s="7"/>
      <c r="AC946" s="7"/>
      <c r="AD946" s="7"/>
      <c r="AE946" s="7"/>
    </row>
    <row r="947">
      <c r="A947" s="7"/>
      <c r="B947" s="7"/>
      <c r="C947" s="7"/>
      <c r="D947" s="9"/>
      <c r="E947" s="10"/>
      <c r="F947" s="11"/>
      <c r="G947" s="11"/>
      <c r="J947" s="7"/>
      <c r="K947" s="8"/>
      <c r="L947" s="7"/>
      <c r="M947" s="7"/>
      <c r="N947" s="7"/>
      <c r="Q947" s="8"/>
      <c r="R947" s="7"/>
      <c r="S947" s="9"/>
      <c r="T947" s="7"/>
      <c r="U947" s="7"/>
      <c r="V947" s="7"/>
      <c r="AC947" s="7"/>
      <c r="AD947" s="7"/>
      <c r="AE947" s="7"/>
    </row>
    <row r="948">
      <c r="A948" s="7"/>
      <c r="B948" s="7"/>
      <c r="C948" s="7"/>
      <c r="D948" s="9"/>
      <c r="E948" s="10"/>
      <c r="F948" s="11"/>
      <c r="G948" s="11"/>
      <c r="J948" s="7"/>
      <c r="K948" s="8"/>
      <c r="L948" s="7"/>
      <c r="M948" s="7"/>
      <c r="N948" s="7"/>
      <c r="Q948" s="8"/>
      <c r="R948" s="7"/>
      <c r="S948" s="9"/>
      <c r="T948" s="7"/>
      <c r="U948" s="7"/>
      <c r="V948" s="7"/>
      <c r="AC948" s="7"/>
      <c r="AD948" s="7"/>
      <c r="AE948" s="7"/>
    </row>
    <row r="949">
      <c r="A949" s="7"/>
      <c r="B949" s="7"/>
      <c r="C949" s="7"/>
      <c r="D949" s="9"/>
      <c r="E949" s="10"/>
      <c r="F949" s="11"/>
      <c r="G949" s="11"/>
      <c r="J949" s="7"/>
      <c r="K949" s="8"/>
      <c r="L949" s="7"/>
      <c r="M949" s="7"/>
      <c r="N949" s="7"/>
      <c r="Q949" s="8"/>
      <c r="R949" s="7"/>
      <c r="S949" s="9"/>
      <c r="T949" s="7"/>
      <c r="U949" s="7"/>
      <c r="V949" s="7"/>
      <c r="AC949" s="7"/>
      <c r="AD949" s="7"/>
      <c r="AE949" s="7"/>
    </row>
    <row r="950">
      <c r="A950" s="7"/>
      <c r="B950" s="7"/>
      <c r="C950" s="7"/>
      <c r="D950" s="9"/>
      <c r="E950" s="10"/>
      <c r="F950" s="11"/>
      <c r="G950" s="11"/>
      <c r="J950" s="7"/>
      <c r="K950" s="8"/>
      <c r="L950" s="7"/>
      <c r="M950" s="7"/>
      <c r="N950" s="7"/>
      <c r="Q950" s="8"/>
      <c r="R950" s="7"/>
      <c r="S950" s="9"/>
      <c r="T950" s="7"/>
      <c r="U950" s="7"/>
      <c r="V950" s="7"/>
      <c r="AC950" s="7"/>
      <c r="AD950" s="7"/>
      <c r="AE950" s="7"/>
    </row>
    <row r="951">
      <c r="A951" s="7"/>
      <c r="B951" s="7"/>
      <c r="C951" s="7"/>
      <c r="D951" s="9"/>
      <c r="E951" s="10"/>
      <c r="F951" s="11"/>
      <c r="G951" s="11"/>
      <c r="J951" s="7"/>
      <c r="K951" s="8"/>
      <c r="L951" s="7"/>
      <c r="M951" s="7"/>
      <c r="N951" s="7"/>
      <c r="Q951" s="8"/>
      <c r="R951" s="7"/>
      <c r="S951" s="9"/>
      <c r="T951" s="7"/>
      <c r="U951" s="7"/>
      <c r="V951" s="7"/>
      <c r="AC951" s="7"/>
      <c r="AD951" s="7"/>
      <c r="AE951" s="7"/>
    </row>
    <row r="952">
      <c r="A952" s="7"/>
      <c r="B952" s="7"/>
      <c r="C952" s="7"/>
      <c r="D952" s="9"/>
      <c r="E952" s="10"/>
      <c r="F952" s="11"/>
      <c r="G952" s="11"/>
      <c r="J952" s="7"/>
      <c r="K952" s="8"/>
      <c r="L952" s="7"/>
      <c r="M952" s="7"/>
      <c r="N952" s="7"/>
      <c r="Q952" s="8"/>
      <c r="R952" s="7"/>
      <c r="S952" s="9"/>
      <c r="T952" s="7"/>
      <c r="U952" s="7"/>
      <c r="V952" s="7"/>
      <c r="AC952" s="7"/>
      <c r="AD952" s="7"/>
      <c r="AE952" s="7"/>
    </row>
    <row r="953">
      <c r="A953" s="7"/>
      <c r="B953" s="7"/>
      <c r="C953" s="7"/>
      <c r="D953" s="9"/>
      <c r="E953" s="10"/>
      <c r="F953" s="11"/>
      <c r="G953" s="11"/>
      <c r="J953" s="7"/>
      <c r="K953" s="8"/>
      <c r="L953" s="7"/>
      <c r="M953" s="7"/>
      <c r="N953" s="7"/>
      <c r="Q953" s="8"/>
      <c r="R953" s="7"/>
      <c r="S953" s="9"/>
      <c r="T953" s="7"/>
      <c r="U953" s="7"/>
      <c r="V953" s="7"/>
      <c r="AC953" s="7"/>
      <c r="AD953" s="7"/>
      <c r="AE953" s="7"/>
    </row>
    <row r="954">
      <c r="A954" s="7"/>
      <c r="B954" s="7"/>
      <c r="C954" s="7"/>
      <c r="D954" s="9"/>
      <c r="E954" s="10"/>
      <c r="F954" s="11"/>
      <c r="G954" s="11"/>
      <c r="J954" s="7"/>
      <c r="K954" s="8"/>
      <c r="L954" s="7"/>
      <c r="M954" s="7"/>
      <c r="N954" s="7"/>
      <c r="Q954" s="8"/>
      <c r="R954" s="7"/>
      <c r="S954" s="9"/>
      <c r="T954" s="7"/>
      <c r="U954" s="7"/>
      <c r="V954" s="7"/>
      <c r="AC954" s="7"/>
      <c r="AD954" s="7"/>
      <c r="AE954" s="7"/>
    </row>
    <row r="955">
      <c r="A955" s="7"/>
      <c r="B955" s="7"/>
      <c r="C955" s="7"/>
      <c r="D955" s="9"/>
      <c r="E955" s="10"/>
      <c r="F955" s="11"/>
      <c r="G955" s="11"/>
      <c r="J955" s="7"/>
      <c r="K955" s="8"/>
      <c r="L955" s="7"/>
      <c r="M955" s="7"/>
      <c r="N955" s="7"/>
      <c r="Q955" s="8"/>
      <c r="R955" s="7"/>
      <c r="S955" s="9"/>
      <c r="T955" s="7"/>
      <c r="U955" s="7"/>
      <c r="V955" s="7"/>
      <c r="AC955" s="7"/>
      <c r="AD955" s="7"/>
      <c r="AE955" s="7"/>
    </row>
    <row r="956">
      <c r="A956" s="7"/>
      <c r="B956" s="7"/>
      <c r="C956" s="7"/>
      <c r="D956" s="9"/>
      <c r="E956" s="10"/>
      <c r="F956" s="11"/>
      <c r="G956" s="11"/>
      <c r="J956" s="7"/>
      <c r="K956" s="8"/>
      <c r="L956" s="7"/>
      <c r="M956" s="7"/>
      <c r="N956" s="7"/>
      <c r="Q956" s="8"/>
      <c r="R956" s="7"/>
      <c r="S956" s="9"/>
      <c r="T956" s="7"/>
      <c r="U956" s="7"/>
      <c r="V956" s="7"/>
      <c r="AC956" s="7"/>
      <c r="AD956" s="7"/>
      <c r="AE956" s="7"/>
    </row>
    <row r="957">
      <c r="A957" s="7"/>
      <c r="B957" s="7"/>
      <c r="C957" s="7"/>
      <c r="D957" s="9"/>
      <c r="E957" s="10"/>
      <c r="F957" s="11"/>
      <c r="G957" s="11"/>
      <c r="J957" s="7"/>
      <c r="K957" s="8"/>
      <c r="L957" s="7"/>
      <c r="M957" s="7"/>
      <c r="N957" s="7"/>
      <c r="Q957" s="8"/>
      <c r="R957" s="7"/>
      <c r="S957" s="9"/>
      <c r="T957" s="7"/>
      <c r="U957" s="7"/>
      <c r="V957" s="7"/>
      <c r="AC957" s="7"/>
      <c r="AD957" s="7"/>
      <c r="AE957" s="7"/>
    </row>
    <row r="958">
      <c r="A958" s="7"/>
      <c r="B958" s="7"/>
      <c r="C958" s="7"/>
      <c r="D958" s="9"/>
      <c r="E958" s="10"/>
      <c r="F958" s="11"/>
      <c r="G958" s="11"/>
      <c r="J958" s="7"/>
      <c r="K958" s="8"/>
      <c r="L958" s="7"/>
      <c r="M958" s="7"/>
      <c r="N958" s="7"/>
      <c r="Q958" s="8"/>
      <c r="R958" s="7"/>
      <c r="S958" s="9"/>
      <c r="T958" s="7"/>
      <c r="U958" s="7"/>
      <c r="V958" s="7"/>
      <c r="AC958" s="7"/>
      <c r="AD958" s="7"/>
      <c r="AE958" s="7"/>
    </row>
    <row r="959">
      <c r="A959" s="7"/>
      <c r="B959" s="7"/>
      <c r="C959" s="7"/>
      <c r="D959" s="9"/>
      <c r="E959" s="10"/>
      <c r="F959" s="11"/>
      <c r="G959" s="11"/>
      <c r="J959" s="7"/>
      <c r="K959" s="8"/>
      <c r="L959" s="7"/>
      <c r="M959" s="7"/>
      <c r="N959" s="7"/>
      <c r="Q959" s="8"/>
      <c r="R959" s="7"/>
      <c r="S959" s="9"/>
      <c r="T959" s="7"/>
      <c r="U959" s="7"/>
      <c r="V959" s="7"/>
      <c r="AC959" s="7"/>
      <c r="AD959" s="7"/>
      <c r="AE959" s="7"/>
    </row>
    <row r="960">
      <c r="A960" s="7"/>
      <c r="B960" s="7"/>
      <c r="C960" s="7"/>
      <c r="D960" s="9"/>
      <c r="E960" s="10"/>
      <c r="F960" s="11"/>
      <c r="G960" s="11"/>
      <c r="J960" s="7"/>
      <c r="K960" s="8"/>
      <c r="L960" s="7"/>
      <c r="M960" s="7"/>
      <c r="N960" s="7"/>
      <c r="Q960" s="8"/>
      <c r="R960" s="7"/>
      <c r="S960" s="9"/>
      <c r="T960" s="7"/>
      <c r="U960" s="7"/>
      <c r="V960" s="7"/>
      <c r="AC960" s="7"/>
      <c r="AD960" s="7"/>
      <c r="AE960" s="7"/>
    </row>
    <row r="961">
      <c r="A961" s="7"/>
      <c r="B961" s="7"/>
      <c r="C961" s="7"/>
      <c r="D961" s="9"/>
      <c r="E961" s="10"/>
      <c r="F961" s="11"/>
      <c r="G961" s="11"/>
      <c r="J961" s="7"/>
      <c r="K961" s="8"/>
      <c r="L961" s="7"/>
      <c r="M961" s="7"/>
      <c r="N961" s="7"/>
      <c r="Q961" s="8"/>
      <c r="R961" s="7"/>
      <c r="S961" s="9"/>
      <c r="T961" s="7"/>
      <c r="U961" s="7"/>
      <c r="V961" s="7"/>
      <c r="AC961" s="7"/>
      <c r="AD961" s="7"/>
      <c r="AE961" s="7"/>
    </row>
    <row r="962">
      <c r="A962" s="7"/>
      <c r="B962" s="7"/>
      <c r="C962" s="7"/>
      <c r="D962" s="9"/>
      <c r="E962" s="10"/>
      <c r="F962" s="11"/>
      <c r="G962" s="11"/>
      <c r="J962" s="7"/>
      <c r="K962" s="8"/>
      <c r="L962" s="7"/>
      <c r="M962" s="7"/>
      <c r="N962" s="7"/>
      <c r="Q962" s="8"/>
      <c r="R962" s="7"/>
      <c r="S962" s="9"/>
      <c r="T962" s="7"/>
      <c r="U962" s="7"/>
      <c r="V962" s="7"/>
      <c r="AC962" s="7"/>
      <c r="AD962" s="7"/>
      <c r="AE962" s="7"/>
    </row>
    <row r="963">
      <c r="A963" s="7"/>
      <c r="B963" s="7"/>
      <c r="C963" s="7"/>
      <c r="D963" s="9"/>
      <c r="E963" s="10"/>
      <c r="F963" s="11"/>
      <c r="G963" s="11"/>
      <c r="J963" s="7"/>
      <c r="K963" s="8"/>
      <c r="L963" s="7"/>
      <c r="M963" s="7"/>
      <c r="N963" s="7"/>
      <c r="Q963" s="8"/>
      <c r="R963" s="7"/>
      <c r="S963" s="9"/>
      <c r="T963" s="7"/>
      <c r="U963" s="7"/>
      <c r="V963" s="7"/>
      <c r="AC963" s="7"/>
      <c r="AD963" s="7"/>
      <c r="AE963" s="7"/>
    </row>
    <row r="964">
      <c r="A964" s="7"/>
      <c r="B964" s="7"/>
      <c r="C964" s="7"/>
      <c r="D964" s="9"/>
      <c r="E964" s="10"/>
      <c r="F964" s="11"/>
      <c r="G964" s="11"/>
      <c r="J964" s="7"/>
      <c r="K964" s="8"/>
      <c r="L964" s="7"/>
      <c r="M964" s="7"/>
      <c r="N964" s="7"/>
      <c r="Q964" s="8"/>
      <c r="R964" s="7"/>
      <c r="S964" s="9"/>
      <c r="T964" s="7"/>
      <c r="U964" s="7"/>
      <c r="V964" s="7"/>
      <c r="AC964" s="7"/>
      <c r="AD964" s="7"/>
      <c r="AE964" s="7"/>
    </row>
  </sheetData>
  <dataValidations>
    <dataValidation type="list" allowBlank="1" showErrorMessage="1" sqref="Q2:Q964">
      <formula1>"timeout,user_cancel,admin_adjust,etc"</formula1>
    </dataValidation>
    <dataValidation type="list" allowBlank="1" showErrorMessage="1" sqref="K2:K964">
      <formula1>"PENDING,CONFIRMED,CANCELLED,PAID"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2" t="s">
        <v>1</v>
      </c>
      <c r="B1" s="12" t="s">
        <v>4</v>
      </c>
      <c r="C1" s="12" t="s">
        <v>5</v>
      </c>
      <c r="D1" s="12" t="s">
        <v>7</v>
      </c>
      <c r="E1" s="12" t="s">
        <v>3</v>
      </c>
      <c r="F1" s="12" t="s">
        <v>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25</v>
      </c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" t="s">
        <v>37</v>
      </c>
      <c r="B3" s="12" t="s">
        <v>38</v>
      </c>
      <c r="C3" s="12" t="s">
        <v>39</v>
      </c>
      <c r="D3" s="12" t="s">
        <v>34</v>
      </c>
      <c r="E3" s="12" t="s">
        <v>35</v>
      </c>
      <c r="F3" s="12" t="s">
        <v>40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" t="s">
        <v>41</v>
      </c>
      <c r="B4" s="12" t="s">
        <v>38</v>
      </c>
      <c r="C4" s="12" t="s">
        <v>42</v>
      </c>
      <c r="D4" s="13"/>
      <c r="E4" s="12" t="s">
        <v>43</v>
      </c>
      <c r="F4" s="12" t="s">
        <v>44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" t="s">
        <v>45</v>
      </c>
      <c r="B5" s="12" t="s">
        <v>46</v>
      </c>
      <c r="C5" s="12" t="s">
        <v>33</v>
      </c>
      <c r="D5" s="12" t="s">
        <v>34</v>
      </c>
      <c r="E5" s="12" t="s">
        <v>47</v>
      </c>
      <c r="F5" s="12" t="s">
        <v>48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" t="s">
        <v>49</v>
      </c>
      <c r="B6" s="12" t="s">
        <v>50</v>
      </c>
      <c r="C6" s="12" t="s">
        <v>39</v>
      </c>
      <c r="D6" s="12" t="s">
        <v>34</v>
      </c>
      <c r="E6" s="12" t="s">
        <v>47</v>
      </c>
      <c r="F6" s="12" t="s">
        <v>51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75"/>
    <col customWidth="1" min="3" max="3" width="33.63"/>
    <col customWidth="1" min="4" max="4" width="30.0"/>
    <col customWidth="1" min="5" max="5" width="53.88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</row>
    <row r="2">
      <c r="A2" s="14">
        <v>46015.40759259259</v>
      </c>
      <c r="B2" s="1" t="s">
        <v>45</v>
      </c>
      <c r="C2" s="1" t="s">
        <v>56</v>
      </c>
      <c r="D2" s="1" t="s">
        <v>57</v>
      </c>
    </row>
    <row r="3">
      <c r="A3" s="14">
        <v>46015.40771990741</v>
      </c>
      <c r="B3" s="1" t="s">
        <v>45</v>
      </c>
      <c r="C3" s="1" t="s">
        <v>56</v>
      </c>
      <c r="D3" s="1" t="s">
        <v>58</v>
      </c>
    </row>
    <row r="4">
      <c r="A4" s="14">
        <v>46015.40789351852</v>
      </c>
      <c r="B4" s="1" t="s">
        <v>45</v>
      </c>
      <c r="C4" s="1" t="s">
        <v>56</v>
      </c>
      <c r="D4" s="1" t="s">
        <v>59</v>
      </c>
    </row>
    <row r="5">
      <c r="A5" s="14">
        <v>46015.41961805556</v>
      </c>
      <c r="B5" s="1" t="s">
        <v>45</v>
      </c>
      <c r="C5" s="1" t="s">
        <v>56</v>
      </c>
      <c r="D5" s="1" t="s">
        <v>60</v>
      </c>
    </row>
    <row r="6">
      <c r="A6" s="14">
        <v>46015.419803240744</v>
      </c>
      <c r="B6" s="1" t="s">
        <v>45</v>
      </c>
      <c r="C6" s="1" t="s">
        <v>56</v>
      </c>
      <c r="D6" s="1" t="s">
        <v>61</v>
      </c>
    </row>
    <row r="7">
      <c r="A7" s="14">
        <v>46025.543854166666</v>
      </c>
      <c r="B7" s="1" t="s">
        <v>45</v>
      </c>
      <c r="C7" s="1" t="s">
        <v>56</v>
      </c>
      <c r="D7" s="1" t="s">
        <v>62</v>
      </c>
    </row>
    <row r="8">
      <c r="A8" s="14">
        <v>46025.543958333335</v>
      </c>
      <c r="B8" s="1" t="s">
        <v>45</v>
      </c>
      <c r="C8" s="1" t="s">
        <v>56</v>
      </c>
      <c r="D8" s="1" t="s">
        <v>63</v>
      </c>
    </row>
    <row r="9">
      <c r="A9" s="14">
        <v>46035.397673611114</v>
      </c>
      <c r="B9" s="1" t="s">
        <v>45</v>
      </c>
      <c r="C9" s="1" t="s">
        <v>56</v>
      </c>
      <c r="D9" s="1" t="s">
        <v>64</v>
      </c>
    </row>
    <row r="10">
      <c r="A10" s="14">
        <v>46035.3978587963</v>
      </c>
      <c r="B10" s="1" t="s">
        <v>45</v>
      </c>
      <c r="C10" s="1" t="s">
        <v>56</v>
      </c>
      <c r="D10" s="1" t="s">
        <v>58</v>
      </c>
    </row>
    <row r="11">
      <c r="A11" s="14">
        <v>46035.39803240741</v>
      </c>
      <c r="B11" s="1" t="s">
        <v>45</v>
      </c>
      <c r="C11" s="1" t="s">
        <v>56</v>
      </c>
      <c r="D11" s="1" t="s">
        <v>65</v>
      </c>
    </row>
    <row r="12">
      <c r="A12" s="14"/>
      <c r="B12" s="1"/>
      <c r="C12" s="1"/>
      <c r="D12" s="1"/>
    </row>
    <row r="13">
      <c r="A13" s="14"/>
      <c r="B13" s="1"/>
      <c r="C13" s="1"/>
      <c r="D13" s="1"/>
    </row>
    <row r="14">
      <c r="A14" s="14"/>
      <c r="B14" s="1"/>
      <c r="C14" s="1"/>
      <c r="D14" s="1"/>
    </row>
    <row r="15">
      <c r="A15" s="14"/>
      <c r="B15" s="1"/>
      <c r="C15" s="1"/>
      <c r="D15" s="1"/>
    </row>
    <row r="16">
      <c r="A16" s="14"/>
      <c r="B16" s="1"/>
      <c r="C16" s="1"/>
      <c r="D16" s="1"/>
    </row>
    <row r="17">
      <c r="A17" s="14"/>
      <c r="B17" s="1"/>
      <c r="C17" s="1"/>
      <c r="D17" s="1"/>
    </row>
    <row r="18">
      <c r="A18" s="14"/>
      <c r="B18" s="1"/>
      <c r="C18" s="1"/>
      <c r="D18" s="1"/>
    </row>
    <row r="19">
      <c r="A19" s="14"/>
      <c r="B19" s="1"/>
      <c r="C19" s="1"/>
      <c r="D19" s="1"/>
    </row>
    <row r="20">
      <c r="A20" s="14"/>
      <c r="B20" s="1"/>
      <c r="C20" s="1"/>
      <c r="D20" s="1"/>
    </row>
    <row r="21">
      <c r="A21" s="14"/>
      <c r="B21" s="1"/>
      <c r="C21" s="1"/>
      <c r="D21" s="1"/>
    </row>
    <row r="22">
      <c r="A22" s="14"/>
      <c r="B22" s="1"/>
      <c r="C22" s="1"/>
      <c r="D22" s="1"/>
    </row>
    <row r="23">
      <c r="A23" s="14"/>
      <c r="B23" s="1"/>
      <c r="C23" s="1"/>
      <c r="D23" s="1"/>
    </row>
    <row r="24">
      <c r="A24" s="14"/>
      <c r="B24" s="1"/>
      <c r="C24" s="1"/>
      <c r="D24" s="1"/>
    </row>
    <row r="25">
      <c r="A25" s="14"/>
      <c r="B25" s="1"/>
      <c r="C25" s="1"/>
      <c r="D25" s="1"/>
    </row>
    <row r="26">
      <c r="A26" s="14"/>
      <c r="B26" s="1"/>
      <c r="C26" s="1"/>
      <c r="D26" s="1"/>
    </row>
    <row r="27">
      <c r="A27" s="14"/>
      <c r="B27" s="1"/>
      <c r="C27" s="1"/>
      <c r="D27" s="1"/>
    </row>
    <row r="28">
      <c r="A28" s="14"/>
      <c r="B28" s="1"/>
      <c r="C28" s="1"/>
      <c r="D28" s="1"/>
    </row>
    <row r="29">
      <c r="A29" s="14"/>
      <c r="B29" s="1"/>
      <c r="C29" s="1"/>
      <c r="D29" s="1"/>
    </row>
    <row r="30">
      <c r="A30" s="14"/>
      <c r="B30" s="1"/>
      <c r="C30" s="1"/>
      <c r="D30" s="1"/>
    </row>
    <row r="31">
      <c r="A31" s="14"/>
      <c r="B31" s="1"/>
      <c r="C31" s="1"/>
      <c r="D31" s="1"/>
    </row>
    <row r="32">
      <c r="A32" s="14"/>
      <c r="B32" s="1"/>
      <c r="C32" s="1"/>
      <c r="D32" s="1"/>
    </row>
    <row r="33">
      <c r="A33" s="14"/>
      <c r="B33" s="1"/>
      <c r="C33" s="1"/>
      <c r="D33" s="1"/>
    </row>
    <row r="34">
      <c r="A34" s="14"/>
      <c r="B34" s="1"/>
      <c r="C34" s="1"/>
      <c r="D34" s="1"/>
    </row>
    <row r="35">
      <c r="A35" s="14"/>
      <c r="B35" s="1"/>
      <c r="C35" s="1"/>
      <c r="D35" s="1"/>
    </row>
    <row r="36">
      <c r="A36" s="14"/>
      <c r="B36" s="1"/>
      <c r="C36" s="1"/>
      <c r="D36" s="1"/>
    </row>
    <row r="37">
      <c r="A37" s="14"/>
      <c r="B37" s="1"/>
      <c r="C37" s="1"/>
      <c r="D37" s="1"/>
    </row>
    <row r="38">
      <c r="A38" s="14"/>
      <c r="B38" s="1"/>
      <c r="C38" s="1"/>
      <c r="D38" s="1"/>
    </row>
    <row r="39">
      <c r="A39" s="14"/>
      <c r="B39" s="1"/>
      <c r="C39" s="1"/>
      <c r="D39" s="1"/>
    </row>
    <row r="40">
      <c r="A40" s="14"/>
      <c r="B40" s="1"/>
      <c r="C40" s="1"/>
      <c r="D40" s="1"/>
    </row>
    <row r="41">
      <c r="A41" s="14"/>
      <c r="B41" s="1"/>
      <c r="C41" s="1"/>
      <c r="D41" s="1"/>
    </row>
    <row r="42">
      <c r="A42" s="14"/>
      <c r="B42" s="1"/>
      <c r="C42" s="1"/>
      <c r="D42" s="1"/>
    </row>
    <row r="43">
      <c r="A43" s="14"/>
      <c r="B43" s="1"/>
      <c r="C43" s="1"/>
      <c r="D43" s="1"/>
    </row>
    <row r="44">
      <c r="A44" s="14"/>
      <c r="B44" s="1"/>
      <c r="C44" s="1"/>
      <c r="D44" s="1"/>
    </row>
    <row r="45">
      <c r="A45" s="14"/>
      <c r="B45" s="1"/>
      <c r="C45" s="1"/>
      <c r="D45" s="1"/>
    </row>
    <row r="46">
      <c r="A46" s="14"/>
      <c r="B46" s="1"/>
      <c r="C46" s="1"/>
      <c r="D46" s="1"/>
    </row>
    <row r="47">
      <c r="A47" s="14"/>
      <c r="B47" s="1"/>
      <c r="C47" s="1"/>
      <c r="D47" s="1"/>
    </row>
    <row r="48">
      <c r="A48" s="14"/>
      <c r="B48" s="1"/>
      <c r="C48" s="1"/>
      <c r="D48" s="1"/>
    </row>
    <row r="49">
      <c r="A49" s="14"/>
      <c r="B49" s="1"/>
      <c r="C49" s="1"/>
      <c r="D49" s="1"/>
    </row>
    <row r="50">
      <c r="A50" s="14"/>
      <c r="B50" s="1"/>
      <c r="C50" s="1"/>
      <c r="D50" s="1"/>
    </row>
    <row r="51">
      <c r="A51" s="14"/>
      <c r="B51" s="1"/>
      <c r="C51" s="1"/>
      <c r="D51" s="1"/>
    </row>
    <row r="52">
      <c r="A52" s="14"/>
      <c r="B52" s="1"/>
      <c r="C52" s="1"/>
      <c r="D52" s="1"/>
    </row>
    <row r="53">
      <c r="A53" s="14"/>
      <c r="B53" s="1"/>
      <c r="C53" s="1"/>
      <c r="D53" s="1"/>
    </row>
    <row r="54">
      <c r="A54" s="14"/>
      <c r="B54" s="1"/>
      <c r="C54" s="1"/>
      <c r="D54" s="1"/>
    </row>
    <row r="55">
      <c r="A55" s="14"/>
      <c r="B55" s="1"/>
      <c r="C55" s="1"/>
      <c r="D55" s="1"/>
    </row>
    <row r="56">
      <c r="A56" s="14"/>
      <c r="B56" s="1"/>
      <c r="C56" s="1"/>
      <c r="D56" s="1"/>
    </row>
    <row r="57">
      <c r="A57" s="14"/>
      <c r="B57" s="1"/>
      <c r="C57" s="1"/>
      <c r="D57" s="1"/>
    </row>
    <row r="58">
      <c r="A58" s="14"/>
      <c r="B58" s="1"/>
      <c r="C58" s="1"/>
      <c r="D58" s="1"/>
    </row>
    <row r="59">
      <c r="A59" s="14"/>
      <c r="B59" s="1"/>
      <c r="C59" s="1"/>
      <c r="D59" s="1"/>
    </row>
    <row r="60">
      <c r="A60" s="14"/>
      <c r="B60" s="1"/>
      <c r="C60" s="1"/>
      <c r="D60" s="1"/>
    </row>
    <row r="61">
      <c r="A61" s="14"/>
      <c r="B61" s="1"/>
      <c r="C61" s="1"/>
      <c r="D61" s="1"/>
    </row>
    <row r="62">
      <c r="A62" s="14"/>
      <c r="B62" s="1"/>
      <c r="C62" s="1"/>
      <c r="D62" s="1"/>
    </row>
    <row r="63">
      <c r="A63" s="14"/>
      <c r="B63" s="1"/>
      <c r="C63" s="1"/>
      <c r="D63" s="1"/>
    </row>
    <row r="64">
      <c r="A64" s="14"/>
      <c r="B64" s="1"/>
      <c r="C64" s="1"/>
      <c r="D64" s="1"/>
    </row>
    <row r="65">
      <c r="A65" s="14"/>
      <c r="B65" s="1"/>
      <c r="C65" s="1"/>
      <c r="D65" s="1"/>
    </row>
    <row r="66">
      <c r="A66" s="14"/>
      <c r="B66" s="1"/>
      <c r="C66" s="1"/>
      <c r="D66" s="1"/>
    </row>
    <row r="67">
      <c r="A67" s="14"/>
      <c r="B67" s="1"/>
      <c r="C67" s="1"/>
      <c r="D67" s="1"/>
    </row>
    <row r="68">
      <c r="A68" s="14"/>
      <c r="B68" s="1"/>
      <c r="C68" s="1"/>
      <c r="D68" s="1"/>
    </row>
    <row r="69">
      <c r="A69" s="14"/>
      <c r="B69" s="1"/>
      <c r="C69" s="1"/>
      <c r="D69" s="1"/>
    </row>
    <row r="70">
      <c r="A70" s="14"/>
      <c r="B70" s="1"/>
      <c r="C70" s="1"/>
      <c r="D70" s="1"/>
    </row>
    <row r="71">
      <c r="A71" s="14"/>
      <c r="B71" s="1"/>
      <c r="C71" s="1"/>
      <c r="D71" s="1"/>
    </row>
    <row r="72">
      <c r="A72" s="14"/>
      <c r="B72" s="1"/>
      <c r="C72" s="1"/>
      <c r="D72" s="1"/>
    </row>
    <row r="73">
      <c r="A73" s="14"/>
      <c r="B73" s="1"/>
      <c r="C73" s="1"/>
      <c r="D73" s="1"/>
    </row>
    <row r="74">
      <c r="A74" s="14"/>
      <c r="B74" s="1"/>
      <c r="C74" s="1"/>
      <c r="D74" s="1"/>
    </row>
    <row r="75">
      <c r="A75" s="14"/>
      <c r="B75" s="1"/>
      <c r="C75" s="1"/>
      <c r="D75" s="1"/>
    </row>
    <row r="76">
      <c r="A76" s="14"/>
      <c r="B76" s="1"/>
      <c r="C76" s="1"/>
      <c r="D76" s="1"/>
    </row>
    <row r="77">
      <c r="A77" s="14"/>
      <c r="B77" s="1"/>
      <c r="C77" s="1"/>
      <c r="D77" s="1"/>
    </row>
    <row r="78">
      <c r="A78" s="14"/>
      <c r="B78" s="1"/>
      <c r="C78" s="1"/>
      <c r="D78" s="1"/>
    </row>
    <row r="79">
      <c r="A79" s="14"/>
      <c r="B79" s="1"/>
      <c r="C79" s="1"/>
      <c r="D79" s="1"/>
    </row>
    <row r="80">
      <c r="A80" s="14"/>
      <c r="B80" s="1"/>
      <c r="C80" s="1"/>
      <c r="D80" s="1"/>
    </row>
    <row r="81">
      <c r="A81" s="14"/>
      <c r="B81" s="1"/>
      <c r="C81" s="1"/>
      <c r="D81" s="1"/>
    </row>
    <row r="82">
      <c r="A82" s="14"/>
      <c r="B82" s="1"/>
      <c r="C82" s="1"/>
      <c r="D82" s="1"/>
    </row>
    <row r="83">
      <c r="A83" s="14"/>
      <c r="B83" s="1"/>
      <c r="C83" s="1"/>
      <c r="D83" s="1"/>
    </row>
    <row r="84">
      <c r="A84" s="14"/>
      <c r="B84" s="1"/>
      <c r="C84" s="1"/>
      <c r="D84" s="1"/>
    </row>
    <row r="85">
      <c r="A85" s="14"/>
      <c r="B85" s="1"/>
      <c r="C85" s="1"/>
      <c r="D85" s="1"/>
    </row>
    <row r="86">
      <c r="A86" s="14"/>
      <c r="B86" s="1"/>
      <c r="C86" s="1"/>
      <c r="D86" s="1"/>
    </row>
    <row r="87">
      <c r="A87" s="14"/>
      <c r="B87" s="1"/>
      <c r="C87" s="1"/>
      <c r="D87" s="1"/>
    </row>
    <row r="88">
      <c r="A88" s="14"/>
      <c r="B88" s="1"/>
      <c r="C88" s="1"/>
      <c r="D88" s="1"/>
    </row>
    <row r="89">
      <c r="A89" s="14"/>
      <c r="B89" s="1"/>
      <c r="C89" s="1"/>
      <c r="D89" s="1"/>
    </row>
    <row r="90">
      <c r="A90" s="14"/>
      <c r="B90" s="1"/>
      <c r="C90" s="1"/>
      <c r="D90" s="1"/>
    </row>
    <row r="91">
      <c r="A91" s="14"/>
      <c r="B91" s="1"/>
      <c r="C91" s="1"/>
      <c r="D91" s="1"/>
    </row>
    <row r="92">
      <c r="A92" s="14"/>
      <c r="B92" s="1"/>
      <c r="C92" s="1"/>
      <c r="D92" s="1"/>
    </row>
    <row r="93">
      <c r="A93" s="14"/>
      <c r="B93" s="1"/>
      <c r="C93" s="1"/>
      <c r="D93" s="1"/>
    </row>
    <row r="94">
      <c r="A94" s="14"/>
      <c r="B94" s="1"/>
      <c r="C94" s="1"/>
      <c r="D94" s="1"/>
    </row>
    <row r="95">
      <c r="A95" s="14"/>
      <c r="B95" s="1"/>
      <c r="C95" s="1"/>
      <c r="D95" s="1"/>
    </row>
    <row r="96">
      <c r="A96" s="14"/>
      <c r="B96" s="1"/>
      <c r="C96" s="1"/>
      <c r="D96" s="1"/>
    </row>
    <row r="97">
      <c r="A97" s="14"/>
      <c r="B97" s="1"/>
      <c r="C97" s="1"/>
      <c r="D97" s="1"/>
    </row>
    <row r="98">
      <c r="A98" s="14"/>
      <c r="B98" s="1"/>
      <c r="C98" s="1"/>
      <c r="D98" s="1"/>
    </row>
    <row r="99">
      <c r="A99" s="14"/>
      <c r="B99" s="1"/>
      <c r="C99" s="1"/>
      <c r="D99" s="1"/>
    </row>
    <row r="100">
      <c r="A100" s="14"/>
      <c r="B100" s="1"/>
      <c r="C100" s="1"/>
      <c r="D100" s="1"/>
    </row>
    <row r="101">
      <c r="A101" s="14"/>
      <c r="B101" s="1"/>
      <c r="C101" s="1"/>
      <c r="D101" s="1"/>
    </row>
    <row r="102">
      <c r="A102" s="14"/>
      <c r="B102" s="1"/>
      <c r="C102" s="1"/>
      <c r="D102" s="1"/>
    </row>
    <row r="103">
      <c r="A103" s="14"/>
      <c r="B103" s="1"/>
      <c r="C103" s="1"/>
      <c r="D103" s="1"/>
    </row>
    <row r="104">
      <c r="A104" s="14"/>
      <c r="B104" s="1"/>
      <c r="C104" s="1"/>
      <c r="D104" s="1"/>
    </row>
    <row r="105">
      <c r="A105" s="14"/>
      <c r="B105" s="1"/>
      <c r="C105" s="1"/>
      <c r="D105" s="1"/>
    </row>
    <row r="106">
      <c r="A106" s="14"/>
      <c r="B106" s="1"/>
      <c r="C106" s="1"/>
      <c r="D106" s="1"/>
    </row>
    <row r="107">
      <c r="A107" s="14"/>
      <c r="B107" s="1"/>
      <c r="C107" s="1"/>
      <c r="D107" s="1"/>
    </row>
    <row r="108">
      <c r="A108" s="14"/>
      <c r="B108" s="1"/>
      <c r="C108" s="1"/>
      <c r="D108" s="1"/>
    </row>
    <row r="109">
      <c r="A109" s="14"/>
      <c r="B109" s="1"/>
      <c r="C109" s="1"/>
      <c r="D109" s="1"/>
    </row>
    <row r="110">
      <c r="A110" s="14"/>
      <c r="B110" s="1"/>
      <c r="C110" s="1"/>
      <c r="D110" s="1"/>
    </row>
    <row r="111">
      <c r="A111" s="14"/>
      <c r="B111" s="1"/>
      <c r="C111" s="1"/>
      <c r="D111" s="1"/>
    </row>
    <row r="112">
      <c r="A112" s="14"/>
      <c r="B112" s="1"/>
      <c r="C112" s="1"/>
      <c r="D112" s="1"/>
    </row>
    <row r="113">
      <c r="A113" s="14"/>
      <c r="B113" s="1"/>
      <c r="C113" s="1"/>
      <c r="D113" s="1"/>
    </row>
    <row r="114">
      <c r="A114" s="14"/>
      <c r="B114" s="1"/>
      <c r="C114" s="1"/>
      <c r="D114" s="1"/>
    </row>
    <row r="115">
      <c r="A115" s="14"/>
      <c r="B115" s="1"/>
      <c r="C115" s="1"/>
      <c r="D115" s="1"/>
    </row>
    <row r="116">
      <c r="A116" s="14"/>
      <c r="B116" s="1"/>
      <c r="C116" s="1"/>
      <c r="D116" s="1"/>
    </row>
    <row r="117">
      <c r="A117" s="14"/>
      <c r="B117" s="1"/>
      <c r="C117" s="1"/>
      <c r="D117" s="1"/>
    </row>
    <row r="118">
      <c r="A118" s="14"/>
      <c r="B118" s="1"/>
      <c r="C118" s="1"/>
      <c r="D118" s="1"/>
    </row>
    <row r="119">
      <c r="A119" s="14"/>
      <c r="B119" s="1"/>
      <c r="C119" s="1"/>
      <c r="D119" s="1"/>
    </row>
    <row r="120">
      <c r="A120" s="14"/>
      <c r="B120" s="1"/>
      <c r="C120" s="1"/>
      <c r="D120" s="1"/>
    </row>
    <row r="121">
      <c r="A121" s="14"/>
      <c r="B121" s="1"/>
      <c r="C121" s="1"/>
      <c r="D121" s="1"/>
    </row>
    <row r="122">
      <c r="A122" s="14"/>
      <c r="B122" s="1"/>
      <c r="C122" s="1"/>
      <c r="D122" s="1"/>
    </row>
    <row r="123">
      <c r="A123" s="14"/>
      <c r="B123" s="1"/>
      <c r="C123" s="1"/>
      <c r="D123" s="1"/>
    </row>
    <row r="124">
      <c r="A124" s="14"/>
      <c r="B124" s="1"/>
      <c r="C124" s="1"/>
      <c r="D124" s="1"/>
    </row>
    <row r="125">
      <c r="A125" s="14"/>
      <c r="B125" s="1"/>
      <c r="C125" s="1"/>
      <c r="D125" s="1"/>
    </row>
    <row r="126">
      <c r="A126" s="14"/>
      <c r="B126" s="1"/>
      <c r="C126" s="1"/>
      <c r="D126" s="1"/>
    </row>
    <row r="127">
      <c r="A127" s="14"/>
      <c r="B127" s="1"/>
      <c r="C127" s="1"/>
      <c r="D127" s="1"/>
    </row>
    <row r="128">
      <c r="A128" s="14"/>
      <c r="B128" s="1"/>
      <c r="C128" s="1"/>
      <c r="D128" s="1"/>
    </row>
    <row r="129">
      <c r="A129" s="14"/>
      <c r="B129" s="1"/>
      <c r="C129" s="1"/>
      <c r="D129" s="1"/>
    </row>
    <row r="130">
      <c r="A130" s="14"/>
      <c r="B130" s="1"/>
      <c r="C130" s="1"/>
      <c r="D130" s="1"/>
    </row>
    <row r="131">
      <c r="A131" s="14"/>
      <c r="B131" s="1"/>
      <c r="C131" s="1"/>
      <c r="D131" s="1"/>
    </row>
    <row r="132">
      <c r="A132" s="14"/>
      <c r="B132" s="1"/>
      <c r="C132" s="1"/>
      <c r="D132" s="1"/>
    </row>
    <row r="133">
      <c r="A133" s="14"/>
      <c r="B133" s="1"/>
      <c r="C133" s="1"/>
      <c r="D133" s="1"/>
    </row>
    <row r="134">
      <c r="A134" s="14"/>
      <c r="B134" s="1"/>
      <c r="C134" s="1"/>
      <c r="D134" s="1"/>
    </row>
    <row r="135">
      <c r="A135" s="14"/>
      <c r="B135" s="1"/>
      <c r="C135" s="1"/>
      <c r="D135" s="1"/>
    </row>
    <row r="136">
      <c r="A136" s="14"/>
      <c r="B136" s="1"/>
      <c r="C136" s="1"/>
      <c r="D136" s="1"/>
    </row>
    <row r="137">
      <c r="A137" s="14"/>
      <c r="B137" s="1"/>
      <c r="C137" s="1"/>
      <c r="D137" s="1"/>
    </row>
    <row r="138">
      <c r="A138" s="14"/>
      <c r="B138" s="1"/>
      <c r="C138" s="1"/>
      <c r="D138" s="1"/>
    </row>
    <row r="139">
      <c r="A139" s="14"/>
      <c r="B139" s="1"/>
      <c r="C139" s="1"/>
      <c r="D139" s="1"/>
    </row>
    <row r="140">
      <c r="A140" s="14"/>
      <c r="B140" s="1"/>
      <c r="C140" s="1"/>
      <c r="D140" s="1"/>
    </row>
    <row r="141">
      <c r="A141" s="14"/>
      <c r="B141" s="1"/>
      <c r="C141" s="1"/>
      <c r="D141" s="1"/>
    </row>
    <row r="142">
      <c r="A142" s="14"/>
      <c r="B142" s="1"/>
      <c r="C142" s="1"/>
      <c r="D142" s="1"/>
    </row>
    <row r="143">
      <c r="A143" s="14"/>
      <c r="B143" s="1"/>
      <c r="C143" s="1"/>
      <c r="D143" s="1"/>
    </row>
    <row r="144">
      <c r="A144" s="14"/>
      <c r="B144" s="1"/>
      <c r="C144" s="1"/>
      <c r="D144" s="1"/>
    </row>
    <row r="145">
      <c r="A145" s="14"/>
      <c r="B145" s="1"/>
      <c r="C145" s="1"/>
      <c r="D145" s="1"/>
    </row>
    <row r="146">
      <c r="A146" s="14"/>
      <c r="B146" s="1"/>
      <c r="C146" s="1"/>
      <c r="D146" s="1"/>
    </row>
    <row r="147">
      <c r="A147" s="14"/>
      <c r="B147" s="1"/>
      <c r="C147" s="1"/>
      <c r="D147" s="1"/>
    </row>
    <row r="148">
      <c r="A148" s="14"/>
      <c r="B148" s="1"/>
      <c r="C148" s="1"/>
      <c r="D148" s="1"/>
    </row>
    <row r="149">
      <c r="A149" s="14"/>
      <c r="B149" s="1"/>
      <c r="C149" s="1"/>
      <c r="D149" s="1"/>
    </row>
    <row r="150">
      <c r="A150" s="14"/>
      <c r="B150" s="1"/>
      <c r="C150" s="1"/>
      <c r="D150" s="1"/>
    </row>
    <row r="151">
      <c r="A151" s="14"/>
      <c r="B151" s="1"/>
      <c r="C151" s="1"/>
      <c r="D151" s="1"/>
    </row>
    <row r="152">
      <c r="A152" s="14"/>
      <c r="B152" s="1"/>
      <c r="C152" s="1"/>
      <c r="D152" s="1"/>
    </row>
    <row r="153">
      <c r="A153" s="14"/>
      <c r="B153" s="1"/>
      <c r="C153" s="1"/>
      <c r="D153" s="1"/>
    </row>
    <row r="154">
      <c r="A154" s="14"/>
      <c r="B154" s="1"/>
      <c r="C154" s="1"/>
      <c r="D154" s="1"/>
    </row>
    <row r="155">
      <c r="A155" s="14"/>
      <c r="B155" s="1"/>
      <c r="C155" s="1"/>
      <c r="D155" s="1"/>
    </row>
    <row r="156">
      <c r="A156" s="14"/>
      <c r="B156" s="1"/>
      <c r="C156" s="1"/>
      <c r="D156" s="1"/>
    </row>
    <row r="157">
      <c r="A157" s="14"/>
      <c r="B157" s="1"/>
      <c r="C157" s="1"/>
      <c r="D157" s="1"/>
    </row>
    <row r="158">
      <c r="A158" s="14"/>
      <c r="B158" s="1"/>
      <c r="C158" s="1"/>
      <c r="D158" s="1"/>
    </row>
    <row r="159">
      <c r="A159" s="14"/>
      <c r="B159" s="1"/>
      <c r="C159" s="1"/>
      <c r="D159" s="1"/>
    </row>
    <row r="160">
      <c r="A160" s="14"/>
      <c r="B160" s="1"/>
      <c r="C160" s="1"/>
      <c r="D160" s="1"/>
    </row>
    <row r="161">
      <c r="A161" s="14"/>
      <c r="B161" s="1"/>
      <c r="C161" s="1"/>
      <c r="D161" s="1"/>
    </row>
    <row r="162">
      <c r="A162" s="14"/>
      <c r="B162" s="1"/>
      <c r="C162" s="1"/>
      <c r="D162" s="1"/>
    </row>
    <row r="163">
      <c r="A163" s="14"/>
      <c r="B163" s="1"/>
      <c r="C163" s="1"/>
      <c r="D163" s="1"/>
    </row>
    <row r="164">
      <c r="A164" s="14"/>
      <c r="B164" s="1"/>
      <c r="C164" s="1"/>
      <c r="D164" s="1"/>
    </row>
    <row r="165">
      <c r="A165" s="14"/>
      <c r="B165" s="1"/>
      <c r="C165" s="1"/>
      <c r="D165" s="1"/>
    </row>
    <row r="166">
      <c r="A166" s="14"/>
      <c r="B166" s="1"/>
      <c r="C166" s="1"/>
      <c r="D166" s="1"/>
    </row>
    <row r="167">
      <c r="A167" s="14"/>
      <c r="B167" s="1"/>
      <c r="C167" s="1"/>
      <c r="D167" s="1"/>
    </row>
    <row r="168">
      <c r="A168" s="14"/>
      <c r="B168" s="1"/>
      <c r="C168" s="1"/>
      <c r="D168" s="1"/>
    </row>
    <row r="169">
      <c r="A169" s="14"/>
      <c r="B169" s="1"/>
      <c r="C169" s="1"/>
      <c r="D169" s="1"/>
    </row>
    <row r="170">
      <c r="A170" s="14"/>
      <c r="B170" s="1"/>
      <c r="C170" s="1"/>
      <c r="D170" s="1"/>
    </row>
    <row r="171">
      <c r="A171" s="14"/>
      <c r="B171" s="1"/>
      <c r="C171" s="1"/>
      <c r="D171" s="1"/>
    </row>
    <row r="172">
      <c r="A172" s="14"/>
      <c r="B172" s="1"/>
      <c r="C172" s="1"/>
      <c r="D172" s="1"/>
    </row>
    <row r="173">
      <c r="A173" s="14"/>
      <c r="B173" s="1"/>
      <c r="C173" s="1"/>
      <c r="D173" s="1"/>
    </row>
    <row r="174">
      <c r="A174" s="14"/>
      <c r="B174" s="1"/>
      <c r="C174" s="1"/>
      <c r="D174" s="1"/>
    </row>
    <row r="175">
      <c r="A175" s="14"/>
      <c r="B175" s="1"/>
      <c r="C175" s="1"/>
      <c r="D175" s="1"/>
    </row>
    <row r="176">
      <c r="A176" s="14"/>
      <c r="B176" s="1"/>
      <c r="C176" s="1"/>
      <c r="D176" s="1"/>
    </row>
    <row r="177">
      <c r="A177" s="14"/>
      <c r="B177" s="1"/>
      <c r="C177" s="1"/>
      <c r="D177" s="1"/>
    </row>
    <row r="178">
      <c r="A178" s="14"/>
      <c r="B178" s="1"/>
      <c r="C178" s="1"/>
      <c r="D178" s="1"/>
    </row>
    <row r="179">
      <c r="A179" s="14"/>
      <c r="B179" s="1"/>
      <c r="C179" s="1"/>
      <c r="D179" s="1"/>
    </row>
    <row r="180">
      <c r="A180" s="14"/>
      <c r="B180" s="1"/>
      <c r="C180" s="1"/>
      <c r="D180" s="1"/>
    </row>
    <row r="181">
      <c r="A181" s="14"/>
      <c r="B181" s="1"/>
      <c r="C181" s="1"/>
      <c r="D181" s="1"/>
    </row>
    <row r="182">
      <c r="A182" s="14"/>
      <c r="B182" s="1"/>
      <c r="C182" s="1"/>
      <c r="D182" s="1"/>
    </row>
    <row r="183">
      <c r="A183" s="14"/>
      <c r="B183" s="1"/>
      <c r="C183" s="1"/>
      <c r="D183" s="1"/>
    </row>
    <row r="184">
      <c r="A184" s="14"/>
      <c r="B184" s="1"/>
      <c r="C184" s="1"/>
      <c r="D184" s="1"/>
    </row>
    <row r="185">
      <c r="A185" s="14"/>
      <c r="B185" s="1"/>
      <c r="C185" s="1"/>
      <c r="D185" s="1"/>
    </row>
    <row r="186">
      <c r="A186" s="14"/>
      <c r="B186" s="1"/>
      <c r="C186" s="1"/>
      <c r="D186" s="1"/>
    </row>
    <row r="187">
      <c r="A187" s="14"/>
      <c r="B187" s="1"/>
      <c r="C187" s="1"/>
      <c r="D187" s="1"/>
    </row>
    <row r="188">
      <c r="A188" s="14"/>
      <c r="B188" s="1"/>
      <c r="C188" s="1"/>
      <c r="D188" s="1"/>
    </row>
    <row r="189">
      <c r="A189" s="14"/>
      <c r="B189" s="1"/>
      <c r="C189" s="1"/>
      <c r="D189" s="1"/>
    </row>
    <row r="190">
      <c r="A190" s="14"/>
      <c r="B190" s="1"/>
      <c r="C190" s="1"/>
      <c r="D190" s="1"/>
    </row>
    <row r="191">
      <c r="A191" s="14"/>
      <c r="B191" s="1"/>
      <c r="C191" s="1"/>
      <c r="D191" s="1"/>
    </row>
    <row r="192">
      <c r="A192" s="14"/>
      <c r="B192" s="1"/>
      <c r="C192" s="1"/>
      <c r="D192" s="1"/>
    </row>
    <row r="193">
      <c r="A193" s="14"/>
      <c r="B193" s="1"/>
      <c r="C193" s="1"/>
      <c r="D193" s="1"/>
    </row>
    <row r="194">
      <c r="A194" s="14"/>
      <c r="B194" s="1"/>
      <c r="C194" s="1"/>
      <c r="D194" s="1"/>
    </row>
    <row r="195">
      <c r="A195" s="14"/>
      <c r="B195" s="1"/>
      <c r="C195" s="1"/>
      <c r="D195" s="1"/>
    </row>
    <row r="196">
      <c r="A196" s="14"/>
      <c r="B196" s="1"/>
      <c r="C196" s="1"/>
      <c r="D196" s="1"/>
    </row>
    <row r="197">
      <c r="A197" s="14"/>
      <c r="B197" s="1"/>
      <c r="C197" s="1"/>
      <c r="D197" s="1"/>
    </row>
    <row r="198">
      <c r="A198" s="14"/>
      <c r="B198" s="1"/>
      <c r="C198" s="1"/>
      <c r="D198" s="1"/>
    </row>
    <row r="199">
      <c r="A199" s="14"/>
      <c r="B199" s="1"/>
      <c r="C199" s="1"/>
      <c r="D199" s="1"/>
    </row>
    <row r="200">
      <c r="A200" s="14"/>
      <c r="B200" s="1"/>
      <c r="C200" s="1"/>
      <c r="D200" s="1"/>
    </row>
    <row r="201">
      <c r="A201" s="14"/>
      <c r="B201" s="1"/>
      <c r="C201" s="1"/>
      <c r="D201" s="1"/>
    </row>
    <row r="202">
      <c r="A202" s="14"/>
      <c r="B202" s="1"/>
      <c r="C202" s="1"/>
      <c r="D202" s="1"/>
    </row>
    <row r="203">
      <c r="A203" s="14"/>
      <c r="B203" s="1"/>
      <c r="C203" s="1"/>
      <c r="D203" s="1"/>
    </row>
    <row r="204">
      <c r="A204" s="14"/>
      <c r="B204" s="1"/>
      <c r="C204" s="1"/>
      <c r="D204" s="1"/>
    </row>
    <row r="205">
      <c r="A205" s="14"/>
      <c r="B205" s="1"/>
      <c r="C205" s="1"/>
      <c r="D205" s="1"/>
    </row>
    <row r="206">
      <c r="A206" s="14"/>
      <c r="B206" s="1"/>
      <c r="C206" s="1"/>
      <c r="D206" s="1"/>
    </row>
    <row r="207">
      <c r="A207" s="14"/>
      <c r="B207" s="1"/>
      <c r="C207" s="1"/>
      <c r="D207" s="1"/>
    </row>
    <row r="208">
      <c r="A208" s="14"/>
      <c r="B208" s="1"/>
      <c r="C208" s="1"/>
      <c r="D208" s="1"/>
    </row>
    <row r="209">
      <c r="A209" s="14"/>
      <c r="B209" s="1"/>
      <c r="C209" s="1"/>
      <c r="D209" s="1"/>
    </row>
    <row r="210">
      <c r="A210" s="14"/>
      <c r="B210" s="1"/>
      <c r="C210" s="1"/>
      <c r="D210" s="1"/>
    </row>
    <row r="211">
      <c r="A211" s="14"/>
      <c r="B211" s="1"/>
      <c r="C211" s="1"/>
      <c r="D211" s="1"/>
    </row>
    <row r="212">
      <c r="A212" s="14"/>
      <c r="B212" s="1"/>
      <c r="C212" s="1"/>
      <c r="D212" s="1"/>
    </row>
    <row r="213">
      <c r="A213" s="14"/>
      <c r="B213" s="1"/>
      <c r="C213" s="1"/>
      <c r="D213" s="1"/>
    </row>
    <row r="214">
      <c r="A214" s="14"/>
      <c r="B214" s="1"/>
      <c r="C214" s="1"/>
      <c r="D214" s="1"/>
    </row>
    <row r="215">
      <c r="A215" s="14"/>
      <c r="B215" s="1"/>
      <c r="C215" s="1"/>
      <c r="D215" s="1"/>
    </row>
    <row r="216">
      <c r="A216" s="14"/>
      <c r="B216" s="1"/>
      <c r="C216" s="1"/>
      <c r="D216" s="1"/>
    </row>
    <row r="217">
      <c r="A217" s="14"/>
      <c r="B217" s="1"/>
      <c r="C217" s="1"/>
      <c r="D217" s="1"/>
    </row>
    <row r="218">
      <c r="A218" s="14"/>
      <c r="B218" s="1"/>
      <c r="C218" s="1"/>
      <c r="D218" s="1"/>
    </row>
    <row r="219">
      <c r="A219" s="14"/>
      <c r="B219" s="1"/>
      <c r="C219" s="1"/>
      <c r="D219" s="1"/>
    </row>
    <row r="220">
      <c r="A220" s="14"/>
      <c r="B220" s="1"/>
      <c r="C220" s="1"/>
      <c r="D220" s="1"/>
    </row>
    <row r="221">
      <c r="A221" s="14"/>
      <c r="B221" s="1"/>
      <c r="C221" s="1"/>
      <c r="D221" s="1"/>
    </row>
    <row r="222">
      <c r="A222" s="14"/>
      <c r="B222" s="1"/>
      <c r="C222" s="1"/>
      <c r="D222" s="1"/>
    </row>
    <row r="223">
      <c r="A223" s="14"/>
      <c r="B223" s="1"/>
      <c r="C223" s="1"/>
      <c r="D223" s="1"/>
    </row>
    <row r="224">
      <c r="A224" s="14"/>
      <c r="B224" s="1"/>
      <c r="C224" s="1"/>
      <c r="D224" s="1"/>
    </row>
    <row r="225">
      <c r="A225" s="14"/>
      <c r="B225" s="1"/>
      <c r="C225" s="1"/>
      <c r="D225" s="1"/>
    </row>
    <row r="226">
      <c r="A226" s="14"/>
      <c r="B226" s="1"/>
      <c r="C226" s="1"/>
      <c r="D226" s="1"/>
    </row>
    <row r="227">
      <c r="A227" s="14"/>
      <c r="B227" s="1"/>
      <c r="C227" s="1"/>
      <c r="D227" s="1"/>
    </row>
    <row r="228">
      <c r="A228" s="14"/>
      <c r="B228" s="1"/>
      <c r="C228" s="1"/>
      <c r="D228" s="1"/>
    </row>
    <row r="229">
      <c r="A229" s="14"/>
      <c r="B229" s="1"/>
      <c r="C229" s="1"/>
      <c r="D229" s="1"/>
    </row>
    <row r="230">
      <c r="A230" s="14"/>
      <c r="B230" s="1"/>
      <c r="C230" s="1"/>
      <c r="D230" s="1"/>
    </row>
    <row r="231">
      <c r="A231" s="14"/>
      <c r="B231" s="1"/>
      <c r="C231" s="1"/>
      <c r="D231" s="1"/>
    </row>
    <row r="232">
      <c r="A232" s="14"/>
      <c r="B232" s="1"/>
      <c r="C232" s="1"/>
      <c r="D232" s="1"/>
    </row>
    <row r="233">
      <c r="A233" s="14"/>
      <c r="B233" s="1"/>
      <c r="C233" s="1"/>
      <c r="D233" s="1"/>
    </row>
    <row r="234">
      <c r="A234" s="14"/>
      <c r="B234" s="1"/>
      <c r="C234" s="1"/>
      <c r="D234" s="1"/>
    </row>
    <row r="235">
      <c r="A235" s="14"/>
      <c r="B235" s="1"/>
      <c r="C235" s="1"/>
      <c r="D235" s="1"/>
    </row>
    <row r="236">
      <c r="A236" s="14"/>
      <c r="B236" s="1"/>
      <c r="C236" s="1"/>
      <c r="D236" s="1"/>
    </row>
    <row r="237">
      <c r="A237" s="14"/>
      <c r="B237" s="1"/>
      <c r="C237" s="1"/>
      <c r="D237" s="1"/>
    </row>
    <row r="238">
      <c r="A238" s="14"/>
      <c r="B238" s="1"/>
      <c r="C238" s="1"/>
      <c r="D238" s="1"/>
    </row>
    <row r="239">
      <c r="A239" s="14"/>
      <c r="B239" s="1"/>
      <c r="C239" s="1"/>
      <c r="D239" s="1"/>
    </row>
    <row r="240">
      <c r="A240" s="14"/>
      <c r="B240" s="1"/>
      <c r="C240" s="1"/>
      <c r="D240" s="1"/>
    </row>
    <row r="241">
      <c r="A241" s="14"/>
      <c r="B241" s="1"/>
      <c r="C241" s="1"/>
      <c r="D241" s="1"/>
    </row>
    <row r="242">
      <c r="A242" s="14"/>
      <c r="B242" s="1"/>
      <c r="C242" s="1"/>
      <c r="D242" s="1"/>
    </row>
    <row r="243">
      <c r="A243" s="14"/>
      <c r="B243" s="1"/>
      <c r="C243" s="1"/>
      <c r="D243" s="1"/>
    </row>
    <row r="244">
      <c r="A244" s="14"/>
      <c r="B244" s="1"/>
      <c r="C244" s="1"/>
      <c r="D244" s="1"/>
    </row>
    <row r="245">
      <c r="A245" s="14"/>
      <c r="B245" s="1"/>
      <c r="C245" s="1"/>
      <c r="D245" s="1"/>
    </row>
    <row r="246">
      <c r="A246" s="14"/>
      <c r="B246" s="1"/>
      <c r="C246" s="1"/>
      <c r="D246" s="1"/>
    </row>
    <row r="247">
      <c r="A247" s="14"/>
      <c r="B247" s="1"/>
      <c r="C247" s="1"/>
      <c r="D247" s="1"/>
    </row>
    <row r="248">
      <c r="A248" s="14"/>
      <c r="B248" s="1"/>
      <c r="C248" s="1"/>
      <c r="D248" s="1"/>
    </row>
    <row r="249">
      <c r="A249" s="14"/>
      <c r="B249" s="1"/>
      <c r="C249" s="1"/>
      <c r="D249" s="1"/>
    </row>
    <row r="250">
      <c r="A250" s="14"/>
      <c r="B250" s="1"/>
      <c r="C250" s="1"/>
      <c r="D250" s="1"/>
    </row>
    <row r="251">
      <c r="A251" s="14"/>
      <c r="B251" s="1"/>
      <c r="C251" s="1"/>
      <c r="D251" s="1"/>
    </row>
    <row r="252">
      <c r="A252" s="14"/>
      <c r="B252" s="1"/>
      <c r="C252" s="1"/>
      <c r="D252" s="1"/>
    </row>
    <row r="253">
      <c r="A253" s="14"/>
      <c r="B253" s="1"/>
      <c r="C253" s="1"/>
      <c r="D253" s="1"/>
    </row>
    <row r="254">
      <c r="A254" s="14"/>
      <c r="B254" s="1"/>
      <c r="C254" s="1"/>
      <c r="D254" s="1"/>
    </row>
    <row r="255">
      <c r="A255" s="14"/>
      <c r="B255" s="1"/>
      <c r="C255" s="1"/>
      <c r="D255" s="1"/>
    </row>
    <row r="256">
      <c r="A256" s="14"/>
      <c r="B256" s="1"/>
      <c r="C256" s="1"/>
      <c r="D256" s="1"/>
    </row>
    <row r="257">
      <c r="A257" s="14"/>
      <c r="B257" s="1"/>
      <c r="C257" s="1"/>
      <c r="D257" s="1"/>
    </row>
    <row r="258">
      <c r="A258" s="14"/>
      <c r="B258" s="1"/>
      <c r="C258" s="1"/>
      <c r="D258" s="1"/>
    </row>
    <row r="259">
      <c r="A259" s="14"/>
      <c r="B259" s="1"/>
      <c r="C259" s="1"/>
      <c r="D259" s="1"/>
    </row>
    <row r="260">
      <c r="A260" s="14"/>
      <c r="B260" s="1"/>
      <c r="C260" s="1"/>
      <c r="D260" s="1"/>
    </row>
    <row r="261">
      <c r="A261" s="14"/>
      <c r="B261" s="1"/>
      <c r="C261" s="1"/>
      <c r="D261" s="1"/>
    </row>
    <row r="262">
      <c r="A262" s="14"/>
      <c r="B262" s="1"/>
      <c r="C262" s="1"/>
      <c r="D262" s="1"/>
    </row>
    <row r="263">
      <c r="A263" s="14"/>
      <c r="B263" s="1"/>
      <c r="C263" s="1"/>
      <c r="D263" s="1"/>
    </row>
    <row r="264">
      <c r="A264" s="14"/>
      <c r="B264" s="1"/>
      <c r="C264" s="1"/>
      <c r="D264" s="1"/>
    </row>
    <row r="265">
      <c r="A265" s="14"/>
      <c r="B265" s="1"/>
      <c r="C265" s="1"/>
      <c r="D265" s="1"/>
    </row>
    <row r="266">
      <c r="A266" s="14"/>
      <c r="B266" s="1"/>
      <c r="C266" s="1"/>
      <c r="D266" s="1"/>
    </row>
    <row r="267">
      <c r="A267" s="14"/>
      <c r="B267" s="1"/>
      <c r="C267" s="1"/>
      <c r="D267" s="1"/>
    </row>
    <row r="268">
      <c r="A268" s="14"/>
      <c r="B268" s="1"/>
      <c r="C268" s="1"/>
      <c r="D268" s="1"/>
    </row>
    <row r="269">
      <c r="A269" s="14"/>
      <c r="B269" s="1"/>
      <c r="C269" s="1"/>
      <c r="D269" s="1"/>
    </row>
    <row r="270">
      <c r="A270" s="14"/>
      <c r="B270" s="1"/>
      <c r="C270" s="1"/>
      <c r="D270" s="1"/>
    </row>
    <row r="271">
      <c r="A271" s="14"/>
      <c r="B271" s="1"/>
      <c r="C271" s="1"/>
      <c r="D271" s="1"/>
    </row>
    <row r="272">
      <c r="A272" s="14"/>
      <c r="B272" s="1"/>
      <c r="C272" s="1"/>
      <c r="D272" s="1"/>
    </row>
    <row r="273">
      <c r="A273" s="14"/>
      <c r="B273" s="1"/>
      <c r="C273" s="1"/>
      <c r="D273" s="1"/>
    </row>
    <row r="274">
      <c r="A274" s="14"/>
      <c r="B274" s="1"/>
      <c r="C274" s="1"/>
      <c r="D274" s="1"/>
    </row>
    <row r="275">
      <c r="A275" s="14"/>
      <c r="B275" s="1"/>
      <c r="C275" s="1"/>
      <c r="D275" s="1"/>
    </row>
    <row r="276">
      <c r="A276" s="14"/>
      <c r="B276" s="1"/>
      <c r="C276" s="1"/>
      <c r="D276" s="1"/>
    </row>
    <row r="277">
      <c r="A277" s="14"/>
      <c r="B277" s="1"/>
      <c r="C277" s="1"/>
      <c r="D277" s="1"/>
    </row>
    <row r="278">
      <c r="A278" s="14"/>
      <c r="B278" s="1"/>
      <c r="C278" s="1"/>
      <c r="D278" s="1"/>
    </row>
    <row r="279">
      <c r="A279" s="14"/>
      <c r="B279" s="1"/>
      <c r="C279" s="1"/>
      <c r="D279" s="1"/>
    </row>
    <row r="280">
      <c r="A280" s="14"/>
      <c r="B280" s="1"/>
      <c r="C280" s="1"/>
      <c r="D280" s="1"/>
    </row>
    <row r="281">
      <c r="A281" s="14"/>
      <c r="B281" s="1"/>
      <c r="C281" s="1"/>
      <c r="D281" s="1"/>
    </row>
    <row r="282">
      <c r="A282" s="14"/>
      <c r="B282" s="1"/>
      <c r="C282" s="1"/>
      <c r="D282" s="1"/>
    </row>
    <row r="283">
      <c r="A283" s="14"/>
      <c r="B283" s="1"/>
      <c r="C283" s="1"/>
      <c r="D283" s="1"/>
    </row>
    <row r="284">
      <c r="A284" s="14"/>
      <c r="B284" s="1"/>
      <c r="C284" s="1"/>
      <c r="D284" s="1"/>
    </row>
    <row r="285">
      <c r="A285" s="14"/>
      <c r="B285" s="1"/>
      <c r="C285" s="1"/>
      <c r="D285" s="1"/>
    </row>
    <row r="286">
      <c r="A286" s="14"/>
      <c r="B286" s="1"/>
      <c r="C286" s="1"/>
      <c r="D286" s="1"/>
    </row>
    <row r="287">
      <c r="A287" s="14"/>
      <c r="B287" s="1"/>
      <c r="C287" s="1"/>
      <c r="D287" s="1"/>
    </row>
    <row r="288">
      <c r="A288" s="14"/>
      <c r="B288" s="1"/>
      <c r="C288" s="1"/>
      <c r="D288" s="1"/>
    </row>
    <row r="289">
      <c r="A289" s="14"/>
      <c r="B289" s="1"/>
      <c r="C289" s="1"/>
      <c r="D289" s="1"/>
    </row>
    <row r="290">
      <c r="A290" s="14"/>
      <c r="B290" s="1"/>
      <c r="C290" s="1"/>
      <c r="D290" s="1"/>
    </row>
    <row r="291">
      <c r="A291" s="14"/>
      <c r="B291" s="1"/>
      <c r="C291" s="1"/>
      <c r="D291" s="1"/>
    </row>
    <row r="292">
      <c r="A292" s="14"/>
      <c r="B292" s="1"/>
      <c r="C292" s="1"/>
      <c r="D292" s="1"/>
    </row>
    <row r="293">
      <c r="A293" s="14"/>
      <c r="B293" s="1"/>
      <c r="C293" s="1"/>
      <c r="D293" s="1"/>
    </row>
    <row r="294">
      <c r="A294" s="14"/>
      <c r="B294" s="1"/>
      <c r="C294" s="1"/>
      <c r="D294" s="1"/>
    </row>
    <row r="295">
      <c r="A295" s="14"/>
      <c r="B295" s="1"/>
      <c r="C295" s="1"/>
      <c r="D295" s="1"/>
    </row>
    <row r="296">
      <c r="A296" s="14"/>
      <c r="B296" s="1"/>
      <c r="C296" s="1"/>
      <c r="D296" s="1"/>
    </row>
    <row r="297">
      <c r="A297" s="14"/>
      <c r="B297" s="1"/>
      <c r="C297" s="1"/>
      <c r="D297" s="1"/>
    </row>
    <row r="298">
      <c r="A298" s="14"/>
      <c r="B298" s="1"/>
      <c r="C298" s="1"/>
      <c r="D298" s="1"/>
    </row>
    <row r="299">
      <c r="A299" s="14"/>
      <c r="B299" s="1"/>
      <c r="C299" s="1"/>
      <c r="D299" s="1"/>
    </row>
    <row r="300">
      <c r="A300" s="14"/>
      <c r="B300" s="1"/>
      <c r="C300" s="1"/>
      <c r="D300" s="1"/>
    </row>
    <row r="301">
      <c r="A301" s="14"/>
      <c r="B301" s="1"/>
      <c r="C301" s="1"/>
      <c r="D301" s="1"/>
    </row>
    <row r="302">
      <c r="A302" s="14"/>
      <c r="B302" s="1"/>
      <c r="C302" s="1"/>
      <c r="D302" s="1"/>
    </row>
    <row r="303">
      <c r="A303" s="14"/>
      <c r="B303" s="1"/>
      <c r="C303" s="1"/>
      <c r="D303" s="1"/>
    </row>
    <row r="304">
      <c r="A304" s="14"/>
      <c r="B304" s="1"/>
      <c r="C304" s="1"/>
      <c r="D304" s="1"/>
    </row>
    <row r="305">
      <c r="A305" s="14"/>
      <c r="B305" s="1"/>
      <c r="C305" s="1"/>
      <c r="D305" s="1"/>
    </row>
    <row r="306">
      <c r="A306" s="14"/>
      <c r="B306" s="1"/>
      <c r="C306" s="1"/>
      <c r="D306" s="1"/>
    </row>
    <row r="307">
      <c r="A307" s="14"/>
      <c r="B307" s="1"/>
      <c r="C307" s="1"/>
      <c r="D307" s="1"/>
    </row>
    <row r="308">
      <c r="A308" s="14"/>
      <c r="B308" s="1"/>
      <c r="C308" s="1"/>
      <c r="D308" s="1"/>
    </row>
    <row r="309">
      <c r="A309" s="14"/>
      <c r="B309" s="1"/>
      <c r="C309" s="1"/>
      <c r="D309" s="1"/>
    </row>
    <row r="310">
      <c r="A310" s="14"/>
      <c r="B310" s="1"/>
      <c r="C310" s="1"/>
      <c r="D310" s="1"/>
    </row>
    <row r="311">
      <c r="A311" s="14"/>
      <c r="B311" s="1"/>
      <c r="C311" s="1"/>
      <c r="D311" s="1"/>
    </row>
    <row r="312">
      <c r="A312" s="14"/>
      <c r="B312" s="1"/>
      <c r="C312" s="1"/>
      <c r="D312" s="1"/>
    </row>
    <row r="313">
      <c r="A313" s="14"/>
      <c r="B313" s="1"/>
      <c r="C313" s="1"/>
      <c r="D313" s="1"/>
    </row>
    <row r="314">
      <c r="A314" s="14"/>
      <c r="B314" s="1"/>
      <c r="C314" s="1"/>
      <c r="D314" s="1"/>
    </row>
    <row r="315">
      <c r="A315" s="14"/>
      <c r="B315" s="1"/>
      <c r="C315" s="1"/>
      <c r="D315" s="1"/>
    </row>
    <row r="316">
      <c r="A316" s="14"/>
      <c r="B316" s="1"/>
      <c r="C316" s="1"/>
      <c r="D316" s="1"/>
    </row>
    <row r="317">
      <c r="A317" s="14"/>
      <c r="B317" s="1"/>
      <c r="C317" s="1"/>
      <c r="D317" s="1"/>
    </row>
    <row r="318">
      <c r="A318" s="14"/>
      <c r="B318" s="1"/>
      <c r="C318" s="1"/>
      <c r="D318" s="1"/>
    </row>
    <row r="319">
      <c r="A319" s="14"/>
      <c r="B319" s="1"/>
      <c r="C319" s="1"/>
      <c r="D319" s="1"/>
    </row>
    <row r="320">
      <c r="A320" s="14"/>
      <c r="B320" s="1"/>
      <c r="C320" s="1"/>
      <c r="D320" s="1"/>
    </row>
    <row r="321">
      <c r="A321" s="14"/>
      <c r="B321" s="1"/>
      <c r="C321" s="1"/>
      <c r="D321" s="1"/>
    </row>
    <row r="322">
      <c r="A322" s="14"/>
      <c r="B322" s="1"/>
      <c r="C322" s="1"/>
      <c r="D322" s="1"/>
    </row>
    <row r="323">
      <c r="A323" s="14"/>
      <c r="B323" s="1"/>
      <c r="C323" s="1"/>
      <c r="D323" s="1"/>
    </row>
    <row r="324">
      <c r="A324" s="14"/>
      <c r="B324" s="1"/>
      <c r="C324" s="1"/>
      <c r="D324" s="1"/>
    </row>
    <row r="325">
      <c r="A325" s="14"/>
      <c r="B325" s="1"/>
      <c r="C325" s="1"/>
      <c r="D325" s="1"/>
    </row>
    <row r="326">
      <c r="A326" s="14"/>
      <c r="B326" s="1"/>
      <c r="C326" s="1"/>
      <c r="D326" s="1"/>
    </row>
    <row r="327">
      <c r="A327" s="14"/>
      <c r="B327" s="1"/>
      <c r="C327" s="1"/>
      <c r="D327" s="1"/>
    </row>
    <row r="328">
      <c r="A328" s="14"/>
      <c r="B328" s="1"/>
      <c r="C328" s="1"/>
      <c r="D328" s="1"/>
    </row>
    <row r="329">
      <c r="A329" s="14"/>
      <c r="B329" s="1"/>
      <c r="C329" s="1"/>
      <c r="D329" s="1"/>
    </row>
    <row r="330">
      <c r="A330" s="14"/>
      <c r="B330" s="1"/>
      <c r="C330" s="1"/>
      <c r="D330" s="1"/>
    </row>
    <row r="331">
      <c r="A331" s="14"/>
      <c r="B331" s="1"/>
      <c r="C331" s="1"/>
      <c r="D331" s="1"/>
    </row>
    <row r="332">
      <c r="A332" s="14"/>
      <c r="B332" s="1"/>
      <c r="C332" s="1"/>
      <c r="D332" s="1"/>
    </row>
    <row r="333">
      <c r="A333" s="14"/>
      <c r="B333" s="1"/>
      <c r="C333" s="1"/>
      <c r="D333" s="1"/>
    </row>
    <row r="334">
      <c r="A334" s="14"/>
      <c r="B334" s="1"/>
      <c r="C334" s="1"/>
      <c r="D334" s="1"/>
    </row>
    <row r="335">
      <c r="A335" s="14"/>
      <c r="B335" s="1"/>
      <c r="C335" s="1"/>
      <c r="D335" s="1"/>
    </row>
    <row r="336">
      <c r="A336" s="14"/>
      <c r="B336" s="1"/>
      <c r="C336" s="1"/>
      <c r="D336" s="1"/>
    </row>
    <row r="337">
      <c r="A337" s="14"/>
      <c r="B337" s="1"/>
      <c r="C337" s="1"/>
      <c r="D337" s="1"/>
    </row>
    <row r="338">
      <c r="A338" s="14"/>
      <c r="B338" s="1"/>
      <c r="C338" s="1"/>
      <c r="D338" s="1"/>
    </row>
    <row r="339">
      <c r="A339" s="14"/>
      <c r="B339" s="1"/>
      <c r="C339" s="1"/>
      <c r="D339" s="1"/>
    </row>
    <row r="340">
      <c r="A340" s="14"/>
      <c r="B340" s="1"/>
      <c r="C340" s="1"/>
      <c r="D340" s="1"/>
    </row>
    <row r="341">
      <c r="A341" s="14"/>
      <c r="B341" s="1"/>
      <c r="C341" s="1"/>
      <c r="D341" s="1"/>
    </row>
    <row r="342">
      <c r="A342" s="14"/>
      <c r="B342" s="1"/>
      <c r="C342" s="1"/>
      <c r="D342" s="1"/>
    </row>
    <row r="343">
      <c r="A343" s="14"/>
      <c r="B343" s="1"/>
      <c r="C343" s="1"/>
      <c r="D343" s="1"/>
    </row>
    <row r="344">
      <c r="A344" s="14"/>
      <c r="B344" s="1"/>
      <c r="C344" s="1"/>
      <c r="D344" s="1"/>
    </row>
    <row r="345">
      <c r="A345" s="14"/>
      <c r="B345" s="1"/>
      <c r="C345" s="1"/>
      <c r="D345" s="1"/>
    </row>
    <row r="346">
      <c r="A346" s="14"/>
      <c r="B346" s="1"/>
      <c r="C346" s="1"/>
      <c r="D346" s="1"/>
    </row>
    <row r="347">
      <c r="A347" s="14"/>
      <c r="B347" s="1"/>
      <c r="C347" s="1"/>
      <c r="D347" s="1"/>
    </row>
    <row r="348">
      <c r="A348" s="14"/>
      <c r="B348" s="1"/>
      <c r="C348" s="1"/>
      <c r="D348" s="1"/>
    </row>
    <row r="349">
      <c r="A349" s="14"/>
      <c r="B349" s="1"/>
      <c r="C349" s="1"/>
      <c r="D349" s="1"/>
    </row>
    <row r="350">
      <c r="A350" s="14"/>
      <c r="B350" s="1"/>
      <c r="C350" s="1"/>
      <c r="D350" s="1"/>
    </row>
    <row r="351">
      <c r="A351" s="14"/>
      <c r="B351" s="1"/>
      <c r="C351" s="1"/>
      <c r="D351" s="1"/>
    </row>
    <row r="352">
      <c r="A352" s="14"/>
      <c r="B352" s="1"/>
      <c r="C352" s="1"/>
      <c r="D352" s="1"/>
    </row>
    <row r="353">
      <c r="A353" s="14"/>
      <c r="B353" s="1"/>
      <c r="C353" s="1"/>
      <c r="D353" s="1"/>
    </row>
    <row r="354">
      <c r="A354" s="14"/>
      <c r="B354" s="1"/>
      <c r="C354" s="1"/>
      <c r="D354" s="1"/>
    </row>
    <row r="355">
      <c r="A355" s="14"/>
      <c r="B355" s="1"/>
      <c r="C355" s="1"/>
      <c r="D355" s="1"/>
    </row>
    <row r="356">
      <c r="A356" s="14"/>
      <c r="B356" s="1"/>
      <c r="C356" s="1"/>
      <c r="D356" s="1"/>
    </row>
    <row r="357">
      <c r="A357" s="14"/>
      <c r="B357" s="1"/>
      <c r="C357" s="1"/>
      <c r="D357" s="1"/>
    </row>
    <row r="358">
      <c r="A358" s="14"/>
      <c r="B358" s="1"/>
      <c r="C358" s="1"/>
      <c r="D358" s="1"/>
    </row>
    <row r="359">
      <c r="A359" s="14"/>
      <c r="B359" s="1"/>
      <c r="C359" s="1"/>
      <c r="D359" s="1"/>
    </row>
    <row r="360">
      <c r="A360" s="14"/>
      <c r="B360" s="1"/>
      <c r="C360" s="1"/>
      <c r="D360" s="1"/>
    </row>
    <row r="361">
      <c r="A361" s="14"/>
      <c r="B361" s="1"/>
      <c r="C361" s="1"/>
      <c r="D361" s="1"/>
    </row>
    <row r="362">
      <c r="A362" s="14"/>
      <c r="B362" s="1"/>
      <c r="C362" s="1"/>
      <c r="D362" s="1"/>
    </row>
    <row r="363">
      <c r="A363" s="14"/>
      <c r="B363" s="1"/>
      <c r="C363" s="1"/>
      <c r="D363" s="1"/>
    </row>
    <row r="364">
      <c r="A364" s="14"/>
      <c r="B364" s="1"/>
      <c r="C364" s="1"/>
      <c r="D364" s="1"/>
    </row>
    <row r="365">
      <c r="A365" s="14"/>
      <c r="B365" s="1"/>
      <c r="C365" s="1"/>
      <c r="D365" s="1"/>
    </row>
    <row r="366">
      <c r="A366" s="14"/>
      <c r="B366" s="1"/>
      <c r="C366" s="1"/>
      <c r="D366" s="1"/>
    </row>
    <row r="367">
      <c r="A367" s="14"/>
      <c r="B367" s="1"/>
      <c r="C367" s="1"/>
      <c r="D367" s="1"/>
    </row>
    <row r="368">
      <c r="A368" s="14"/>
      <c r="B368" s="1"/>
      <c r="C368" s="1"/>
      <c r="D368" s="1"/>
    </row>
    <row r="369">
      <c r="A369" s="14"/>
      <c r="B369" s="1"/>
      <c r="C369" s="1"/>
      <c r="D369" s="1"/>
    </row>
    <row r="370">
      <c r="A370" s="14"/>
      <c r="B370" s="1"/>
      <c r="C370" s="1"/>
      <c r="D370" s="1"/>
    </row>
    <row r="371">
      <c r="A371" s="14"/>
      <c r="B371" s="1"/>
      <c r="C371" s="1"/>
      <c r="D371" s="1"/>
    </row>
    <row r="372">
      <c r="A372" s="14"/>
      <c r="B372" s="1"/>
      <c r="C372" s="1"/>
      <c r="D372" s="1"/>
    </row>
    <row r="373">
      <c r="A373" s="14"/>
      <c r="B373" s="1"/>
      <c r="C373" s="1"/>
      <c r="D373" s="1"/>
    </row>
    <row r="374">
      <c r="A374" s="14"/>
      <c r="B374" s="1"/>
      <c r="C374" s="1"/>
      <c r="D374" s="1"/>
    </row>
    <row r="375">
      <c r="A375" s="14"/>
      <c r="B375" s="1"/>
      <c r="C375" s="1"/>
      <c r="D375" s="1"/>
    </row>
    <row r="376">
      <c r="A376" s="14"/>
      <c r="B376" s="1"/>
      <c r="C376" s="1"/>
      <c r="D376" s="1"/>
    </row>
    <row r="377">
      <c r="A377" s="14"/>
      <c r="B377" s="1"/>
      <c r="C377" s="1"/>
      <c r="D377" s="1"/>
    </row>
    <row r="378">
      <c r="A378" s="14"/>
      <c r="B378" s="1"/>
      <c r="C378" s="1"/>
      <c r="D378" s="1"/>
    </row>
    <row r="379">
      <c r="A379" s="14"/>
      <c r="B379" s="1"/>
      <c r="C379" s="1"/>
      <c r="D379" s="1"/>
    </row>
    <row r="380">
      <c r="A380" s="14"/>
      <c r="B380" s="1"/>
      <c r="C380" s="1"/>
      <c r="D380" s="1"/>
    </row>
    <row r="381">
      <c r="A381" s="14"/>
      <c r="B381" s="1"/>
      <c r="C381" s="1"/>
      <c r="D381" s="1"/>
    </row>
    <row r="382">
      <c r="A382" s="14"/>
      <c r="B382" s="1"/>
      <c r="C382" s="1"/>
      <c r="D382" s="1"/>
    </row>
    <row r="383">
      <c r="A383" s="14"/>
      <c r="B383" s="1"/>
      <c r="C383" s="1"/>
      <c r="D383" s="1"/>
    </row>
    <row r="384">
      <c r="A384" s="14"/>
      <c r="B384" s="1"/>
      <c r="C384" s="1"/>
      <c r="D384" s="1"/>
    </row>
    <row r="385">
      <c r="A385" s="14"/>
      <c r="B385" s="1"/>
      <c r="C385" s="1"/>
      <c r="D385" s="1"/>
    </row>
    <row r="386">
      <c r="A386" s="14"/>
      <c r="B386" s="1"/>
      <c r="C386" s="1"/>
      <c r="D386" s="1"/>
    </row>
    <row r="387">
      <c r="A387" s="14"/>
      <c r="B387" s="1"/>
      <c r="C387" s="1"/>
      <c r="D387" s="1"/>
    </row>
    <row r="388">
      <c r="A388" s="14"/>
      <c r="B388" s="1"/>
      <c r="C388" s="1"/>
      <c r="D388" s="1"/>
    </row>
    <row r="389">
      <c r="A389" s="14"/>
      <c r="B389" s="1"/>
      <c r="C389" s="1"/>
      <c r="D389" s="1"/>
    </row>
    <row r="390">
      <c r="A390" s="14"/>
      <c r="B390" s="1"/>
      <c r="C390" s="1"/>
      <c r="D390" s="1"/>
    </row>
    <row r="391">
      <c r="A391" s="14"/>
      <c r="B391" s="1"/>
      <c r="C391" s="1"/>
      <c r="D391" s="1"/>
    </row>
    <row r="392">
      <c r="A392" s="14"/>
      <c r="B392" s="1"/>
      <c r="C392" s="1"/>
      <c r="D392" s="1"/>
    </row>
    <row r="393">
      <c r="A393" s="14"/>
      <c r="B393" s="1"/>
      <c r="C393" s="1"/>
      <c r="D393" s="1"/>
    </row>
    <row r="394">
      <c r="A394" s="14"/>
      <c r="B394" s="1"/>
      <c r="C394" s="1"/>
      <c r="D394" s="1"/>
    </row>
    <row r="395">
      <c r="A395" s="14"/>
      <c r="B395" s="1"/>
      <c r="C395" s="1"/>
      <c r="D395" s="1"/>
    </row>
    <row r="396">
      <c r="A396" s="14"/>
      <c r="B396" s="1"/>
      <c r="C396" s="1"/>
      <c r="D396" s="1"/>
    </row>
    <row r="397">
      <c r="A397" s="14"/>
      <c r="B397" s="1"/>
      <c r="C397" s="1"/>
      <c r="D397" s="1"/>
    </row>
    <row r="398">
      <c r="A398" s="14"/>
      <c r="B398" s="1"/>
      <c r="C398" s="1"/>
      <c r="D398" s="1"/>
    </row>
    <row r="399">
      <c r="A399" s="14"/>
      <c r="B399" s="1"/>
      <c r="C399" s="1"/>
      <c r="D399" s="1"/>
    </row>
    <row r="400">
      <c r="A400" s="14"/>
      <c r="B400" s="1"/>
      <c r="C400" s="1"/>
      <c r="D400" s="1"/>
    </row>
    <row r="401">
      <c r="A401" s="14"/>
      <c r="B401" s="1"/>
      <c r="C401" s="1"/>
      <c r="D401" s="1"/>
    </row>
    <row r="402">
      <c r="A402" s="14"/>
      <c r="B402" s="1"/>
      <c r="C402" s="1"/>
      <c r="D402" s="1"/>
    </row>
    <row r="403">
      <c r="A403" s="14"/>
      <c r="B403" s="1"/>
      <c r="C403" s="1"/>
      <c r="D403" s="1"/>
    </row>
    <row r="404">
      <c r="A404" s="14"/>
      <c r="B404" s="1"/>
      <c r="C404" s="1"/>
      <c r="D404" s="1"/>
    </row>
    <row r="405">
      <c r="A405" s="14"/>
      <c r="B405" s="1"/>
      <c r="C405" s="1"/>
      <c r="D405" s="1"/>
    </row>
    <row r="406">
      <c r="A406" s="14"/>
      <c r="B406" s="1"/>
      <c r="C406" s="1"/>
      <c r="D406" s="1"/>
    </row>
    <row r="407">
      <c r="A407" s="14"/>
      <c r="B407" s="1"/>
      <c r="C407" s="1"/>
      <c r="D407" s="1"/>
    </row>
    <row r="408">
      <c r="A408" s="14"/>
      <c r="B408" s="1"/>
      <c r="C408" s="1"/>
      <c r="D408" s="1"/>
    </row>
    <row r="409">
      <c r="A409" s="14"/>
      <c r="B409" s="1"/>
      <c r="C409" s="1"/>
      <c r="D409" s="1"/>
    </row>
    <row r="410">
      <c r="A410" s="14"/>
      <c r="B410" s="1"/>
      <c r="C410" s="1"/>
      <c r="D410" s="1"/>
    </row>
    <row r="411">
      <c r="A411" s="14"/>
      <c r="B411" s="1"/>
      <c r="C411" s="1"/>
      <c r="D411" s="1"/>
    </row>
    <row r="412">
      <c r="A412" s="14"/>
      <c r="B412" s="1"/>
      <c r="C412" s="1"/>
      <c r="D412" s="1"/>
    </row>
    <row r="413">
      <c r="A413" s="14"/>
      <c r="B413" s="1"/>
      <c r="C413" s="1"/>
      <c r="D413" s="1"/>
    </row>
    <row r="414">
      <c r="A414" s="14"/>
      <c r="B414" s="1"/>
      <c r="C414" s="1"/>
      <c r="D414" s="1"/>
    </row>
    <row r="415">
      <c r="A415" s="14"/>
      <c r="B415" s="1"/>
      <c r="C415" s="1"/>
      <c r="D415" s="1"/>
    </row>
    <row r="416">
      <c r="A416" s="14"/>
      <c r="B416" s="1"/>
      <c r="C416" s="1"/>
      <c r="D416" s="1"/>
    </row>
    <row r="417">
      <c r="A417" s="14"/>
      <c r="B417" s="1"/>
      <c r="C417" s="1"/>
      <c r="D417" s="1"/>
    </row>
    <row r="418">
      <c r="A418" s="14"/>
      <c r="B418" s="1"/>
      <c r="C418" s="1"/>
      <c r="D418" s="1"/>
    </row>
    <row r="419">
      <c r="A419" s="14"/>
      <c r="B419" s="1"/>
      <c r="C419" s="1"/>
      <c r="D419" s="1"/>
    </row>
    <row r="420">
      <c r="A420" s="14"/>
      <c r="B420" s="1"/>
      <c r="C420" s="1"/>
      <c r="D420" s="1"/>
    </row>
    <row r="421">
      <c r="A421" s="14"/>
      <c r="B421" s="1"/>
      <c r="C421" s="1"/>
      <c r="D421" s="1"/>
    </row>
    <row r="422">
      <c r="A422" s="14"/>
      <c r="B422" s="1"/>
      <c r="C422" s="1"/>
      <c r="D422" s="1"/>
    </row>
    <row r="423">
      <c r="A423" s="14"/>
      <c r="B423" s="1"/>
      <c r="C423" s="1"/>
      <c r="D423" s="1"/>
    </row>
    <row r="424">
      <c r="A424" s="14"/>
      <c r="B424" s="1"/>
      <c r="C424" s="1"/>
      <c r="D424" s="1"/>
    </row>
    <row r="425">
      <c r="A425" s="14"/>
      <c r="B425" s="1"/>
      <c r="C425" s="1"/>
      <c r="D425" s="1"/>
    </row>
    <row r="426">
      <c r="A426" s="14"/>
      <c r="B426" s="1"/>
      <c r="C426" s="1"/>
      <c r="D426" s="1"/>
    </row>
    <row r="427">
      <c r="A427" s="14"/>
      <c r="B427" s="1"/>
      <c r="C427" s="1"/>
      <c r="D427" s="1"/>
    </row>
    <row r="428">
      <c r="A428" s="14"/>
      <c r="B428" s="1"/>
      <c r="C428" s="1"/>
      <c r="D428" s="1"/>
    </row>
    <row r="429">
      <c r="A429" s="14"/>
      <c r="B429" s="1"/>
      <c r="C429" s="1"/>
      <c r="D429" s="1"/>
    </row>
    <row r="430">
      <c r="A430" s="14"/>
      <c r="B430" s="1"/>
      <c r="C430" s="1"/>
      <c r="D430" s="1"/>
    </row>
    <row r="431">
      <c r="A431" s="14"/>
      <c r="B431" s="1"/>
      <c r="C431" s="1"/>
      <c r="D431" s="1"/>
    </row>
    <row r="432">
      <c r="A432" s="14"/>
      <c r="B432" s="1"/>
      <c r="C432" s="1"/>
      <c r="D432" s="1"/>
    </row>
    <row r="433">
      <c r="A433" s="14"/>
      <c r="B433" s="1"/>
      <c r="C433" s="1"/>
      <c r="D433" s="1"/>
    </row>
    <row r="434">
      <c r="A434" s="14"/>
      <c r="B434" s="1"/>
      <c r="C434" s="1"/>
      <c r="D434" s="1"/>
    </row>
    <row r="435">
      <c r="A435" s="14"/>
      <c r="B435" s="1"/>
      <c r="C435" s="1"/>
      <c r="D435" s="1"/>
    </row>
    <row r="436">
      <c r="A436" s="14"/>
      <c r="B436" s="1"/>
      <c r="C436" s="1"/>
      <c r="D436" s="1"/>
    </row>
    <row r="437">
      <c r="A437" s="14"/>
      <c r="B437" s="1"/>
      <c r="C437" s="1"/>
      <c r="D437" s="1"/>
    </row>
    <row r="438">
      <c r="A438" s="14"/>
      <c r="B438" s="1"/>
      <c r="C438" s="1"/>
      <c r="D438" s="1"/>
    </row>
    <row r="439">
      <c r="A439" s="14"/>
      <c r="B439" s="1"/>
      <c r="C439" s="1"/>
      <c r="D439" s="1"/>
    </row>
    <row r="440">
      <c r="A440" s="14"/>
      <c r="B440" s="1"/>
      <c r="C440" s="1"/>
      <c r="D440" s="1"/>
    </row>
    <row r="441">
      <c r="A441" s="14"/>
      <c r="B441" s="1"/>
      <c r="C441" s="1"/>
      <c r="D441" s="1"/>
    </row>
    <row r="442">
      <c r="A442" s="14"/>
      <c r="B442" s="1"/>
      <c r="C442" s="1"/>
      <c r="D442" s="1"/>
    </row>
    <row r="443">
      <c r="A443" s="14"/>
      <c r="B443" s="1"/>
      <c r="C443" s="1"/>
      <c r="D443" s="1"/>
    </row>
    <row r="444">
      <c r="A444" s="14"/>
      <c r="B444" s="1"/>
      <c r="C444" s="1"/>
      <c r="D444" s="1"/>
    </row>
    <row r="445">
      <c r="A445" s="14"/>
      <c r="B445" s="1"/>
      <c r="C445" s="1"/>
      <c r="D445" s="1"/>
    </row>
    <row r="446">
      <c r="A446" s="14"/>
      <c r="B446" s="1"/>
      <c r="C446" s="1"/>
      <c r="D446" s="1"/>
    </row>
    <row r="447">
      <c r="A447" s="14"/>
      <c r="B447" s="1"/>
      <c r="C447" s="1"/>
      <c r="D447" s="1"/>
    </row>
    <row r="448">
      <c r="A448" s="14"/>
      <c r="B448" s="1"/>
      <c r="C448" s="1"/>
      <c r="D448" s="1"/>
    </row>
    <row r="449">
      <c r="A449" s="14"/>
      <c r="B449" s="1"/>
      <c r="C449" s="1"/>
      <c r="D449" s="1"/>
    </row>
    <row r="450">
      <c r="A450" s="14"/>
      <c r="B450" s="1"/>
      <c r="C450" s="1"/>
      <c r="D450" s="1"/>
    </row>
    <row r="451">
      <c r="A451" s="14"/>
      <c r="B451" s="1"/>
      <c r="C451" s="1"/>
      <c r="D451" s="1"/>
    </row>
    <row r="452">
      <c r="A452" s="14"/>
      <c r="B452" s="1"/>
      <c r="C452" s="1"/>
      <c r="D452" s="1"/>
    </row>
    <row r="453">
      <c r="A453" s="14"/>
      <c r="B453" s="1"/>
      <c r="C453" s="1"/>
      <c r="D453" s="1"/>
    </row>
    <row r="454">
      <c r="A454" s="14"/>
      <c r="B454" s="1"/>
      <c r="C454" s="1"/>
      <c r="D454" s="1"/>
    </row>
    <row r="455">
      <c r="A455" s="14"/>
      <c r="B455" s="1"/>
      <c r="C455" s="1"/>
      <c r="D455" s="1"/>
    </row>
    <row r="456">
      <c r="A456" s="14"/>
      <c r="B456" s="1"/>
      <c r="C456" s="1"/>
      <c r="D456" s="1"/>
    </row>
    <row r="457">
      <c r="A457" s="14"/>
      <c r="B457" s="1"/>
      <c r="C457" s="1"/>
      <c r="D457" s="1"/>
    </row>
    <row r="458">
      <c r="A458" s="14"/>
      <c r="B458" s="1"/>
      <c r="C458" s="1"/>
      <c r="D458" s="1"/>
    </row>
    <row r="459">
      <c r="A459" s="14"/>
      <c r="B459" s="1"/>
      <c r="C459" s="1"/>
      <c r="D459" s="1"/>
    </row>
    <row r="460">
      <c r="A460" s="14"/>
      <c r="B460" s="1"/>
      <c r="C460" s="1"/>
      <c r="D460" s="1"/>
    </row>
    <row r="461">
      <c r="A461" s="14"/>
      <c r="B461" s="1"/>
      <c r="C461" s="1"/>
      <c r="D461" s="1"/>
    </row>
    <row r="462">
      <c r="A462" s="14"/>
      <c r="B462" s="1"/>
      <c r="C462" s="1"/>
      <c r="D462" s="1"/>
    </row>
    <row r="463">
      <c r="A463" s="14"/>
      <c r="B463" s="1"/>
      <c r="C463" s="1"/>
      <c r="D463" s="1"/>
    </row>
    <row r="464">
      <c r="A464" s="14"/>
      <c r="B464" s="1"/>
      <c r="C464" s="1"/>
      <c r="D464" s="1"/>
    </row>
    <row r="465">
      <c r="A465" s="14"/>
      <c r="B465" s="1"/>
      <c r="C465" s="1"/>
      <c r="D465" s="1"/>
    </row>
    <row r="466">
      <c r="A466" s="14"/>
      <c r="B466" s="1"/>
      <c r="C466" s="1"/>
      <c r="D466" s="1"/>
    </row>
    <row r="467">
      <c r="A467" s="14"/>
      <c r="B467" s="1"/>
      <c r="C467" s="1"/>
      <c r="D467" s="1"/>
    </row>
    <row r="468">
      <c r="A468" s="14"/>
      <c r="B468" s="1"/>
      <c r="C468" s="1"/>
      <c r="D468" s="1"/>
    </row>
    <row r="469">
      <c r="A469" s="14"/>
      <c r="B469" s="1"/>
      <c r="C469" s="1"/>
      <c r="D469" s="1"/>
    </row>
    <row r="470">
      <c r="A470" s="14"/>
      <c r="B470" s="1"/>
      <c r="C470" s="1"/>
      <c r="D470" s="1"/>
    </row>
    <row r="471">
      <c r="A471" s="14"/>
      <c r="B471" s="1"/>
      <c r="C471" s="1"/>
      <c r="D471" s="1"/>
    </row>
    <row r="472">
      <c r="A472" s="14"/>
      <c r="B472" s="1"/>
      <c r="C472" s="1"/>
      <c r="D472" s="1"/>
    </row>
    <row r="473">
      <c r="A473" s="14"/>
      <c r="B473" s="1"/>
      <c r="C473" s="1"/>
      <c r="D473" s="1"/>
    </row>
    <row r="474">
      <c r="A474" s="14"/>
      <c r="B474" s="1"/>
      <c r="C474" s="1"/>
      <c r="D474" s="1"/>
    </row>
    <row r="475">
      <c r="A475" s="14"/>
      <c r="B475" s="1"/>
      <c r="C475" s="1"/>
      <c r="D475" s="1"/>
    </row>
    <row r="476">
      <c r="A476" s="14"/>
      <c r="B476" s="1"/>
      <c r="C476" s="1"/>
      <c r="D476" s="1"/>
    </row>
    <row r="477">
      <c r="A477" s="14"/>
      <c r="B477" s="1"/>
      <c r="C477" s="1"/>
      <c r="D477" s="1"/>
    </row>
    <row r="478">
      <c r="A478" s="14"/>
      <c r="B478" s="1"/>
      <c r="C478" s="1"/>
      <c r="D478" s="1"/>
    </row>
    <row r="479">
      <c r="A479" s="14"/>
      <c r="B479" s="1"/>
      <c r="C479" s="1"/>
      <c r="D479" s="1"/>
    </row>
    <row r="480">
      <c r="A480" s="14"/>
      <c r="B480" s="1"/>
      <c r="C480" s="1"/>
      <c r="D480" s="1"/>
    </row>
    <row r="481">
      <c r="A481" s="14"/>
      <c r="B481" s="1"/>
      <c r="C481" s="1"/>
      <c r="D481" s="1"/>
    </row>
    <row r="482">
      <c r="A482" s="14"/>
      <c r="B482" s="1"/>
      <c r="C482" s="1"/>
      <c r="D482" s="1"/>
    </row>
    <row r="483">
      <c r="A483" s="14"/>
      <c r="B483" s="1"/>
      <c r="C483" s="1"/>
      <c r="D483" s="1"/>
    </row>
    <row r="484">
      <c r="A484" s="14"/>
      <c r="B484" s="1"/>
      <c r="C484" s="1"/>
      <c r="D484" s="1"/>
    </row>
    <row r="485">
      <c r="A485" s="14"/>
      <c r="B485" s="1"/>
      <c r="C485" s="1"/>
      <c r="D485" s="1"/>
    </row>
    <row r="486">
      <c r="A486" s="14"/>
      <c r="B486" s="1"/>
      <c r="C486" s="1"/>
      <c r="D486" s="1"/>
    </row>
    <row r="487">
      <c r="A487" s="14"/>
      <c r="B487" s="1"/>
      <c r="C487" s="1"/>
      <c r="D487" s="1"/>
    </row>
    <row r="488">
      <c r="A488" s="14"/>
      <c r="B488" s="1"/>
      <c r="C488" s="1"/>
      <c r="D488" s="1"/>
    </row>
    <row r="489">
      <c r="A489" s="14"/>
      <c r="B489" s="1"/>
      <c r="C489" s="1"/>
      <c r="D489" s="1"/>
    </row>
    <row r="490">
      <c r="A490" s="14"/>
      <c r="B490" s="1"/>
      <c r="C490" s="1"/>
      <c r="D490" s="1"/>
    </row>
    <row r="491">
      <c r="A491" s="14"/>
      <c r="B491" s="1"/>
      <c r="C491" s="1"/>
      <c r="D491" s="1"/>
    </row>
    <row r="492">
      <c r="A492" s="14"/>
      <c r="B492" s="1"/>
      <c r="C492" s="1"/>
      <c r="D492" s="1"/>
    </row>
    <row r="493">
      <c r="A493" s="14"/>
      <c r="B493" s="1"/>
      <c r="C493" s="1"/>
      <c r="D493" s="1"/>
    </row>
    <row r="494">
      <c r="A494" s="14"/>
      <c r="B494" s="1"/>
      <c r="C494" s="1"/>
      <c r="D494" s="1"/>
    </row>
    <row r="495">
      <c r="A495" s="14"/>
      <c r="B495" s="1"/>
      <c r="C495" s="1"/>
      <c r="D495" s="1"/>
    </row>
    <row r="496">
      <c r="A496" s="14"/>
      <c r="B496" s="1"/>
      <c r="C496" s="1"/>
      <c r="D496" s="1"/>
    </row>
    <row r="497">
      <c r="A497" s="14"/>
      <c r="B497" s="1"/>
      <c r="C497" s="1"/>
      <c r="D497" s="1"/>
    </row>
    <row r="498">
      <c r="A498" s="14"/>
      <c r="B498" s="1"/>
      <c r="C498" s="1"/>
      <c r="D498" s="1"/>
    </row>
    <row r="499">
      <c r="A499" s="14"/>
      <c r="B499" s="1"/>
      <c r="C499" s="1"/>
      <c r="D499" s="1"/>
    </row>
    <row r="500">
      <c r="A500" s="14"/>
      <c r="B500" s="1"/>
      <c r="C500" s="1"/>
      <c r="D500" s="1"/>
    </row>
    <row r="501">
      <c r="A501" s="14"/>
      <c r="B501" s="1"/>
      <c r="C501" s="1"/>
      <c r="D501" s="1"/>
    </row>
    <row r="502">
      <c r="A502" s="14"/>
      <c r="B502" s="1"/>
      <c r="C502" s="1"/>
      <c r="D502" s="1"/>
    </row>
    <row r="503">
      <c r="A503" s="14"/>
      <c r="B503" s="1"/>
      <c r="C503" s="1"/>
      <c r="D503" s="1"/>
    </row>
    <row r="504">
      <c r="A504" s="14"/>
      <c r="B504" s="1"/>
      <c r="C504" s="1"/>
      <c r="D504" s="1"/>
    </row>
    <row r="505">
      <c r="A505" s="14"/>
      <c r="B505" s="1"/>
      <c r="C505" s="1"/>
      <c r="D505" s="1"/>
    </row>
    <row r="506">
      <c r="A506" s="14"/>
      <c r="B506" s="1"/>
      <c r="C506" s="1"/>
      <c r="D506" s="1"/>
    </row>
    <row r="507">
      <c r="A507" s="14"/>
      <c r="B507" s="1"/>
      <c r="C507" s="1"/>
      <c r="D507" s="1"/>
    </row>
    <row r="508">
      <c r="A508" s="14"/>
      <c r="B508" s="1"/>
      <c r="C508" s="1"/>
      <c r="D508" s="1"/>
    </row>
    <row r="509">
      <c r="A509" s="14"/>
      <c r="B509" s="1"/>
      <c r="C509" s="1"/>
      <c r="D509" s="1"/>
    </row>
    <row r="510">
      <c r="A510" s="14"/>
      <c r="B510" s="1"/>
      <c r="C510" s="1"/>
      <c r="D510" s="1"/>
    </row>
    <row r="511">
      <c r="A511" s="14"/>
      <c r="B511" s="1"/>
      <c r="C511" s="1"/>
      <c r="D511" s="1"/>
    </row>
    <row r="512">
      <c r="A512" s="14"/>
      <c r="B512" s="1"/>
      <c r="C512" s="1"/>
      <c r="D512" s="1"/>
    </row>
    <row r="513">
      <c r="A513" s="14"/>
      <c r="B513" s="1"/>
      <c r="C513" s="1"/>
      <c r="D513" s="1"/>
    </row>
    <row r="514">
      <c r="A514" s="14"/>
      <c r="B514" s="1"/>
      <c r="C514" s="1"/>
      <c r="D514" s="1"/>
    </row>
    <row r="515">
      <c r="A515" s="14"/>
      <c r="B515" s="1"/>
      <c r="C515" s="1"/>
      <c r="D515" s="1"/>
    </row>
    <row r="516">
      <c r="A516" s="14"/>
      <c r="B516" s="1"/>
      <c r="C516" s="1"/>
      <c r="D516" s="1"/>
    </row>
    <row r="517">
      <c r="A517" s="14"/>
      <c r="B517" s="1"/>
      <c r="C517" s="1"/>
      <c r="D517" s="1"/>
    </row>
    <row r="518">
      <c r="A518" s="14"/>
      <c r="B518" s="1"/>
      <c r="C518" s="1"/>
      <c r="D518" s="1"/>
    </row>
    <row r="519">
      <c r="A519" s="14"/>
      <c r="B519" s="1"/>
      <c r="C519" s="1"/>
      <c r="D519" s="1"/>
    </row>
    <row r="520">
      <c r="A520" s="14"/>
      <c r="B520" s="1"/>
      <c r="C520" s="1"/>
      <c r="D520" s="1"/>
    </row>
    <row r="521">
      <c r="A521" s="14"/>
      <c r="B521" s="1"/>
      <c r="C521" s="1"/>
      <c r="D521" s="1"/>
    </row>
    <row r="522">
      <c r="A522" s="14"/>
      <c r="B522" s="1"/>
      <c r="C522" s="1"/>
      <c r="D522" s="1"/>
    </row>
    <row r="523">
      <c r="A523" s="14"/>
      <c r="B523" s="1"/>
      <c r="C523" s="1"/>
      <c r="D523" s="1"/>
    </row>
    <row r="524">
      <c r="A524" s="14"/>
      <c r="B524" s="1"/>
      <c r="C524" s="1"/>
      <c r="D524" s="1"/>
    </row>
    <row r="525">
      <c r="A525" s="14"/>
      <c r="B525" s="1"/>
      <c r="C525" s="1"/>
      <c r="D525" s="1"/>
    </row>
    <row r="526">
      <c r="A526" s="14"/>
      <c r="B526" s="1"/>
      <c r="C526" s="1"/>
      <c r="D526" s="1"/>
    </row>
    <row r="527">
      <c r="A527" s="14"/>
      <c r="B527" s="1"/>
      <c r="C527" s="1"/>
      <c r="D527" s="1"/>
    </row>
    <row r="528">
      <c r="A528" s="14"/>
      <c r="B528" s="1"/>
      <c r="C528" s="1"/>
      <c r="D528" s="1"/>
    </row>
    <row r="529">
      <c r="A529" s="14"/>
      <c r="B529" s="1"/>
      <c r="C529" s="1"/>
      <c r="D529" s="1"/>
    </row>
    <row r="530">
      <c r="A530" s="14"/>
      <c r="B530" s="1"/>
      <c r="C530" s="1"/>
      <c r="D530" s="1"/>
    </row>
    <row r="531">
      <c r="A531" s="14"/>
      <c r="B531" s="1"/>
      <c r="C531" s="1"/>
      <c r="D531" s="1"/>
    </row>
    <row r="532">
      <c r="A532" s="14"/>
      <c r="B532" s="1"/>
      <c r="C532" s="1"/>
      <c r="D532" s="1"/>
    </row>
    <row r="533">
      <c r="A533" s="14"/>
      <c r="B533" s="1"/>
      <c r="C533" s="1"/>
      <c r="D533" s="1"/>
    </row>
    <row r="534">
      <c r="A534" s="14"/>
      <c r="B534" s="1"/>
      <c r="C534" s="1"/>
      <c r="D534" s="1"/>
    </row>
    <row r="535">
      <c r="A535" s="14"/>
      <c r="B535" s="1"/>
      <c r="C535" s="1"/>
      <c r="D535" s="1"/>
    </row>
    <row r="536">
      <c r="A536" s="14"/>
      <c r="B536" s="1"/>
      <c r="C536" s="1"/>
      <c r="D536" s="1"/>
    </row>
    <row r="537">
      <c r="A537" s="14"/>
      <c r="B537" s="1"/>
      <c r="C537" s="1"/>
      <c r="D537" s="1"/>
    </row>
    <row r="538">
      <c r="A538" s="14"/>
      <c r="B538" s="1"/>
      <c r="C538" s="1"/>
      <c r="D538" s="1"/>
    </row>
    <row r="539">
      <c r="A539" s="14"/>
      <c r="B539" s="1"/>
      <c r="C539" s="1"/>
      <c r="D539" s="1"/>
    </row>
    <row r="540">
      <c r="A540" s="14"/>
      <c r="B540" s="1"/>
      <c r="C540" s="1"/>
      <c r="D540" s="1"/>
    </row>
    <row r="541">
      <c r="A541" s="14"/>
      <c r="B541" s="1"/>
      <c r="C541" s="1"/>
      <c r="D541" s="1"/>
    </row>
    <row r="542">
      <c r="A542" s="14"/>
      <c r="B542" s="1"/>
      <c r="C542" s="1"/>
      <c r="D542" s="1"/>
    </row>
    <row r="543">
      <c r="A543" s="14"/>
      <c r="B543" s="1"/>
      <c r="C543" s="1"/>
      <c r="D543" s="1"/>
    </row>
    <row r="544">
      <c r="A544" s="14"/>
      <c r="B544" s="1"/>
      <c r="C544" s="1"/>
      <c r="D544" s="1"/>
    </row>
    <row r="545">
      <c r="A545" s="14"/>
      <c r="B545" s="1"/>
      <c r="C545" s="1"/>
      <c r="D545" s="1"/>
    </row>
    <row r="546">
      <c r="A546" s="14"/>
      <c r="B546" s="1"/>
      <c r="C546" s="1"/>
      <c r="D546" s="1"/>
    </row>
    <row r="547">
      <c r="A547" s="14"/>
      <c r="B547" s="1"/>
      <c r="C547" s="1"/>
      <c r="D547" s="1"/>
    </row>
    <row r="548">
      <c r="A548" s="14"/>
      <c r="B548" s="1"/>
      <c r="C548" s="1"/>
      <c r="D548" s="1"/>
    </row>
    <row r="549">
      <c r="A549" s="14"/>
      <c r="B549" s="1"/>
      <c r="C549" s="1"/>
      <c r="D549" s="1"/>
    </row>
    <row r="550">
      <c r="A550" s="14"/>
      <c r="B550" s="1"/>
      <c r="C550" s="1"/>
      <c r="D550" s="1"/>
    </row>
    <row r="551">
      <c r="A551" s="14"/>
      <c r="B551" s="1"/>
      <c r="C551" s="1"/>
      <c r="D551" s="1"/>
    </row>
    <row r="552">
      <c r="A552" s="14"/>
      <c r="B552" s="1"/>
      <c r="C552" s="1"/>
      <c r="D552" s="1"/>
    </row>
    <row r="553">
      <c r="A553" s="14"/>
      <c r="B553" s="1"/>
      <c r="C553" s="1"/>
      <c r="D553" s="1"/>
    </row>
    <row r="554">
      <c r="A554" s="14"/>
      <c r="B554" s="1"/>
      <c r="C554" s="1"/>
      <c r="D554" s="1"/>
    </row>
    <row r="555">
      <c r="A555" s="14"/>
      <c r="B555" s="1"/>
      <c r="C555" s="1"/>
      <c r="D555" s="1"/>
    </row>
    <row r="556">
      <c r="A556" s="14"/>
      <c r="B556" s="1"/>
      <c r="C556" s="1"/>
      <c r="D556" s="1"/>
    </row>
    <row r="557">
      <c r="A557" s="14"/>
      <c r="B557" s="1"/>
      <c r="C557" s="1"/>
      <c r="D557" s="1"/>
    </row>
    <row r="558">
      <c r="A558" s="14"/>
      <c r="B558" s="1"/>
      <c r="C558" s="1"/>
      <c r="D558" s="1"/>
    </row>
    <row r="559">
      <c r="A559" s="14"/>
      <c r="B559" s="1"/>
      <c r="C559" s="1"/>
      <c r="D559" s="1"/>
    </row>
    <row r="560">
      <c r="A560" s="14"/>
      <c r="B560" s="1"/>
      <c r="C560" s="1"/>
      <c r="D560" s="1"/>
    </row>
    <row r="561">
      <c r="A561" s="14"/>
      <c r="B561" s="1"/>
      <c r="C561" s="1"/>
      <c r="D561" s="1"/>
    </row>
    <row r="562">
      <c r="A562" s="14"/>
      <c r="B562" s="1"/>
      <c r="C562" s="1"/>
      <c r="D562" s="1"/>
    </row>
    <row r="563">
      <c r="A563" s="14"/>
      <c r="B563" s="1"/>
      <c r="C563" s="1"/>
      <c r="D563" s="1"/>
    </row>
    <row r="564">
      <c r="A564" s="14"/>
      <c r="B564" s="1"/>
      <c r="C564" s="1"/>
      <c r="D564" s="1"/>
    </row>
    <row r="565">
      <c r="A565" s="14"/>
      <c r="B565" s="1"/>
      <c r="C565" s="1"/>
      <c r="D565" s="1"/>
    </row>
    <row r="566">
      <c r="A566" s="14"/>
      <c r="B566" s="1"/>
      <c r="C566" s="1"/>
      <c r="D566" s="1"/>
    </row>
    <row r="567">
      <c r="A567" s="14"/>
      <c r="B567" s="1"/>
      <c r="C567" s="1"/>
      <c r="D567" s="1"/>
    </row>
    <row r="568">
      <c r="A568" s="14"/>
      <c r="B568" s="1"/>
      <c r="C568" s="1"/>
      <c r="D568" s="1"/>
    </row>
    <row r="569">
      <c r="A569" s="14"/>
      <c r="B569" s="1"/>
      <c r="C569" s="1"/>
      <c r="D569" s="1"/>
    </row>
    <row r="570">
      <c r="A570" s="14"/>
      <c r="B570" s="1"/>
      <c r="C570" s="1"/>
      <c r="D570" s="1"/>
    </row>
    <row r="571">
      <c r="A571" s="14"/>
      <c r="B571" s="1"/>
      <c r="C571" s="1"/>
      <c r="D571" s="1"/>
    </row>
    <row r="572">
      <c r="A572" s="14"/>
      <c r="B572" s="1"/>
      <c r="C572" s="1"/>
      <c r="D572" s="1"/>
    </row>
    <row r="573">
      <c r="A573" s="14"/>
      <c r="B573" s="1"/>
      <c r="C573" s="1"/>
      <c r="D573" s="1"/>
    </row>
    <row r="574">
      <c r="A574" s="14"/>
      <c r="B574" s="1"/>
      <c r="C574" s="1"/>
      <c r="D574" s="1"/>
    </row>
    <row r="575">
      <c r="A575" s="14"/>
      <c r="B575" s="1"/>
      <c r="C575" s="1"/>
      <c r="D575" s="1"/>
    </row>
    <row r="576">
      <c r="A576" s="14"/>
      <c r="B576" s="1"/>
      <c r="C576" s="1"/>
      <c r="D576" s="1"/>
    </row>
    <row r="577">
      <c r="A577" s="14"/>
      <c r="B577" s="1"/>
      <c r="C577" s="1"/>
      <c r="D577" s="1"/>
    </row>
    <row r="578">
      <c r="A578" s="14"/>
      <c r="B578" s="1"/>
      <c r="C578" s="1"/>
      <c r="D578" s="1"/>
    </row>
    <row r="579">
      <c r="A579" s="14"/>
      <c r="B579" s="1"/>
      <c r="C579" s="1"/>
      <c r="D579" s="1"/>
    </row>
    <row r="580">
      <c r="A580" s="14"/>
      <c r="B580" s="1"/>
      <c r="C580" s="1"/>
      <c r="D580" s="1"/>
    </row>
    <row r="581">
      <c r="A581" s="14"/>
      <c r="B581" s="1"/>
      <c r="C581" s="1"/>
      <c r="D581" s="1"/>
    </row>
    <row r="582">
      <c r="A582" s="14"/>
      <c r="B582" s="1"/>
      <c r="C582" s="1"/>
      <c r="D582" s="1"/>
    </row>
    <row r="583">
      <c r="A583" s="14"/>
      <c r="B583" s="1"/>
      <c r="C583" s="1"/>
      <c r="D583" s="1"/>
    </row>
    <row r="584">
      <c r="A584" s="14"/>
      <c r="B584" s="1"/>
      <c r="C584" s="1"/>
      <c r="D584" s="1"/>
    </row>
    <row r="585">
      <c r="A585" s="14"/>
      <c r="B585" s="1"/>
      <c r="C585" s="1"/>
      <c r="D585" s="1"/>
    </row>
    <row r="586">
      <c r="A586" s="14"/>
      <c r="B586" s="1"/>
      <c r="C586" s="1"/>
      <c r="D586" s="1"/>
    </row>
    <row r="587">
      <c r="A587" s="14"/>
      <c r="B587" s="1"/>
      <c r="C587" s="1"/>
      <c r="D587" s="1"/>
    </row>
    <row r="588">
      <c r="A588" s="14"/>
      <c r="B588" s="1"/>
      <c r="C588" s="1"/>
      <c r="D588" s="1"/>
    </row>
    <row r="589">
      <c r="A589" s="14"/>
      <c r="B589" s="1"/>
      <c r="C589" s="1"/>
      <c r="D589" s="1"/>
    </row>
    <row r="590">
      <c r="A590" s="14"/>
      <c r="B590" s="1"/>
      <c r="C590" s="1"/>
      <c r="D590" s="1"/>
    </row>
    <row r="591">
      <c r="A591" s="14"/>
      <c r="B591" s="1"/>
      <c r="C591" s="1"/>
      <c r="D591" s="1"/>
    </row>
    <row r="592">
      <c r="A592" s="14"/>
      <c r="B592" s="1"/>
      <c r="C592" s="1"/>
      <c r="D592" s="1"/>
    </row>
    <row r="593">
      <c r="A593" s="14"/>
      <c r="B593" s="1"/>
      <c r="C593" s="1"/>
      <c r="D593" s="1"/>
    </row>
    <row r="594">
      <c r="A594" s="14"/>
      <c r="B594" s="1"/>
      <c r="C594" s="1"/>
      <c r="D594" s="1"/>
    </row>
    <row r="595">
      <c r="A595" s="14"/>
      <c r="B595" s="1"/>
      <c r="C595" s="1"/>
      <c r="D595" s="1"/>
    </row>
    <row r="596">
      <c r="A596" s="14"/>
      <c r="B596" s="1"/>
      <c r="C596" s="1"/>
      <c r="D596" s="1"/>
    </row>
    <row r="597">
      <c r="A597" s="14"/>
      <c r="B597" s="1"/>
      <c r="C597" s="1"/>
      <c r="D597" s="1"/>
    </row>
    <row r="598">
      <c r="A598" s="14"/>
      <c r="B598" s="1"/>
      <c r="C598" s="1"/>
      <c r="D598" s="1"/>
    </row>
    <row r="599">
      <c r="A599" s="14"/>
      <c r="B599" s="1"/>
      <c r="C599" s="1"/>
      <c r="D599" s="1"/>
    </row>
    <row r="600">
      <c r="A600" s="14"/>
      <c r="B600" s="1"/>
      <c r="C600" s="1"/>
      <c r="D600" s="1"/>
    </row>
    <row r="601">
      <c r="A601" s="14"/>
      <c r="B601" s="1"/>
      <c r="C601" s="1"/>
      <c r="D601" s="1"/>
    </row>
    <row r="602">
      <c r="A602" s="14"/>
      <c r="B602" s="1"/>
      <c r="C602" s="1"/>
      <c r="D602" s="1"/>
    </row>
    <row r="603">
      <c r="A603" s="14"/>
      <c r="B603" s="1"/>
      <c r="C603" s="1"/>
      <c r="D603" s="1"/>
    </row>
    <row r="604">
      <c r="A604" s="14"/>
      <c r="B604" s="1"/>
      <c r="C604" s="1"/>
      <c r="D604" s="1"/>
    </row>
    <row r="605">
      <c r="A605" s="14"/>
      <c r="B605" s="1"/>
      <c r="C605" s="1"/>
      <c r="D605" s="1"/>
    </row>
    <row r="606">
      <c r="A606" s="14"/>
      <c r="B606" s="1"/>
      <c r="C606" s="1"/>
      <c r="D606" s="1"/>
    </row>
    <row r="607">
      <c r="A607" s="14"/>
      <c r="B607" s="1"/>
      <c r="C607" s="1"/>
      <c r="D607" s="1"/>
    </row>
    <row r="608">
      <c r="A608" s="14"/>
      <c r="B608" s="1"/>
      <c r="C608" s="1"/>
      <c r="D608" s="1"/>
    </row>
    <row r="609">
      <c r="A609" s="14"/>
      <c r="B609" s="1"/>
      <c r="C609" s="1"/>
      <c r="D609" s="1"/>
    </row>
    <row r="610">
      <c r="A610" s="14"/>
      <c r="B610" s="1"/>
      <c r="C610" s="1"/>
      <c r="D610" s="1"/>
    </row>
    <row r="611">
      <c r="A611" s="14"/>
      <c r="B611" s="1"/>
      <c r="C611" s="1"/>
      <c r="D611" s="1"/>
    </row>
    <row r="612">
      <c r="A612" s="14"/>
      <c r="B612" s="1"/>
      <c r="C612" s="1"/>
      <c r="D612" s="1"/>
    </row>
    <row r="613">
      <c r="A613" s="14"/>
      <c r="B613" s="1"/>
      <c r="C613" s="1"/>
      <c r="D613" s="1"/>
    </row>
    <row r="614">
      <c r="A614" s="14"/>
      <c r="B614" s="1"/>
      <c r="C614" s="1"/>
      <c r="D614" s="1"/>
    </row>
    <row r="615">
      <c r="A615" s="14"/>
      <c r="B615" s="1"/>
      <c r="C615" s="1"/>
      <c r="D615" s="1"/>
    </row>
    <row r="616">
      <c r="A616" s="14"/>
      <c r="B616" s="1"/>
      <c r="C616" s="1"/>
      <c r="D616" s="1"/>
    </row>
    <row r="617">
      <c r="A617" s="14"/>
      <c r="B617" s="1"/>
      <c r="C617" s="1"/>
      <c r="D617" s="1"/>
    </row>
    <row r="618">
      <c r="A618" s="14"/>
      <c r="B618" s="1"/>
      <c r="C618" s="1"/>
      <c r="D618" s="1"/>
    </row>
    <row r="619">
      <c r="A619" s="14"/>
      <c r="B619" s="1"/>
      <c r="C619" s="1"/>
      <c r="D619" s="1"/>
    </row>
    <row r="620">
      <c r="A620" s="14"/>
      <c r="B620" s="1"/>
      <c r="C620" s="1"/>
      <c r="D620" s="1"/>
    </row>
    <row r="621">
      <c r="A621" s="14"/>
      <c r="B621" s="1"/>
      <c r="C621" s="1"/>
      <c r="D621" s="1"/>
    </row>
    <row r="622">
      <c r="A622" s="14"/>
      <c r="B622" s="1"/>
      <c r="C622" s="1"/>
      <c r="D622" s="1"/>
    </row>
    <row r="623">
      <c r="A623" s="14"/>
      <c r="B623" s="1"/>
      <c r="C623" s="1"/>
      <c r="D623" s="1"/>
    </row>
    <row r="624">
      <c r="A624" s="14"/>
      <c r="B624" s="1"/>
      <c r="C624" s="1"/>
      <c r="D624" s="1"/>
    </row>
    <row r="625">
      <c r="A625" s="14"/>
      <c r="B625" s="1"/>
      <c r="C625" s="1"/>
      <c r="D625" s="1"/>
    </row>
    <row r="626">
      <c r="A626" s="14"/>
      <c r="B626" s="1"/>
      <c r="C626" s="1"/>
      <c r="D626" s="1"/>
    </row>
    <row r="627">
      <c r="A627" s="14"/>
      <c r="B627" s="1"/>
      <c r="C627" s="1"/>
      <c r="D627" s="1"/>
    </row>
    <row r="628">
      <c r="A628" s="14"/>
      <c r="B628" s="1"/>
      <c r="C628" s="1"/>
      <c r="D628" s="1"/>
    </row>
    <row r="629">
      <c r="A629" s="14"/>
      <c r="B629" s="1"/>
      <c r="C629" s="1"/>
      <c r="D629" s="1"/>
    </row>
    <row r="630">
      <c r="A630" s="14"/>
      <c r="B630" s="1"/>
      <c r="C630" s="1"/>
      <c r="D630" s="1"/>
    </row>
    <row r="631">
      <c r="A631" s="14"/>
      <c r="B631" s="1"/>
      <c r="C631" s="1"/>
      <c r="D631" s="1"/>
    </row>
    <row r="632">
      <c r="A632" s="14"/>
      <c r="B632" s="1"/>
      <c r="C632" s="1"/>
      <c r="D632" s="1"/>
    </row>
    <row r="633">
      <c r="A633" s="14"/>
      <c r="B633" s="1"/>
      <c r="C633" s="1"/>
      <c r="D633" s="1"/>
    </row>
    <row r="634">
      <c r="A634" s="14"/>
      <c r="B634" s="1"/>
      <c r="C634" s="1"/>
      <c r="D634" s="1"/>
    </row>
    <row r="635">
      <c r="A635" s="14"/>
      <c r="B635" s="1"/>
      <c r="C635" s="1"/>
      <c r="D635" s="1"/>
    </row>
    <row r="636">
      <c r="A636" s="14"/>
      <c r="B636" s="1"/>
      <c r="C636" s="1"/>
      <c r="D636" s="1"/>
    </row>
    <row r="637">
      <c r="A637" s="14"/>
      <c r="B637" s="1"/>
      <c r="C637" s="1"/>
      <c r="D637" s="1"/>
    </row>
    <row r="638">
      <c r="A638" s="14"/>
      <c r="B638" s="1"/>
      <c r="C638" s="1"/>
      <c r="D638" s="1"/>
    </row>
    <row r="639">
      <c r="A639" s="14"/>
      <c r="B639" s="1"/>
      <c r="C639" s="1"/>
      <c r="D639" s="1"/>
    </row>
    <row r="640">
      <c r="A640" s="14"/>
      <c r="B640" s="1"/>
      <c r="C640" s="1"/>
      <c r="D640" s="1"/>
    </row>
    <row r="641">
      <c r="A641" s="14"/>
      <c r="B641" s="1"/>
      <c r="C641" s="1"/>
      <c r="D641" s="1"/>
    </row>
    <row r="642">
      <c r="A642" s="14"/>
      <c r="B642" s="1"/>
      <c r="C642" s="1"/>
      <c r="D642" s="1"/>
    </row>
    <row r="643">
      <c r="A643" s="14"/>
      <c r="B643" s="1"/>
      <c r="C643" s="1"/>
      <c r="D643" s="1"/>
    </row>
    <row r="644">
      <c r="A644" s="14"/>
      <c r="B644" s="1"/>
      <c r="C644" s="1"/>
      <c r="D644" s="1"/>
    </row>
    <row r="645">
      <c r="A645" s="14"/>
      <c r="B645" s="1"/>
      <c r="C645" s="1"/>
      <c r="D645" s="1"/>
    </row>
    <row r="646">
      <c r="A646" s="14"/>
      <c r="B646" s="1"/>
      <c r="C646" s="1"/>
      <c r="D646" s="1"/>
    </row>
    <row r="647">
      <c r="A647" s="14"/>
      <c r="B647" s="1"/>
      <c r="C647" s="1"/>
      <c r="D647" s="1"/>
    </row>
    <row r="648">
      <c r="A648" s="14"/>
      <c r="B648" s="1"/>
      <c r="C648" s="1"/>
      <c r="D648" s="1"/>
    </row>
    <row r="649">
      <c r="A649" s="14"/>
      <c r="B649" s="1"/>
      <c r="C649" s="1"/>
      <c r="D649" s="1"/>
    </row>
    <row r="650">
      <c r="A650" s="14"/>
      <c r="B650" s="1"/>
      <c r="C650" s="1"/>
      <c r="D650" s="1"/>
    </row>
    <row r="651">
      <c r="A651" s="14"/>
      <c r="B651" s="1"/>
      <c r="C651" s="1"/>
      <c r="D651" s="1"/>
    </row>
    <row r="652">
      <c r="A652" s="14"/>
      <c r="B652" s="1"/>
      <c r="C652" s="1"/>
      <c r="D652" s="1"/>
    </row>
    <row r="653">
      <c r="A653" s="14"/>
      <c r="B653" s="1"/>
      <c r="C653" s="1"/>
      <c r="D653" s="1"/>
    </row>
    <row r="654">
      <c r="A654" s="14"/>
      <c r="B654" s="1"/>
      <c r="C654" s="1"/>
      <c r="D654" s="1"/>
    </row>
    <row r="655">
      <c r="A655" s="14"/>
      <c r="B655" s="1"/>
      <c r="C655" s="1"/>
      <c r="D655" s="1"/>
    </row>
    <row r="656">
      <c r="A656" s="14"/>
      <c r="B656" s="1"/>
      <c r="C656" s="1"/>
      <c r="D656" s="1"/>
    </row>
    <row r="657">
      <c r="A657" s="14"/>
      <c r="B657" s="1"/>
      <c r="C657" s="1"/>
      <c r="D657" s="1"/>
    </row>
    <row r="658">
      <c r="A658" s="14"/>
      <c r="B658" s="1"/>
      <c r="C658" s="1"/>
      <c r="D658" s="1"/>
    </row>
    <row r="659">
      <c r="A659" s="14"/>
      <c r="B659" s="1"/>
      <c r="C659" s="1"/>
      <c r="D659" s="1"/>
    </row>
    <row r="660">
      <c r="A660" s="14"/>
      <c r="B660" s="1"/>
      <c r="C660" s="1"/>
      <c r="D660" s="1"/>
    </row>
    <row r="661">
      <c r="A661" s="14"/>
      <c r="B661" s="1"/>
      <c r="C661" s="1"/>
      <c r="D661" s="1"/>
    </row>
    <row r="662">
      <c r="A662" s="14"/>
      <c r="B662" s="1"/>
      <c r="C662" s="1"/>
      <c r="D662" s="1"/>
    </row>
    <row r="663">
      <c r="A663" s="14"/>
      <c r="B663" s="1"/>
      <c r="C663" s="1"/>
      <c r="D663" s="1"/>
    </row>
    <row r="664">
      <c r="A664" s="14"/>
      <c r="B664" s="1"/>
      <c r="C664" s="1"/>
      <c r="D664" s="1"/>
    </row>
    <row r="665">
      <c r="A665" s="14"/>
      <c r="B665" s="1"/>
      <c r="C665" s="1"/>
      <c r="D665" s="1"/>
    </row>
    <row r="666">
      <c r="A666" s="14"/>
      <c r="B666" s="1"/>
      <c r="C666" s="1"/>
      <c r="D666" s="1"/>
    </row>
    <row r="667">
      <c r="A667" s="14"/>
      <c r="B667" s="1"/>
      <c r="C667" s="1"/>
      <c r="D667" s="1"/>
    </row>
    <row r="668">
      <c r="A668" s="14"/>
      <c r="B668" s="1"/>
      <c r="C668" s="1"/>
      <c r="D668" s="1"/>
    </row>
    <row r="669">
      <c r="A669" s="14"/>
      <c r="B669" s="1"/>
      <c r="C669" s="1"/>
      <c r="D669" s="1"/>
    </row>
    <row r="670">
      <c r="A670" s="14"/>
      <c r="B670" s="1"/>
      <c r="C670" s="1"/>
      <c r="D670" s="1"/>
    </row>
    <row r="671">
      <c r="A671" s="14"/>
      <c r="B671" s="1"/>
      <c r="C671" s="1"/>
      <c r="D671" s="1"/>
    </row>
    <row r="672">
      <c r="A672" s="14"/>
      <c r="B672" s="1"/>
      <c r="C672" s="1"/>
      <c r="D672" s="1"/>
    </row>
    <row r="673">
      <c r="A673" s="14"/>
      <c r="B673" s="1"/>
      <c r="C673" s="1"/>
      <c r="D673" s="1"/>
    </row>
    <row r="674">
      <c r="A674" s="14"/>
      <c r="B674" s="1"/>
      <c r="C674" s="1"/>
      <c r="D674" s="1"/>
    </row>
    <row r="675">
      <c r="A675" s="14"/>
      <c r="B675" s="1"/>
      <c r="C675" s="1"/>
      <c r="D675" s="1"/>
    </row>
    <row r="676">
      <c r="A676" s="14"/>
      <c r="B676" s="1"/>
      <c r="C676" s="1"/>
      <c r="D676" s="1"/>
    </row>
    <row r="677">
      <c r="A677" s="14"/>
      <c r="B677" s="1"/>
      <c r="C677" s="1"/>
      <c r="D677" s="1"/>
    </row>
    <row r="678">
      <c r="A678" s="14"/>
      <c r="B678" s="1"/>
      <c r="C678" s="1"/>
      <c r="D678" s="1"/>
    </row>
    <row r="679">
      <c r="A679" s="14"/>
      <c r="B679" s="1"/>
      <c r="C679" s="1"/>
      <c r="D679" s="1"/>
    </row>
    <row r="680">
      <c r="A680" s="14"/>
      <c r="B680" s="1"/>
      <c r="C680" s="1"/>
      <c r="D680" s="1"/>
    </row>
    <row r="681">
      <c r="A681" s="14"/>
      <c r="B681" s="1"/>
      <c r="C681" s="1"/>
      <c r="D681" s="1"/>
    </row>
    <row r="682">
      <c r="A682" s="14"/>
      <c r="B682" s="1"/>
      <c r="C682" s="1"/>
      <c r="D682" s="1"/>
    </row>
    <row r="683">
      <c r="A683" s="14"/>
      <c r="B683" s="1"/>
      <c r="C683" s="1"/>
      <c r="D683" s="1"/>
    </row>
    <row r="684">
      <c r="A684" s="14"/>
      <c r="B684" s="1"/>
      <c r="C684" s="1"/>
      <c r="D684" s="1"/>
    </row>
    <row r="685">
      <c r="A685" s="14"/>
      <c r="B685" s="1"/>
      <c r="C685" s="1"/>
      <c r="D685" s="1"/>
    </row>
    <row r="686">
      <c r="A686" s="14"/>
      <c r="B686" s="1"/>
      <c r="C686" s="1"/>
      <c r="D686" s="1"/>
    </row>
    <row r="687">
      <c r="A687" s="14"/>
      <c r="B687" s="1"/>
      <c r="C687" s="1"/>
      <c r="D687" s="1"/>
    </row>
    <row r="688">
      <c r="A688" s="14"/>
      <c r="B688" s="1"/>
      <c r="C688" s="1"/>
      <c r="D688" s="1"/>
    </row>
    <row r="689">
      <c r="A689" s="14"/>
      <c r="B689" s="1"/>
      <c r="C689" s="1"/>
      <c r="D689" s="1"/>
    </row>
    <row r="690">
      <c r="A690" s="14"/>
      <c r="B690" s="1"/>
      <c r="C690" s="1"/>
      <c r="D690" s="1"/>
    </row>
    <row r="691">
      <c r="A691" s="14"/>
      <c r="B691" s="1"/>
      <c r="C691" s="1"/>
      <c r="D691" s="1"/>
    </row>
    <row r="692">
      <c r="A692" s="14"/>
      <c r="B692" s="1"/>
      <c r="C692" s="1"/>
      <c r="D692" s="1"/>
    </row>
    <row r="693">
      <c r="A693" s="14"/>
      <c r="B693" s="1"/>
      <c r="C693" s="1"/>
      <c r="D693" s="1"/>
    </row>
    <row r="694">
      <c r="A694" s="14"/>
      <c r="B694" s="1"/>
      <c r="C694" s="1"/>
      <c r="D694" s="1"/>
    </row>
    <row r="695">
      <c r="A695" s="14"/>
      <c r="B695" s="1"/>
      <c r="C695" s="1"/>
      <c r="D695" s="1"/>
    </row>
    <row r="696">
      <c r="A696" s="14"/>
      <c r="B696" s="1"/>
      <c r="C696" s="1"/>
      <c r="D696" s="1"/>
    </row>
    <row r="697">
      <c r="A697" s="14"/>
      <c r="B697" s="1"/>
      <c r="C697" s="1"/>
      <c r="D697" s="1"/>
    </row>
    <row r="698">
      <c r="A698" s="14"/>
      <c r="B698" s="1"/>
      <c r="C698" s="1"/>
      <c r="D698" s="1"/>
    </row>
    <row r="699">
      <c r="A699" s="14"/>
      <c r="B699" s="1"/>
      <c r="C699" s="1"/>
      <c r="D699" s="1"/>
    </row>
    <row r="700">
      <c r="A700" s="14"/>
      <c r="B700" s="1"/>
      <c r="C700" s="1"/>
      <c r="D700" s="1"/>
    </row>
    <row r="701">
      <c r="A701" s="14"/>
      <c r="B701" s="1"/>
      <c r="C701" s="1"/>
      <c r="D701" s="1"/>
    </row>
    <row r="702">
      <c r="A702" s="14"/>
      <c r="B702" s="1"/>
      <c r="C702" s="1"/>
      <c r="D702" s="1"/>
    </row>
    <row r="703">
      <c r="A703" s="14"/>
      <c r="B703" s="1"/>
      <c r="C703" s="1"/>
      <c r="D703" s="1"/>
    </row>
    <row r="704">
      <c r="A704" s="14"/>
      <c r="B704" s="1"/>
      <c r="C704" s="1"/>
      <c r="D704" s="1"/>
    </row>
    <row r="705">
      <c r="A705" s="14"/>
      <c r="B705" s="1"/>
      <c r="C705" s="1"/>
      <c r="D705" s="1"/>
    </row>
    <row r="706">
      <c r="A706" s="14"/>
      <c r="B706" s="1"/>
      <c r="C706" s="1"/>
      <c r="D706" s="1"/>
    </row>
    <row r="707">
      <c r="A707" s="14"/>
      <c r="B707" s="1"/>
      <c r="C707" s="1"/>
      <c r="D707" s="1"/>
    </row>
    <row r="708">
      <c r="A708" s="14"/>
      <c r="B708" s="1"/>
      <c r="C708" s="1"/>
      <c r="D708" s="1"/>
    </row>
    <row r="709">
      <c r="A709" s="14"/>
      <c r="B709" s="1"/>
      <c r="C709" s="1"/>
      <c r="D709" s="1"/>
    </row>
    <row r="710">
      <c r="A710" s="14"/>
      <c r="B710" s="1"/>
      <c r="C710" s="1"/>
      <c r="D710" s="1"/>
    </row>
    <row r="711">
      <c r="A711" s="14"/>
      <c r="B711" s="1"/>
      <c r="C711" s="1"/>
      <c r="D711" s="1"/>
    </row>
    <row r="712">
      <c r="A712" s="14"/>
      <c r="B712" s="1"/>
      <c r="C712" s="1"/>
      <c r="D712" s="1"/>
    </row>
    <row r="713">
      <c r="A713" s="14"/>
      <c r="B713" s="1"/>
      <c r="C713" s="1"/>
      <c r="D713" s="1"/>
    </row>
    <row r="714">
      <c r="A714" s="14"/>
      <c r="B714" s="1"/>
      <c r="C714" s="1"/>
      <c r="D714" s="1"/>
    </row>
    <row r="715">
      <c r="A715" s="14"/>
      <c r="B715" s="1"/>
      <c r="C715" s="1"/>
      <c r="D715" s="1"/>
    </row>
    <row r="716">
      <c r="A716" s="14"/>
      <c r="B716" s="1"/>
      <c r="C716" s="1"/>
      <c r="D716" s="1"/>
    </row>
    <row r="717">
      <c r="A717" s="14"/>
      <c r="B717" s="1"/>
      <c r="C717" s="1"/>
      <c r="D717" s="1"/>
    </row>
    <row r="718">
      <c r="A718" s="14"/>
      <c r="B718" s="1"/>
      <c r="C718" s="1"/>
      <c r="D718" s="1"/>
    </row>
    <row r="719">
      <c r="A719" s="14"/>
      <c r="B719" s="1"/>
      <c r="C719" s="1"/>
      <c r="D719" s="1"/>
    </row>
    <row r="720">
      <c r="A720" s="14"/>
      <c r="B720" s="1"/>
      <c r="C720" s="1"/>
      <c r="D720" s="1"/>
    </row>
    <row r="721">
      <c r="A721" s="14"/>
      <c r="B721" s="1"/>
      <c r="C721" s="1"/>
      <c r="D721" s="1"/>
    </row>
    <row r="722">
      <c r="A722" s="14"/>
      <c r="B722" s="1"/>
      <c r="C722" s="1"/>
      <c r="D722" s="1"/>
    </row>
    <row r="723">
      <c r="A723" s="14"/>
      <c r="B723" s="1"/>
      <c r="C723" s="1"/>
      <c r="D723" s="1"/>
    </row>
    <row r="724">
      <c r="A724" s="14"/>
      <c r="B724" s="1"/>
      <c r="C724" s="1"/>
      <c r="D724" s="1"/>
    </row>
    <row r="725">
      <c r="A725" s="14"/>
      <c r="B725" s="1"/>
      <c r="C725" s="1"/>
      <c r="D725" s="1"/>
    </row>
    <row r="726">
      <c r="A726" s="14"/>
      <c r="B726" s="1"/>
      <c r="C726" s="1"/>
      <c r="D726" s="1"/>
    </row>
    <row r="727">
      <c r="A727" s="14"/>
      <c r="B727" s="1"/>
      <c r="C727" s="1"/>
      <c r="D727" s="1"/>
    </row>
    <row r="728">
      <c r="A728" s="14"/>
      <c r="B728" s="1"/>
      <c r="C728" s="1"/>
      <c r="D728" s="1"/>
    </row>
    <row r="729">
      <c r="A729" s="14"/>
      <c r="B729" s="1"/>
      <c r="C729" s="1"/>
      <c r="D729" s="1"/>
    </row>
    <row r="730">
      <c r="A730" s="14"/>
      <c r="B730" s="1"/>
      <c r="C730" s="1"/>
      <c r="D730" s="1"/>
    </row>
    <row r="731">
      <c r="A731" s="14"/>
      <c r="B731" s="1"/>
      <c r="C731" s="1"/>
      <c r="D731" s="1"/>
    </row>
    <row r="732">
      <c r="A732" s="14"/>
      <c r="B732" s="1"/>
      <c r="C732" s="1"/>
      <c r="D732" s="1"/>
    </row>
    <row r="733">
      <c r="A733" s="14"/>
      <c r="B733" s="1"/>
      <c r="C733" s="1"/>
      <c r="D733" s="1"/>
    </row>
    <row r="734">
      <c r="A734" s="14"/>
      <c r="B734" s="1"/>
      <c r="C734" s="1"/>
      <c r="D734" s="1"/>
    </row>
    <row r="735">
      <c r="A735" s="14"/>
      <c r="B735" s="1"/>
      <c r="C735" s="1"/>
      <c r="D735" s="1"/>
    </row>
    <row r="736">
      <c r="A736" s="14"/>
      <c r="B736" s="1"/>
      <c r="C736" s="1"/>
      <c r="D736" s="1"/>
    </row>
    <row r="737">
      <c r="A737" s="14"/>
      <c r="B737" s="1"/>
      <c r="C737" s="1"/>
      <c r="D737" s="1"/>
    </row>
    <row r="738">
      <c r="A738" s="14"/>
      <c r="B738" s="1"/>
      <c r="C738" s="1"/>
      <c r="D738" s="1"/>
    </row>
    <row r="739">
      <c r="A739" s="14"/>
      <c r="B739" s="1"/>
      <c r="C739" s="1"/>
      <c r="D739" s="1"/>
    </row>
    <row r="740">
      <c r="A740" s="14"/>
      <c r="B740" s="1"/>
      <c r="C740" s="1"/>
      <c r="D740" s="1"/>
    </row>
    <row r="741">
      <c r="A741" s="14"/>
      <c r="B741" s="1"/>
      <c r="C741" s="1"/>
      <c r="D741" s="1"/>
    </row>
    <row r="742">
      <c r="A742" s="14"/>
      <c r="B742" s="1"/>
      <c r="C742" s="1"/>
      <c r="D742" s="1"/>
    </row>
    <row r="743">
      <c r="A743" s="14"/>
      <c r="B743" s="1"/>
      <c r="C743" s="1"/>
      <c r="D743" s="1"/>
    </row>
    <row r="744">
      <c r="A744" s="14"/>
      <c r="B744" s="1"/>
      <c r="C744" s="1"/>
      <c r="D744" s="1"/>
    </row>
    <row r="745">
      <c r="A745" s="14"/>
      <c r="B745" s="1"/>
      <c r="C745" s="1"/>
      <c r="D745" s="1"/>
    </row>
    <row r="746">
      <c r="A746" s="14"/>
      <c r="B746" s="1"/>
      <c r="C746" s="1"/>
      <c r="D746" s="1"/>
    </row>
    <row r="747">
      <c r="A747" s="14"/>
      <c r="B747" s="1"/>
      <c r="C747" s="1"/>
      <c r="D747" s="1"/>
    </row>
    <row r="748">
      <c r="A748" s="14"/>
      <c r="B748" s="1"/>
      <c r="C748" s="1"/>
      <c r="D748" s="1"/>
    </row>
    <row r="749">
      <c r="A749" s="14"/>
      <c r="B749" s="1"/>
      <c r="C749" s="1"/>
      <c r="D749" s="1"/>
    </row>
    <row r="750">
      <c r="A750" s="14"/>
      <c r="B750" s="1"/>
      <c r="C750" s="1"/>
      <c r="D750" s="1"/>
    </row>
    <row r="751">
      <c r="A751" s="14"/>
      <c r="B751" s="1"/>
      <c r="C751" s="1"/>
      <c r="D751" s="1"/>
    </row>
    <row r="752">
      <c r="A752" s="14"/>
      <c r="B752" s="1"/>
      <c r="C752" s="1"/>
      <c r="D752" s="1"/>
    </row>
    <row r="753">
      <c r="A753" s="14"/>
      <c r="B753" s="1"/>
      <c r="C753" s="1"/>
      <c r="D753" s="1"/>
    </row>
    <row r="754">
      <c r="A754" s="14"/>
      <c r="B754" s="1"/>
      <c r="C754" s="1"/>
      <c r="D754" s="1"/>
    </row>
    <row r="755">
      <c r="A755" s="14"/>
      <c r="B755" s="1"/>
      <c r="C755" s="1"/>
      <c r="D755" s="1"/>
    </row>
    <row r="756">
      <c r="A756" s="14"/>
      <c r="B756" s="1"/>
      <c r="C756" s="1"/>
      <c r="D756" s="1"/>
    </row>
    <row r="757">
      <c r="A757" s="14"/>
      <c r="B757" s="1"/>
      <c r="C757" s="1"/>
      <c r="D757" s="1"/>
    </row>
    <row r="758">
      <c r="A758" s="14"/>
      <c r="B758" s="1"/>
      <c r="C758" s="1"/>
      <c r="D758" s="1"/>
    </row>
    <row r="759">
      <c r="A759" s="14"/>
      <c r="B759" s="1"/>
      <c r="C759" s="1"/>
      <c r="D759" s="1"/>
    </row>
    <row r="760">
      <c r="A760" s="14"/>
      <c r="B760" s="1"/>
      <c r="C760" s="1"/>
      <c r="D760" s="1"/>
    </row>
    <row r="761">
      <c r="A761" s="14"/>
      <c r="B761" s="1"/>
      <c r="C761" s="1"/>
      <c r="D761" s="1"/>
    </row>
    <row r="762">
      <c r="A762" s="14"/>
      <c r="B762" s="1"/>
      <c r="C762" s="1"/>
      <c r="D762" s="1"/>
    </row>
    <row r="763">
      <c r="A763" s="14"/>
      <c r="B763" s="1"/>
      <c r="C763" s="1"/>
      <c r="D763" s="1"/>
    </row>
    <row r="764">
      <c r="A764" s="14"/>
      <c r="B764" s="1"/>
      <c r="C764" s="1"/>
      <c r="D764" s="1"/>
    </row>
    <row r="765">
      <c r="A765" s="14"/>
      <c r="B765" s="1"/>
      <c r="C765" s="1"/>
      <c r="D765" s="1"/>
    </row>
    <row r="766">
      <c r="A766" s="14"/>
      <c r="B766" s="1"/>
      <c r="C766" s="1"/>
      <c r="D766" s="1"/>
    </row>
    <row r="767">
      <c r="A767" s="14"/>
      <c r="B767" s="1"/>
      <c r="C767" s="1"/>
      <c r="D767" s="1"/>
    </row>
    <row r="768">
      <c r="A768" s="14"/>
      <c r="B768" s="1"/>
      <c r="C768" s="1"/>
      <c r="D768" s="1"/>
    </row>
    <row r="769">
      <c r="A769" s="14"/>
      <c r="B769" s="1"/>
      <c r="C769" s="1"/>
      <c r="D769" s="1"/>
    </row>
    <row r="770">
      <c r="A770" s="14"/>
      <c r="B770" s="1"/>
      <c r="C770" s="1"/>
      <c r="D770" s="1"/>
    </row>
    <row r="771">
      <c r="A771" s="14"/>
      <c r="B771" s="1"/>
      <c r="C771" s="1"/>
      <c r="D771" s="1"/>
    </row>
    <row r="772">
      <c r="A772" s="14"/>
      <c r="B772" s="1"/>
      <c r="C772" s="1"/>
      <c r="D772" s="1"/>
    </row>
    <row r="773">
      <c r="A773" s="14"/>
      <c r="B773" s="1"/>
      <c r="C773" s="1"/>
      <c r="D773" s="1"/>
    </row>
    <row r="774">
      <c r="A774" s="14"/>
      <c r="B774" s="1"/>
      <c r="C774" s="1"/>
      <c r="D774" s="1"/>
    </row>
    <row r="775">
      <c r="A775" s="14"/>
      <c r="B775" s="1"/>
      <c r="C775" s="1"/>
      <c r="D775" s="1"/>
    </row>
    <row r="776">
      <c r="A776" s="14"/>
      <c r="B776" s="1"/>
      <c r="C776" s="1"/>
      <c r="D776" s="1"/>
    </row>
    <row r="777">
      <c r="A777" s="14"/>
      <c r="B777" s="1"/>
      <c r="C777" s="1"/>
      <c r="D777" s="1"/>
    </row>
    <row r="778">
      <c r="A778" s="14"/>
      <c r="B778" s="1"/>
      <c r="C778" s="1"/>
      <c r="D778" s="1"/>
    </row>
    <row r="779">
      <c r="A779" s="14"/>
      <c r="B779" s="1"/>
      <c r="C779" s="1"/>
      <c r="D779" s="1"/>
    </row>
    <row r="780">
      <c r="A780" s="14"/>
      <c r="B780" s="1"/>
      <c r="C780" s="1"/>
      <c r="D780" s="1"/>
    </row>
    <row r="781">
      <c r="A781" s="14"/>
      <c r="B781" s="1"/>
      <c r="C781" s="1"/>
      <c r="D781" s="1"/>
    </row>
    <row r="782">
      <c r="A782" s="14"/>
      <c r="B782" s="1"/>
      <c r="C782" s="1"/>
      <c r="D782" s="1"/>
    </row>
    <row r="783">
      <c r="A783" s="14"/>
      <c r="B783" s="1"/>
      <c r="C783" s="1"/>
      <c r="D783" s="1"/>
    </row>
    <row r="784">
      <c r="A784" s="14"/>
      <c r="B784" s="1"/>
      <c r="C784" s="1"/>
      <c r="D784" s="1"/>
    </row>
    <row r="785">
      <c r="A785" s="14"/>
      <c r="B785" s="1"/>
      <c r="C785" s="1"/>
      <c r="D785" s="1"/>
    </row>
    <row r="786">
      <c r="A786" s="14"/>
      <c r="B786" s="1"/>
      <c r="C786" s="1"/>
      <c r="D786" s="1"/>
    </row>
    <row r="787">
      <c r="A787" s="14"/>
      <c r="B787" s="1"/>
      <c r="C787" s="1"/>
      <c r="D787" s="1"/>
    </row>
    <row r="788">
      <c r="A788" s="14"/>
      <c r="B788" s="1"/>
      <c r="C788" s="1"/>
      <c r="D788" s="1"/>
    </row>
    <row r="789">
      <c r="A789" s="14"/>
      <c r="B789" s="1"/>
      <c r="C789" s="1"/>
      <c r="D789" s="1"/>
    </row>
    <row r="790">
      <c r="A790" s="14"/>
      <c r="B790" s="1"/>
      <c r="C790" s="1"/>
      <c r="D790" s="1"/>
    </row>
    <row r="791">
      <c r="A791" s="14"/>
      <c r="B791" s="1"/>
      <c r="C791" s="1"/>
      <c r="D791" s="1"/>
    </row>
    <row r="792">
      <c r="A792" s="14"/>
      <c r="B792" s="1"/>
      <c r="C792" s="1"/>
      <c r="D792" s="1"/>
    </row>
    <row r="793">
      <c r="A793" s="14"/>
      <c r="B793" s="1"/>
      <c r="C793" s="1"/>
      <c r="D793" s="1"/>
    </row>
    <row r="794">
      <c r="A794" s="14"/>
      <c r="B794" s="1"/>
      <c r="C794" s="1"/>
      <c r="D794" s="1"/>
    </row>
    <row r="795">
      <c r="A795" s="14"/>
      <c r="B795" s="1"/>
      <c r="C795" s="1"/>
      <c r="D795" s="1"/>
    </row>
    <row r="796">
      <c r="A796" s="14"/>
      <c r="B796" s="1"/>
      <c r="C796" s="1"/>
      <c r="D796" s="1"/>
    </row>
    <row r="797">
      <c r="A797" s="14"/>
      <c r="B797" s="1"/>
      <c r="C797" s="1"/>
      <c r="D797" s="1"/>
    </row>
    <row r="798">
      <c r="A798" s="14"/>
      <c r="B798" s="1"/>
      <c r="C798" s="1"/>
      <c r="D798" s="1"/>
    </row>
    <row r="799">
      <c r="A799" s="14"/>
      <c r="B799" s="1"/>
      <c r="C799" s="1"/>
      <c r="D799" s="1"/>
    </row>
    <row r="800">
      <c r="A800" s="14"/>
      <c r="B800" s="1"/>
      <c r="C800" s="1"/>
      <c r="D800" s="1"/>
    </row>
    <row r="801">
      <c r="A801" s="14"/>
      <c r="B801" s="1"/>
      <c r="C801" s="1"/>
      <c r="D801" s="1"/>
    </row>
    <row r="802">
      <c r="A802" s="14"/>
      <c r="B802" s="1"/>
      <c r="C802" s="1"/>
      <c r="D802" s="1"/>
    </row>
    <row r="803">
      <c r="A803" s="14"/>
      <c r="B803" s="1"/>
      <c r="C803" s="1"/>
      <c r="D803" s="1"/>
    </row>
    <row r="804">
      <c r="A804" s="14"/>
      <c r="B804" s="1"/>
      <c r="C804" s="1"/>
      <c r="D804" s="1"/>
    </row>
    <row r="805">
      <c r="A805" s="14"/>
      <c r="B805" s="1"/>
      <c r="C805" s="1"/>
      <c r="D805" s="1"/>
    </row>
    <row r="806">
      <c r="A806" s="14"/>
      <c r="B806" s="1"/>
      <c r="C806" s="1"/>
      <c r="D806" s="1"/>
    </row>
    <row r="807">
      <c r="A807" s="14"/>
      <c r="B807" s="1"/>
      <c r="C807" s="1"/>
      <c r="D807" s="1"/>
    </row>
    <row r="808">
      <c r="A808" s="14"/>
      <c r="B808" s="1"/>
      <c r="C808" s="1"/>
      <c r="D808" s="1"/>
    </row>
    <row r="809">
      <c r="A809" s="14"/>
      <c r="B809" s="1"/>
      <c r="C809" s="1"/>
      <c r="D809" s="1"/>
    </row>
    <row r="810">
      <c r="A810" s="14"/>
      <c r="B810" s="1"/>
      <c r="C810" s="1"/>
      <c r="D810" s="1"/>
    </row>
    <row r="811">
      <c r="A811" s="14"/>
      <c r="B811" s="1"/>
      <c r="C811" s="1"/>
      <c r="D811" s="1"/>
    </row>
    <row r="812">
      <c r="A812" s="14"/>
      <c r="B812" s="1"/>
      <c r="C812" s="1"/>
      <c r="D812" s="1"/>
    </row>
    <row r="813">
      <c r="A813" s="14"/>
      <c r="B813" s="1"/>
      <c r="C813" s="1"/>
      <c r="D813" s="1"/>
    </row>
    <row r="814">
      <c r="A814" s="14"/>
      <c r="B814" s="1"/>
      <c r="C814" s="1"/>
      <c r="D814" s="1"/>
    </row>
    <row r="815">
      <c r="A815" s="14"/>
      <c r="B815" s="1"/>
      <c r="C815" s="1"/>
      <c r="D815" s="1"/>
    </row>
    <row r="816">
      <c r="A816" s="14"/>
      <c r="B816" s="1"/>
      <c r="C816" s="1"/>
      <c r="D816" s="1"/>
    </row>
    <row r="817">
      <c r="A817" s="14"/>
      <c r="B817" s="1"/>
      <c r="C817" s="1"/>
      <c r="D817" s="1"/>
    </row>
    <row r="818">
      <c r="A818" s="14"/>
      <c r="B818" s="1"/>
      <c r="C818" s="1"/>
      <c r="D818" s="1"/>
    </row>
    <row r="819">
      <c r="A819" s="14"/>
      <c r="B819" s="1"/>
      <c r="C819" s="1"/>
      <c r="D819" s="1"/>
    </row>
    <row r="820">
      <c r="A820" s="14"/>
      <c r="B820" s="1"/>
      <c r="C820" s="1"/>
      <c r="D820" s="1"/>
    </row>
    <row r="821">
      <c r="A821" s="14"/>
      <c r="B821" s="1"/>
      <c r="C821" s="1"/>
      <c r="D821" s="1"/>
    </row>
    <row r="822">
      <c r="A822" s="14"/>
      <c r="B822" s="1"/>
      <c r="C822" s="1"/>
      <c r="D822" s="1"/>
    </row>
    <row r="823">
      <c r="A823" s="14"/>
      <c r="B823" s="1"/>
      <c r="C823" s="1"/>
      <c r="D823" s="1"/>
    </row>
    <row r="824">
      <c r="A824" s="14"/>
      <c r="B824" s="1"/>
      <c r="C824" s="1"/>
      <c r="D824" s="1"/>
    </row>
    <row r="825">
      <c r="A825" s="14"/>
      <c r="B825" s="1"/>
      <c r="C825" s="1"/>
      <c r="D825" s="1"/>
    </row>
    <row r="826">
      <c r="A826" s="14"/>
      <c r="B826" s="1"/>
      <c r="C826" s="1"/>
      <c r="D826" s="1"/>
    </row>
    <row r="827">
      <c r="A827" s="14"/>
      <c r="B827" s="1"/>
      <c r="C827" s="1"/>
      <c r="D827" s="1"/>
    </row>
    <row r="828">
      <c r="A828" s="14"/>
      <c r="B828" s="1"/>
      <c r="C828" s="1"/>
      <c r="D828" s="1"/>
    </row>
    <row r="829">
      <c r="A829" s="14"/>
      <c r="B829" s="1"/>
      <c r="C829" s="1"/>
      <c r="D829" s="1"/>
    </row>
    <row r="830">
      <c r="A830" s="14"/>
      <c r="B830" s="1"/>
      <c r="C830" s="1"/>
      <c r="D830" s="1"/>
    </row>
    <row r="831">
      <c r="A831" s="14"/>
      <c r="B831" s="1"/>
      <c r="C831" s="1"/>
      <c r="D831" s="1"/>
    </row>
    <row r="832">
      <c r="A832" s="14"/>
      <c r="B832" s="1"/>
      <c r="C832" s="1"/>
      <c r="D832" s="1"/>
    </row>
    <row r="833">
      <c r="A833" s="14"/>
      <c r="B833" s="1"/>
      <c r="C833" s="1"/>
      <c r="D833" s="1"/>
    </row>
    <row r="834">
      <c r="A834" s="14"/>
      <c r="B834" s="1"/>
      <c r="C834" s="1"/>
      <c r="D834" s="1"/>
    </row>
    <row r="835">
      <c r="A835" s="14"/>
      <c r="B835" s="1"/>
      <c r="C835" s="1"/>
      <c r="D835" s="1"/>
    </row>
    <row r="836">
      <c r="A836" s="14"/>
      <c r="B836" s="1"/>
      <c r="C836" s="1"/>
      <c r="D836" s="1"/>
    </row>
    <row r="837">
      <c r="A837" s="14"/>
      <c r="B837" s="1"/>
      <c r="C837" s="1"/>
      <c r="D837" s="1"/>
    </row>
    <row r="838">
      <c r="A838" s="14"/>
      <c r="B838" s="1"/>
      <c r="C838" s="1"/>
      <c r="D838" s="1"/>
    </row>
    <row r="839">
      <c r="A839" s="14"/>
      <c r="B839" s="1"/>
      <c r="C839" s="1"/>
      <c r="D839" s="1"/>
    </row>
    <row r="840">
      <c r="A840" s="14"/>
      <c r="B840" s="1"/>
      <c r="C840" s="1"/>
      <c r="D840" s="1"/>
    </row>
    <row r="841">
      <c r="A841" s="14"/>
      <c r="B841" s="1"/>
      <c r="C841" s="1"/>
      <c r="D841" s="1"/>
    </row>
    <row r="842">
      <c r="A842" s="14"/>
      <c r="B842" s="1"/>
      <c r="C842" s="1"/>
      <c r="D842" s="1"/>
    </row>
    <row r="843">
      <c r="A843" s="14"/>
      <c r="B843" s="1"/>
      <c r="C843" s="1"/>
      <c r="D843" s="1"/>
    </row>
    <row r="844">
      <c r="A844" s="14"/>
      <c r="B844" s="1"/>
      <c r="C844" s="1"/>
      <c r="D844" s="1"/>
    </row>
    <row r="845">
      <c r="A845" s="14"/>
      <c r="B845" s="1"/>
      <c r="C845" s="1"/>
      <c r="D845" s="1"/>
    </row>
    <row r="846">
      <c r="A846" s="14"/>
      <c r="B846" s="1"/>
      <c r="C846" s="1"/>
      <c r="D846" s="1"/>
    </row>
    <row r="847">
      <c r="A847" s="14"/>
      <c r="B847" s="1"/>
      <c r="C847" s="1"/>
      <c r="D847" s="1"/>
    </row>
    <row r="848">
      <c r="A848" s="14"/>
      <c r="B848" s="1"/>
      <c r="C848" s="1"/>
      <c r="D848" s="1"/>
    </row>
    <row r="849">
      <c r="A849" s="14"/>
      <c r="B849" s="1"/>
      <c r="C849" s="1"/>
      <c r="D849" s="1"/>
    </row>
    <row r="850">
      <c r="A850" s="14"/>
      <c r="B850" s="1"/>
      <c r="C850" s="1"/>
      <c r="D850" s="1"/>
    </row>
    <row r="851">
      <c r="A851" s="14"/>
      <c r="B851" s="1"/>
      <c r="C851" s="1"/>
      <c r="D851" s="1"/>
    </row>
    <row r="852">
      <c r="A852" s="14"/>
      <c r="B852" s="1"/>
      <c r="C852" s="1"/>
      <c r="D852" s="1"/>
    </row>
    <row r="853">
      <c r="A853" s="14"/>
      <c r="B853" s="1"/>
      <c r="C853" s="1"/>
      <c r="D853" s="1"/>
    </row>
    <row r="854">
      <c r="A854" s="14"/>
      <c r="B854" s="1"/>
      <c r="C854" s="1"/>
      <c r="D854" s="1"/>
    </row>
    <row r="855">
      <c r="A855" s="14"/>
      <c r="B855" s="1"/>
      <c r="C855" s="1"/>
      <c r="D855" s="1"/>
    </row>
    <row r="856">
      <c r="A856" s="14"/>
      <c r="B856" s="1"/>
      <c r="C856" s="1"/>
      <c r="D856" s="1"/>
    </row>
    <row r="857">
      <c r="A857" s="14"/>
      <c r="B857" s="1"/>
      <c r="C857" s="1"/>
      <c r="D857" s="1"/>
    </row>
    <row r="858">
      <c r="A858" s="14"/>
      <c r="B858" s="1"/>
      <c r="C858" s="1"/>
      <c r="D858" s="1"/>
    </row>
    <row r="859">
      <c r="A859" s="14"/>
      <c r="B859" s="1"/>
      <c r="C859" s="1"/>
      <c r="D859" s="1"/>
    </row>
    <row r="860">
      <c r="A860" s="14"/>
      <c r="B860" s="1"/>
      <c r="C860" s="1"/>
      <c r="D860" s="1"/>
    </row>
    <row r="861">
      <c r="A861" s="14"/>
      <c r="B861" s="1"/>
      <c r="C861" s="1"/>
      <c r="D861" s="1"/>
    </row>
    <row r="862">
      <c r="A862" s="14"/>
      <c r="B862" s="1"/>
      <c r="C862" s="1"/>
      <c r="D862" s="1"/>
    </row>
    <row r="863">
      <c r="A863" s="14"/>
      <c r="B863" s="1"/>
      <c r="C863" s="1"/>
      <c r="D863" s="1"/>
    </row>
    <row r="864">
      <c r="A864" s="14"/>
      <c r="B864" s="1"/>
      <c r="C864" s="1"/>
      <c r="D864" s="1"/>
    </row>
    <row r="865">
      <c r="A865" s="14"/>
      <c r="B865" s="1"/>
      <c r="C865" s="1"/>
      <c r="D865" s="1"/>
    </row>
    <row r="866">
      <c r="A866" s="14"/>
      <c r="B866" s="1"/>
      <c r="C866" s="1"/>
      <c r="D866" s="1"/>
    </row>
    <row r="867">
      <c r="A867" s="14"/>
      <c r="B867" s="1"/>
      <c r="C867" s="1"/>
      <c r="D867" s="1"/>
    </row>
    <row r="868">
      <c r="A868" s="14"/>
      <c r="B868" s="1"/>
      <c r="C868" s="1"/>
      <c r="D868" s="1"/>
    </row>
    <row r="869">
      <c r="A869" s="14"/>
      <c r="B869" s="1"/>
      <c r="C869" s="1"/>
      <c r="D869" s="1"/>
    </row>
    <row r="870">
      <c r="A870" s="14"/>
      <c r="B870" s="1"/>
      <c r="C870" s="1"/>
      <c r="D870" s="1"/>
    </row>
    <row r="871">
      <c r="A871" s="14"/>
      <c r="B871" s="1"/>
      <c r="C871" s="1"/>
      <c r="D871" s="1"/>
    </row>
    <row r="872">
      <c r="A872" s="14"/>
      <c r="B872" s="1"/>
      <c r="C872" s="1"/>
      <c r="D872" s="1"/>
    </row>
    <row r="873">
      <c r="A873" s="14"/>
      <c r="B873" s="1"/>
      <c r="C873" s="1"/>
      <c r="D873" s="1"/>
    </row>
    <row r="874">
      <c r="A874" s="14"/>
      <c r="B874" s="1"/>
      <c r="C874" s="1"/>
      <c r="D874" s="1"/>
    </row>
    <row r="875">
      <c r="A875" s="14"/>
      <c r="B875" s="1"/>
      <c r="C875" s="1"/>
      <c r="D875" s="1"/>
    </row>
    <row r="876">
      <c r="A876" s="14"/>
      <c r="B876" s="1"/>
      <c r="C876" s="1"/>
      <c r="D876" s="1"/>
    </row>
    <row r="877">
      <c r="A877" s="14"/>
      <c r="B877" s="1"/>
      <c r="C877" s="1"/>
      <c r="D877" s="1"/>
    </row>
    <row r="878">
      <c r="A878" s="14"/>
      <c r="B878" s="1"/>
      <c r="C878" s="1"/>
      <c r="D878" s="1"/>
    </row>
    <row r="879">
      <c r="A879" s="14"/>
      <c r="B879" s="1"/>
      <c r="C879" s="1"/>
      <c r="D879" s="1"/>
    </row>
    <row r="880">
      <c r="A880" s="14"/>
      <c r="B880" s="1"/>
      <c r="C880" s="1"/>
      <c r="D880" s="1"/>
    </row>
    <row r="881">
      <c r="A881" s="14"/>
      <c r="B881" s="1"/>
      <c r="C881" s="1"/>
      <c r="D881" s="1"/>
    </row>
    <row r="882">
      <c r="A882" s="14"/>
      <c r="B882" s="1"/>
      <c r="C882" s="1"/>
      <c r="D882" s="1"/>
    </row>
    <row r="883">
      <c r="A883" s="14"/>
      <c r="B883" s="1"/>
      <c r="C883" s="1"/>
      <c r="D883" s="1"/>
    </row>
    <row r="884">
      <c r="A884" s="14"/>
      <c r="B884" s="1"/>
      <c r="C884" s="1"/>
      <c r="D884" s="1"/>
    </row>
    <row r="885">
      <c r="A885" s="14"/>
      <c r="B885" s="1"/>
      <c r="C885" s="1"/>
      <c r="D885" s="1"/>
    </row>
    <row r="886">
      <c r="A886" s="14"/>
      <c r="B886" s="1"/>
      <c r="C886" s="1"/>
      <c r="D886" s="1"/>
    </row>
    <row r="887">
      <c r="A887" s="14"/>
      <c r="B887" s="1"/>
      <c r="C887" s="1"/>
      <c r="D887" s="1"/>
    </row>
    <row r="888">
      <c r="A888" s="14"/>
      <c r="B888" s="1"/>
      <c r="C888" s="1"/>
      <c r="D888" s="1"/>
    </row>
    <row r="889">
      <c r="A889" s="14"/>
      <c r="B889" s="1"/>
      <c r="C889" s="1"/>
      <c r="D889" s="1"/>
    </row>
    <row r="890">
      <c r="A890" s="14"/>
      <c r="B890" s="1"/>
      <c r="C890" s="1"/>
      <c r="D890" s="1"/>
    </row>
    <row r="891">
      <c r="A891" s="14"/>
      <c r="B891" s="1"/>
      <c r="C891" s="1"/>
      <c r="D891" s="1"/>
    </row>
    <row r="892">
      <c r="A892" s="14"/>
      <c r="B892" s="1"/>
      <c r="C892" s="1"/>
      <c r="D892" s="1"/>
    </row>
    <row r="893">
      <c r="A893" s="14"/>
      <c r="B893" s="1"/>
      <c r="C893" s="1"/>
      <c r="D893" s="1"/>
    </row>
    <row r="894">
      <c r="A894" s="14"/>
      <c r="B894" s="1"/>
      <c r="C894" s="1"/>
      <c r="D894" s="1"/>
    </row>
    <row r="895">
      <c r="A895" s="14"/>
      <c r="B895" s="1"/>
      <c r="C895" s="1"/>
      <c r="D895" s="1"/>
    </row>
    <row r="896">
      <c r="A896" s="14"/>
      <c r="B896" s="1"/>
      <c r="C896" s="1"/>
      <c r="D896" s="1"/>
    </row>
    <row r="897">
      <c r="A897" s="14"/>
      <c r="B897" s="1"/>
      <c r="C897" s="1"/>
      <c r="D897" s="1"/>
    </row>
    <row r="898">
      <c r="A898" s="14"/>
      <c r="B898" s="1"/>
      <c r="C898" s="1"/>
      <c r="D898" s="1"/>
    </row>
    <row r="899">
      <c r="A899" s="14"/>
      <c r="B899" s="1"/>
      <c r="C899" s="1"/>
      <c r="D899" s="1"/>
    </row>
    <row r="900">
      <c r="A900" s="14"/>
      <c r="B900" s="1"/>
      <c r="C900" s="1"/>
      <c r="D900" s="1"/>
    </row>
    <row r="901">
      <c r="A901" s="14"/>
      <c r="B901" s="1"/>
      <c r="C901" s="1"/>
      <c r="D901" s="1"/>
    </row>
    <row r="902">
      <c r="A902" s="14"/>
      <c r="B902" s="1"/>
      <c r="C902" s="1"/>
      <c r="D902" s="1"/>
    </row>
    <row r="903">
      <c r="A903" s="14"/>
      <c r="B903" s="1"/>
      <c r="C903" s="1"/>
      <c r="D903" s="1"/>
    </row>
    <row r="904">
      <c r="A904" s="14"/>
      <c r="B904" s="1"/>
      <c r="C904" s="1"/>
      <c r="D904" s="1"/>
    </row>
    <row r="905">
      <c r="A905" s="14"/>
      <c r="B905" s="1"/>
      <c r="C905" s="1"/>
      <c r="D905" s="1"/>
    </row>
    <row r="906">
      <c r="A906" s="14"/>
      <c r="B906" s="1"/>
      <c r="C906" s="1"/>
      <c r="D906" s="1"/>
    </row>
    <row r="907">
      <c r="A907" s="14"/>
      <c r="B907" s="1"/>
      <c r="C907" s="1"/>
      <c r="D907" s="1"/>
    </row>
    <row r="908">
      <c r="A908" s="14"/>
      <c r="B908" s="1"/>
      <c r="C908" s="1"/>
      <c r="D908" s="1"/>
    </row>
    <row r="909">
      <c r="A909" s="14"/>
      <c r="B909" s="1"/>
      <c r="C909" s="1"/>
      <c r="D909" s="1"/>
    </row>
    <row r="910">
      <c r="A910" s="14"/>
      <c r="B910" s="1"/>
      <c r="C910" s="1"/>
      <c r="D910" s="1"/>
    </row>
    <row r="911">
      <c r="A911" s="14"/>
      <c r="B911" s="1"/>
      <c r="C911" s="1"/>
      <c r="D911" s="1"/>
    </row>
    <row r="912">
      <c r="A912" s="14"/>
      <c r="B912" s="1"/>
      <c r="C912" s="1"/>
      <c r="D912" s="1"/>
    </row>
    <row r="913">
      <c r="A913" s="14"/>
      <c r="B913" s="1"/>
      <c r="C913" s="1"/>
      <c r="D913" s="1"/>
    </row>
    <row r="914">
      <c r="A914" s="14"/>
      <c r="B914" s="1"/>
      <c r="C914" s="1"/>
      <c r="D914" s="1"/>
    </row>
    <row r="915">
      <c r="A915" s="14"/>
      <c r="B915" s="1"/>
      <c r="C915" s="1"/>
      <c r="D915" s="1"/>
    </row>
    <row r="916">
      <c r="A916" s="14"/>
      <c r="B916" s="1"/>
      <c r="C916" s="1"/>
      <c r="D916" s="1"/>
    </row>
    <row r="917">
      <c r="A917" s="14"/>
      <c r="B917" s="1"/>
      <c r="C917" s="1"/>
      <c r="D917" s="1"/>
    </row>
    <row r="918">
      <c r="A918" s="14"/>
      <c r="B918" s="1"/>
      <c r="C918" s="1"/>
      <c r="D918" s="1"/>
    </row>
    <row r="919">
      <c r="A919" s="14"/>
      <c r="B919" s="1"/>
      <c r="C919" s="1"/>
      <c r="D919" s="1"/>
    </row>
    <row r="920">
      <c r="A920" s="14"/>
      <c r="B920" s="1"/>
      <c r="C920" s="1"/>
      <c r="D920" s="1"/>
    </row>
    <row r="921">
      <c r="A921" s="14"/>
      <c r="B921" s="1"/>
      <c r="C921" s="1"/>
      <c r="D921" s="1"/>
    </row>
    <row r="922">
      <c r="A922" s="14"/>
      <c r="B922" s="1"/>
      <c r="C922" s="1"/>
      <c r="D922" s="1"/>
    </row>
    <row r="923">
      <c r="A923" s="14"/>
      <c r="B923" s="1"/>
      <c r="C923" s="1"/>
      <c r="D923" s="1"/>
    </row>
    <row r="924">
      <c r="A924" s="14"/>
      <c r="B924" s="1"/>
      <c r="C924" s="1"/>
      <c r="D924" s="1"/>
    </row>
    <row r="925">
      <c r="A925" s="14"/>
      <c r="B925" s="1"/>
      <c r="C925" s="1"/>
      <c r="D925" s="1"/>
    </row>
    <row r="926">
      <c r="A926" s="14"/>
      <c r="B926" s="1"/>
      <c r="C926" s="1"/>
      <c r="D926" s="1"/>
    </row>
    <row r="927">
      <c r="A927" s="14"/>
      <c r="B927" s="1"/>
      <c r="C927" s="1"/>
      <c r="D927" s="1"/>
    </row>
    <row r="928">
      <c r="A928" s="14"/>
      <c r="B928" s="1"/>
      <c r="C928" s="1"/>
      <c r="D928" s="1"/>
    </row>
    <row r="929">
      <c r="A929" s="14"/>
      <c r="B929" s="1"/>
      <c r="C929" s="1"/>
      <c r="D929" s="1"/>
    </row>
    <row r="930">
      <c r="A930" s="14"/>
      <c r="B930" s="1"/>
      <c r="C930" s="1"/>
      <c r="D930" s="1"/>
    </row>
    <row r="931">
      <c r="A931" s="14"/>
      <c r="B931" s="1"/>
      <c r="C931" s="1"/>
      <c r="D931" s="1"/>
    </row>
    <row r="932">
      <c r="A932" s="14"/>
      <c r="B932" s="1"/>
      <c r="C932" s="1"/>
      <c r="D932" s="1"/>
    </row>
    <row r="933">
      <c r="A933" s="14"/>
      <c r="B933" s="1"/>
      <c r="C933" s="1"/>
      <c r="D933" s="1"/>
    </row>
    <row r="934">
      <c r="A934" s="14"/>
      <c r="B934" s="1"/>
      <c r="C934" s="1"/>
      <c r="D934" s="1"/>
    </row>
    <row r="935">
      <c r="A935" s="14"/>
      <c r="B935" s="1"/>
      <c r="C935" s="1"/>
      <c r="D935" s="1"/>
    </row>
    <row r="936">
      <c r="A936" s="14"/>
      <c r="B936" s="1"/>
      <c r="C936" s="1"/>
      <c r="D936" s="1"/>
    </row>
    <row r="937">
      <c r="A937" s="14"/>
      <c r="B937" s="1"/>
      <c r="C937" s="1"/>
      <c r="D937" s="1"/>
    </row>
    <row r="938">
      <c r="A938" s="14"/>
      <c r="B938" s="1"/>
      <c r="C938" s="1"/>
      <c r="D938" s="1"/>
    </row>
    <row r="939">
      <c r="A939" s="14"/>
      <c r="B939" s="1"/>
      <c r="C939" s="1"/>
      <c r="D939" s="1"/>
    </row>
    <row r="940">
      <c r="A940" s="14"/>
      <c r="B940" s="1"/>
      <c r="C940" s="1"/>
      <c r="D940" s="1"/>
    </row>
    <row r="941">
      <c r="A941" s="14"/>
      <c r="B941" s="1"/>
      <c r="C941" s="1"/>
      <c r="D941" s="1"/>
    </row>
    <row r="942">
      <c r="A942" s="14"/>
      <c r="B942" s="1"/>
      <c r="C942" s="1"/>
      <c r="D942" s="1"/>
    </row>
    <row r="943">
      <c r="A943" s="14"/>
      <c r="B943" s="1"/>
      <c r="C943" s="1"/>
      <c r="D943" s="1"/>
    </row>
    <row r="944">
      <c r="A944" s="14"/>
      <c r="B944" s="1"/>
      <c r="C944" s="1"/>
      <c r="D944" s="1"/>
    </row>
    <row r="945">
      <c r="A945" s="14"/>
      <c r="B945" s="1"/>
      <c r="C945" s="1"/>
      <c r="D945" s="1"/>
    </row>
    <row r="946">
      <c r="A946" s="14"/>
      <c r="B946" s="1"/>
      <c r="C946" s="1"/>
      <c r="D946" s="1"/>
    </row>
    <row r="947">
      <c r="A947" s="14"/>
      <c r="B947" s="1"/>
      <c r="C947" s="1"/>
      <c r="D947" s="1"/>
    </row>
    <row r="948">
      <c r="A948" s="14"/>
      <c r="B948" s="1"/>
      <c r="C948" s="1"/>
      <c r="D948" s="1"/>
    </row>
    <row r="949">
      <c r="A949" s="14"/>
      <c r="B949" s="1"/>
      <c r="C949" s="1"/>
      <c r="D949" s="1"/>
    </row>
    <row r="950">
      <c r="A950" s="14"/>
      <c r="B950" s="1"/>
      <c r="C950" s="1"/>
      <c r="D950" s="1"/>
    </row>
    <row r="951">
      <c r="A951" s="14"/>
      <c r="B951" s="1"/>
      <c r="C951" s="1"/>
      <c r="D951" s="1"/>
    </row>
    <row r="952">
      <c r="A952" s="14"/>
      <c r="B952" s="1"/>
      <c r="C952" s="1"/>
      <c r="D952" s="1"/>
    </row>
    <row r="953">
      <c r="A953" s="14"/>
      <c r="B953" s="1"/>
      <c r="C953" s="1"/>
      <c r="D953" s="1"/>
    </row>
    <row r="954">
      <c r="A954" s="14"/>
      <c r="B954" s="1"/>
      <c r="C954" s="1"/>
      <c r="D954" s="1"/>
    </row>
    <row r="955">
      <c r="A955" s="14"/>
      <c r="B955" s="1"/>
      <c r="C955" s="1"/>
      <c r="D955" s="1"/>
    </row>
    <row r="956">
      <c r="A956" s="14"/>
      <c r="B956" s="1"/>
      <c r="C956" s="1"/>
      <c r="D956" s="1"/>
    </row>
    <row r="957">
      <c r="A957" s="14"/>
      <c r="B957" s="1"/>
      <c r="C957" s="1"/>
      <c r="D957" s="1"/>
    </row>
    <row r="958">
      <c r="A958" s="14"/>
      <c r="B958" s="1"/>
      <c r="C958" s="1"/>
      <c r="D958" s="1"/>
    </row>
    <row r="959">
      <c r="A959" s="14"/>
      <c r="B959" s="1"/>
      <c r="C959" s="1"/>
      <c r="D959" s="1"/>
    </row>
    <row r="960">
      <c r="A960" s="14"/>
      <c r="B960" s="1"/>
      <c r="C960" s="1"/>
      <c r="D960" s="1"/>
    </row>
    <row r="961">
      <c r="A961" s="14"/>
      <c r="B961" s="1"/>
      <c r="C961" s="1"/>
      <c r="D961" s="1"/>
    </row>
    <row r="962">
      <c r="A962" s="14"/>
      <c r="B962" s="1"/>
      <c r="C962" s="1"/>
      <c r="D962" s="1"/>
    </row>
    <row r="963">
      <c r="A963" s="14"/>
      <c r="B963" s="1"/>
      <c r="C963" s="1"/>
      <c r="D963" s="1"/>
    </row>
    <row r="964">
      <c r="A964" s="14"/>
      <c r="B964" s="1"/>
      <c r="C964" s="1"/>
      <c r="D964" s="1"/>
    </row>
    <row r="965">
      <c r="A965" s="14"/>
      <c r="B965" s="1"/>
      <c r="C965" s="1"/>
      <c r="D965" s="1"/>
    </row>
    <row r="966">
      <c r="A966" s="14"/>
      <c r="B966" s="1"/>
      <c r="C966" s="1"/>
      <c r="D966" s="1"/>
    </row>
    <row r="967">
      <c r="A967" s="14"/>
      <c r="B967" s="1"/>
      <c r="C967" s="1"/>
      <c r="D967" s="1"/>
    </row>
    <row r="968">
      <c r="A968" s="14"/>
      <c r="B968" s="1"/>
      <c r="C968" s="1"/>
      <c r="D968" s="1"/>
    </row>
    <row r="969">
      <c r="A969" s="14"/>
      <c r="B969" s="1"/>
      <c r="C969" s="1"/>
      <c r="D969" s="1"/>
    </row>
    <row r="970">
      <c r="A970" s="14"/>
      <c r="B970" s="1"/>
      <c r="C970" s="1"/>
      <c r="D970" s="1"/>
    </row>
    <row r="971">
      <c r="A971" s="14"/>
      <c r="B971" s="1"/>
      <c r="C971" s="1"/>
      <c r="D971" s="1"/>
    </row>
    <row r="972">
      <c r="A972" s="14"/>
      <c r="B972" s="1"/>
      <c r="C972" s="1"/>
      <c r="D972" s="1"/>
    </row>
    <row r="973">
      <c r="A973" s="14"/>
      <c r="B973" s="1"/>
      <c r="C973" s="1"/>
      <c r="D973" s="1"/>
    </row>
    <row r="974">
      <c r="A974" s="14"/>
      <c r="B974" s="1"/>
      <c r="C974" s="1"/>
      <c r="D974" s="1"/>
    </row>
    <row r="975">
      <c r="A975" s="14"/>
      <c r="B975" s="1"/>
      <c r="C975" s="1"/>
      <c r="D975" s="1"/>
    </row>
    <row r="976">
      <c r="A976" s="14"/>
      <c r="B976" s="1"/>
      <c r="C976" s="1"/>
      <c r="D976" s="1"/>
    </row>
    <row r="977">
      <c r="A977" s="14"/>
      <c r="B977" s="1"/>
      <c r="C977" s="1"/>
      <c r="D977" s="1"/>
    </row>
    <row r="978">
      <c r="A978" s="14"/>
      <c r="B978" s="1"/>
      <c r="C978" s="1"/>
      <c r="D978" s="1"/>
    </row>
    <row r="979">
      <c r="A979" s="14"/>
      <c r="B979" s="1"/>
      <c r="C979" s="1"/>
      <c r="D979" s="1"/>
    </row>
    <row r="980">
      <c r="A980" s="14"/>
      <c r="B980" s="1"/>
      <c r="C980" s="1"/>
      <c r="D980" s="1"/>
    </row>
    <row r="981">
      <c r="A981" s="14"/>
      <c r="B981" s="1"/>
      <c r="C981" s="1"/>
      <c r="D981" s="1"/>
    </row>
    <row r="982">
      <c r="A982" s="14"/>
      <c r="B982" s="1"/>
      <c r="C982" s="1"/>
      <c r="D982" s="1"/>
    </row>
    <row r="983">
      <c r="A983" s="14"/>
      <c r="B983" s="1"/>
      <c r="C983" s="1"/>
      <c r="D983" s="1"/>
    </row>
    <row r="984">
      <c r="A984" s="14"/>
      <c r="B984" s="1"/>
      <c r="C984" s="1"/>
      <c r="D984" s="1"/>
    </row>
    <row r="985">
      <c r="A985" s="14"/>
      <c r="B985" s="1"/>
      <c r="C985" s="1"/>
      <c r="D985" s="1"/>
    </row>
    <row r="986">
      <c r="A986" s="14"/>
      <c r="B986" s="1"/>
      <c r="C986" s="1"/>
      <c r="D986" s="1"/>
    </row>
    <row r="987">
      <c r="A987" s="14"/>
      <c r="B987" s="1"/>
      <c r="C987" s="1"/>
      <c r="D987" s="1"/>
    </row>
    <row r="988">
      <c r="A988" s="14"/>
      <c r="B988" s="1"/>
      <c r="C988" s="1"/>
      <c r="D988" s="1"/>
    </row>
    <row r="989">
      <c r="A989" s="14"/>
      <c r="B989" s="1"/>
      <c r="C989" s="1"/>
      <c r="D989" s="1"/>
    </row>
    <row r="990">
      <c r="A990" s="14"/>
      <c r="B990" s="1"/>
      <c r="C990" s="1"/>
      <c r="D990" s="1"/>
    </row>
    <row r="991">
      <c r="A991" s="14"/>
      <c r="B991" s="1"/>
      <c r="C991" s="1"/>
      <c r="D991" s="1"/>
    </row>
    <row r="992">
      <c r="A992" s="14"/>
      <c r="B992" s="1"/>
      <c r="C992" s="1"/>
      <c r="D992" s="1"/>
    </row>
    <row r="993">
      <c r="A993" s="14"/>
      <c r="B993" s="1"/>
      <c r="C993" s="1"/>
      <c r="D993" s="1"/>
    </row>
    <row r="994">
      <c r="A994" s="14"/>
      <c r="B994" s="1"/>
      <c r="C994" s="1"/>
      <c r="D994" s="1"/>
    </row>
    <row r="995">
      <c r="A995" s="14"/>
      <c r="B995" s="1"/>
      <c r="C995" s="1"/>
      <c r="D995" s="1"/>
    </row>
    <row r="996">
      <c r="A996" s="14"/>
      <c r="B996" s="1"/>
      <c r="C996" s="1"/>
      <c r="D996" s="1"/>
    </row>
    <row r="997">
      <c r="A997" s="14"/>
      <c r="B997" s="1"/>
      <c r="C997" s="1"/>
      <c r="D997" s="1"/>
    </row>
    <row r="998">
      <c r="A998" s="14"/>
      <c r="B998" s="1"/>
      <c r="C998" s="1"/>
      <c r="D998" s="1"/>
    </row>
    <row r="999">
      <c r="A999" s="14"/>
      <c r="B999" s="1"/>
      <c r="C999" s="1"/>
      <c r="D999" s="1"/>
    </row>
    <row r="1000">
      <c r="A1000" s="14"/>
      <c r="B1000" s="1"/>
      <c r="C1000" s="1"/>
      <c r="D1000" s="1"/>
    </row>
    <row r="1001">
      <c r="A1001" s="14"/>
      <c r="B1001" s="1"/>
      <c r="C1001" s="1"/>
      <c r="D1001" s="1"/>
    </row>
    <row r="1002">
      <c r="A1002" s="14"/>
      <c r="B1002" s="1"/>
      <c r="C1002" s="1"/>
      <c r="D1002" s="1"/>
    </row>
    <row r="1003">
      <c r="A1003" s="14"/>
      <c r="B1003" s="1"/>
      <c r="C1003" s="1"/>
      <c r="D1003" s="1"/>
    </row>
    <row r="1004">
      <c r="A1004" s="14"/>
      <c r="B1004" s="1"/>
      <c r="C1004" s="1"/>
      <c r="D1004" s="1"/>
    </row>
    <row r="1005">
      <c r="A1005" s="14"/>
      <c r="B1005" s="1"/>
      <c r="C1005" s="1"/>
      <c r="D1005" s="1"/>
    </row>
    <row r="1006">
      <c r="A1006" s="14"/>
      <c r="B1006" s="1"/>
      <c r="C1006" s="1"/>
      <c r="D1006" s="1"/>
    </row>
    <row r="1007">
      <c r="A1007" s="14"/>
      <c r="B1007" s="1"/>
      <c r="C1007" s="1"/>
      <c r="D1007" s="1"/>
    </row>
    <row r="1008">
      <c r="A1008" s="14"/>
      <c r="B1008" s="1"/>
      <c r="C1008" s="1"/>
      <c r="D1008" s="1"/>
    </row>
    <row r="1009">
      <c r="A1009" s="14"/>
      <c r="B1009" s="1"/>
      <c r="C1009" s="1"/>
      <c r="D1009" s="1"/>
    </row>
    <row r="1010">
      <c r="A1010" s="14"/>
      <c r="B1010" s="1"/>
      <c r="C1010" s="1"/>
      <c r="D1010" s="1"/>
    </row>
    <row r="1011">
      <c r="A1011" s="14"/>
      <c r="B1011" s="1"/>
      <c r="C1011" s="1"/>
      <c r="D1011" s="1"/>
    </row>
    <row r="1012">
      <c r="A1012" s="14"/>
      <c r="B1012" s="1"/>
      <c r="C1012" s="1"/>
      <c r="D1012" s="1"/>
    </row>
    <row r="1013">
      <c r="A1013" s="14"/>
      <c r="B1013" s="1"/>
      <c r="C1013" s="1"/>
      <c r="D1013" s="1"/>
    </row>
    <row r="1014">
      <c r="A1014" s="14"/>
      <c r="B1014" s="1"/>
      <c r="C1014" s="1"/>
      <c r="D1014" s="1"/>
    </row>
    <row r="1015">
      <c r="A1015" s="14"/>
      <c r="B1015" s="1"/>
      <c r="C1015" s="1"/>
      <c r="D1015" s="1"/>
    </row>
    <row r="1016">
      <c r="A1016" s="14"/>
      <c r="B1016" s="1"/>
      <c r="C1016" s="1"/>
      <c r="D1016" s="1"/>
    </row>
    <row r="1017">
      <c r="A1017" s="14"/>
      <c r="B1017" s="1"/>
      <c r="C1017" s="1"/>
      <c r="D1017" s="1"/>
    </row>
    <row r="1018">
      <c r="A1018" s="14"/>
      <c r="B1018" s="1"/>
      <c r="C1018" s="1"/>
      <c r="D1018" s="1"/>
    </row>
    <row r="1019">
      <c r="A1019" s="14"/>
      <c r="B1019" s="1"/>
      <c r="C1019" s="1"/>
      <c r="D1019" s="1"/>
    </row>
    <row r="1020">
      <c r="A1020" s="14"/>
      <c r="B1020" s="1"/>
      <c r="C1020" s="1"/>
      <c r="D1020" s="1"/>
    </row>
    <row r="1021">
      <c r="A1021" s="14"/>
      <c r="B1021" s="1"/>
      <c r="C1021" s="1"/>
      <c r="D1021" s="1"/>
    </row>
    <row r="1022">
      <c r="A1022" s="14"/>
      <c r="B1022" s="1"/>
      <c r="C1022" s="1"/>
      <c r="D1022" s="1"/>
    </row>
    <row r="1023">
      <c r="A1023" s="14"/>
      <c r="B1023" s="1"/>
      <c r="C1023" s="1"/>
      <c r="D1023" s="1"/>
    </row>
    <row r="1024">
      <c r="A1024" s="14"/>
      <c r="B1024" s="1"/>
      <c r="C1024" s="1"/>
      <c r="D1024" s="1"/>
    </row>
    <row r="1025">
      <c r="A1025" s="14"/>
      <c r="B1025" s="1"/>
      <c r="C1025" s="1"/>
      <c r="D1025" s="1"/>
    </row>
    <row r="1026">
      <c r="A1026" s="14"/>
      <c r="B1026" s="1"/>
      <c r="C1026" s="1"/>
      <c r="D1026" s="1"/>
    </row>
    <row r="1027">
      <c r="A1027" s="14"/>
      <c r="B1027" s="1"/>
      <c r="C1027" s="1"/>
      <c r="D1027" s="1"/>
    </row>
    <row r="1028">
      <c r="A1028" s="14"/>
      <c r="B1028" s="1"/>
      <c r="C1028" s="1"/>
      <c r="D1028" s="1"/>
    </row>
    <row r="1029">
      <c r="A1029" s="14"/>
      <c r="B1029" s="1"/>
      <c r="C1029" s="1"/>
      <c r="D1029" s="1"/>
    </row>
    <row r="1030">
      <c r="A1030" s="14"/>
      <c r="B1030" s="1"/>
      <c r="C1030" s="1"/>
      <c r="D1030" s="1"/>
    </row>
    <row r="1031">
      <c r="A1031" s="14"/>
      <c r="B1031" s="1"/>
      <c r="C1031" s="1"/>
      <c r="D1031" s="1"/>
    </row>
    <row r="1032">
      <c r="A1032" s="14"/>
      <c r="B1032" s="1"/>
      <c r="C1032" s="1"/>
      <c r="D1032" s="1"/>
    </row>
    <row r="1033">
      <c r="A1033" s="14"/>
      <c r="B1033" s="1"/>
      <c r="C1033" s="1"/>
      <c r="D1033" s="1"/>
    </row>
    <row r="1034">
      <c r="A1034" s="14"/>
      <c r="B1034" s="1"/>
      <c r="C1034" s="1"/>
      <c r="D1034" s="1"/>
    </row>
    <row r="1035">
      <c r="A1035" s="14"/>
      <c r="B1035" s="1"/>
      <c r="C1035" s="1"/>
      <c r="D1035" s="1"/>
    </row>
    <row r="1036">
      <c r="A1036" s="14"/>
      <c r="B1036" s="1"/>
      <c r="C1036" s="1"/>
      <c r="D1036" s="1"/>
    </row>
    <row r="1037">
      <c r="A1037" s="14"/>
      <c r="B1037" s="1"/>
      <c r="C1037" s="1"/>
      <c r="D1037" s="1"/>
    </row>
    <row r="1038">
      <c r="A1038" s="14"/>
      <c r="B1038" s="1"/>
      <c r="C1038" s="1"/>
      <c r="D1038" s="1"/>
    </row>
    <row r="1039">
      <c r="A1039" s="14"/>
      <c r="B1039" s="1"/>
      <c r="C1039" s="1"/>
      <c r="D1039" s="1"/>
    </row>
    <row r="1040">
      <c r="A1040" s="14"/>
      <c r="B1040" s="1"/>
      <c r="C1040" s="1"/>
      <c r="D1040" s="1"/>
    </row>
    <row r="1041">
      <c r="A1041" s="14"/>
      <c r="B1041" s="1"/>
      <c r="C1041" s="1"/>
      <c r="D1041" s="1"/>
    </row>
    <row r="1042">
      <c r="A1042" s="14"/>
      <c r="B1042" s="1"/>
      <c r="C1042" s="1"/>
      <c r="D1042" s="1"/>
    </row>
    <row r="1043">
      <c r="A1043" s="14"/>
      <c r="B1043" s="1"/>
      <c r="C1043" s="1"/>
      <c r="D1043" s="1"/>
    </row>
    <row r="1044">
      <c r="A1044" s="14"/>
      <c r="B1044" s="1"/>
      <c r="C1044" s="1"/>
      <c r="D1044" s="1"/>
    </row>
    <row r="1045">
      <c r="A1045" s="14"/>
      <c r="B1045" s="1"/>
      <c r="C1045" s="1"/>
      <c r="D1045" s="1"/>
    </row>
    <row r="1046">
      <c r="A1046" s="14"/>
      <c r="B1046" s="1"/>
      <c r="C1046" s="1"/>
      <c r="D1046" s="1"/>
    </row>
    <row r="1047">
      <c r="A1047" s="14"/>
      <c r="B1047" s="1"/>
      <c r="C1047" s="1"/>
      <c r="D1047" s="1"/>
    </row>
    <row r="1048">
      <c r="A1048" s="14"/>
      <c r="B1048" s="1"/>
      <c r="C1048" s="1"/>
      <c r="D1048" s="1"/>
    </row>
    <row r="1049">
      <c r="A1049" s="14"/>
      <c r="B1049" s="1"/>
      <c r="C1049" s="1"/>
      <c r="D1049" s="1"/>
    </row>
    <row r="1050">
      <c r="A1050" s="14"/>
      <c r="B1050" s="1"/>
      <c r="C1050" s="1"/>
      <c r="D1050" s="1"/>
    </row>
    <row r="1051">
      <c r="A1051" s="14"/>
      <c r="B1051" s="1"/>
      <c r="C1051" s="1"/>
      <c r="D1051" s="1"/>
    </row>
    <row r="1052">
      <c r="A1052" s="14"/>
      <c r="B1052" s="1"/>
      <c r="C1052" s="1"/>
      <c r="D1052" s="1"/>
    </row>
    <row r="1053">
      <c r="A1053" s="14"/>
      <c r="B1053" s="1"/>
      <c r="C1053" s="1"/>
      <c r="D1053" s="1"/>
    </row>
    <row r="1054">
      <c r="A1054" s="14"/>
      <c r="B1054" s="1"/>
      <c r="C1054" s="1"/>
      <c r="D1054" s="1"/>
    </row>
    <row r="1055">
      <c r="A1055" s="14"/>
      <c r="B1055" s="1"/>
      <c r="C1055" s="1"/>
      <c r="D1055" s="1"/>
    </row>
    <row r="1056">
      <c r="A1056" s="14"/>
      <c r="B1056" s="1"/>
      <c r="C1056" s="1"/>
      <c r="D1056" s="1"/>
    </row>
    <row r="1057">
      <c r="A1057" s="14"/>
      <c r="B1057" s="1"/>
      <c r="C1057" s="1"/>
      <c r="D1057" s="1"/>
    </row>
    <row r="1058">
      <c r="A1058" s="14"/>
      <c r="B1058" s="1"/>
      <c r="C1058" s="1"/>
      <c r="D1058" s="1"/>
    </row>
    <row r="1059">
      <c r="A1059" s="14"/>
      <c r="B1059" s="1"/>
      <c r="C1059" s="1"/>
      <c r="D1059" s="1"/>
    </row>
    <row r="1060">
      <c r="A1060" s="14"/>
      <c r="B1060" s="1"/>
      <c r="C1060" s="1"/>
      <c r="D1060" s="1"/>
    </row>
    <row r="1061">
      <c r="A1061" s="14"/>
      <c r="B1061" s="1"/>
      <c r="C1061" s="1"/>
      <c r="D1061" s="1"/>
    </row>
    <row r="1062">
      <c r="A1062" s="14"/>
      <c r="B1062" s="1"/>
      <c r="C1062" s="1"/>
      <c r="D1062" s="1"/>
    </row>
    <row r="1063">
      <c r="A1063" s="14"/>
      <c r="B1063" s="1"/>
      <c r="C1063" s="1"/>
      <c r="D1063" s="1"/>
    </row>
    <row r="1064">
      <c r="A1064" s="14"/>
      <c r="B1064" s="1"/>
      <c r="C1064" s="1"/>
      <c r="D1064" s="1"/>
    </row>
    <row r="1065">
      <c r="A1065" s="14"/>
      <c r="B1065" s="1"/>
      <c r="C1065" s="1"/>
      <c r="D1065" s="1"/>
    </row>
    <row r="1066">
      <c r="A1066" s="14"/>
      <c r="B1066" s="1"/>
      <c r="C1066" s="1"/>
      <c r="D1066" s="1"/>
    </row>
    <row r="1067">
      <c r="A1067" s="14"/>
      <c r="B1067" s="1"/>
      <c r="C1067" s="1"/>
      <c r="D1067" s="1"/>
    </row>
    <row r="1068">
      <c r="A1068" s="14"/>
      <c r="B1068" s="1"/>
      <c r="C1068" s="1"/>
      <c r="D1068" s="1"/>
    </row>
    <row r="1069">
      <c r="A1069" s="14"/>
      <c r="B1069" s="1"/>
      <c r="C1069" s="1"/>
      <c r="D1069" s="1"/>
    </row>
    <row r="1070">
      <c r="A1070" s="14"/>
      <c r="B1070" s="1"/>
      <c r="C1070" s="1"/>
      <c r="D1070" s="1"/>
    </row>
    <row r="1071">
      <c r="A1071" s="14"/>
      <c r="B1071" s="1"/>
      <c r="C1071" s="1"/>
      <c r="D1071" s="1"/>
    </row>
    <row r="1072">
      <c r="A1072" s="14"/>
      <c r="B1072" s="1"/>
      <c r="C1072" s="1"/>
      <c r="D1072" s="1"/>
    </row>
    <row r="1073">
      <c r="A1073" s="14"/>
      <c r="B1073" s="1"/>
      <c r="C1073" s="1"/>
      <c r="D1073" s="1"/>
    </row>
    <row r="1074">
      <c r="A1074" s="14"/>
      <c r="B1074" s="1"/>
      <c r="C1074" s="1"/>
      <c r="D1074" s="1"/>
    </row>
    <row r="1075">
      <c r="A1075" s="14"/>
      <c r="B1075" s="1"/>
      <c r="C1075" s="1"/>
      <c r="D1075" s="1"/>
    </row>
    <row r="1076">
      <c r="A1076" s="14"/>
      <c r="B1076" s="1"/>
      <c r="C1076" s="1"/>
      <c r="D1076" s="1"/>
    </row>
    <row r="1077">
      <c r="A1077" s="14"/>
      <c r="B1077" s="1"/>
      <c r="C1077" s="1"/>
      <c r="D1077" s="1"/>
    </row>
    <row r="1078">
      <c r="A1078" s="14"/>
      <c r="B1078" s="1"/>
      <c r="C1078" s="1"/>
      <c r="D1078" s="1"/>
    </row>
    <row r="1079">
      <c r="A1079" s="14"/>
      <c r="B1079" s="1"/>
      <c r="C1079" s="1"/>
      <c r="D1079" s="1"/>
    </row>
    <row r="1080">
      <c r="A1080" s="14"/>
      <c r="B1080" s="1"/>
      <c r="C1080" s="1"/>
      <c r="D1080" s="1"/>
    </row>
    <row r="1081">
      <c r="A1081" s="14"/>
      <c r="B1081" s="1"/>
      <c r="C1081" s="1"/>
      <c r="D1081" s="1"/>
    </row>
    <row r="1082">
      <c r="A1082" s="14"/>
      <c r="B1082" s="1"/>
      <c r="C1082" s="1"/>
      <c r="D1082" s="1"/>
    </row>
    <row r="1083">
      <c r="A1083" s="14"/>
      <c r="B1083" s="1"/>
      <c r="C1083" s="1"/>
      <c r="D1083" s="1"/>
    </row>
    <row r="1084">
      <c r="A1084" s="14"/>
      <c r="B1084" s="1"/>
      <c r="C1084" s="1"/>
      <c r="D1084" s="1"/>
    </row>
    <row r="1085">
      <c r="A1085" s="14"/>
      <c r="B1085" s="1"/>
      <c r="C1085" s="1"/>
      <c r="D1085" s="1"/>
    </row>
    <row r="1086">
      <c r="A1086" s="14"/>
      <c r="B1086" s="1"/>
      <c r="C1086" s="1"/>
      <c r="D1086" s="1"/>
    </row>
    <row r="1087">
      <c r="A1087" s="14"/>
      <c r="B1087" s="1"/>
      <c r="C1087" s="1"/>
      <c r="D1087" s="1"/>
    </row>
    <row r="1088">
      <c r="A1088" s="14"/>
      <c r="B1088" s="1"/>
      <c r="C1088" s="1"/>
      <c r="D1088" s="1"/>
    </row>
    <row r="1089">
      <c r="A1089" s="14"/>
      <c r="B1089" s="1"/>
      <c r="C1089" s="1"/>
      <c r="D1089" s="1"/>
    </row>
    <row r="1090">
      <c r="A1090" s="14"/>
      <c r="B1090" s="1"/>
      <c r="C1090" s="1"/>
      <c r="D1090" s="1"/>
    </row>
    <row r="1091">
      <c r="A1091" s="14"/>
      <c r="B1091" s="1"/>
      <c r="C1091" s="1"/>
      <c r="D1091" s="1"/>
    </row>
    <row r="1092">
      <c r="A1092" s="14"/>
      <c r="B1092" s="1"/>
      <c r="C1092" s="1"/>
      <c r="D1092" s="1"/>
    </row>
    <row r="1093">
      <c r="A1093" s="14"/>
      <c r="B1093" s="1"/>
      <c r="C1093" s="1"/>
      <c r="D1093" s="1"/>
    </row>
    <row r="1094">
      <c r="A1094" s="14"/>
      <c r="B1094" s="1"/>
      <c r="C1094" s="1"/>
      <c r="D1094" s="1"/>
    </row>
    <row r="1095">
      <c r="A1095" s="14"/>
      <c r="B1095" s="1"/>
      <c r="C1095" s="1"/>
      <c r="D1095" s="1"/>
    </row>
    <row r="1096">
      <c r="A1096" s="14"/>
      <c r="B1096" s="1"/>
      <c r="C1096" s="1"/>
      <c r="D1096" s="1"/>
    </row>
    <row r="1097">
      <c r="A1097" s="14"/>
      <c r="B1097" s="1"/>
      <c r="C1097" s="1"/>
      <c r="D1097" s="1"/>
    </row>
    <row r="1098">
      <c r="A1098" s="14"/>
      <c r="B1098" s="1"/>
      <c r="C1098" s="1"/>
      <c r="D1098" s="1"/>
    </row>
    <row r="1099">
      <c r="A1099" s="14"/>
      <c r="B1099" s="1"/>
      <c r="C1099" s="1"/>
      <c r="D1099" s="1"/>
    </row>
    <row r="1100">
      <c r="A1100" s="14"/>
      <c r="B1100" s="1"/>
      <c r="C1100" s="1"/>
      <c r="D1100" s="1"/>
    </row>
    <row r="1101">
      <c r="A1101" s="14"/>
      <c r="B1101" s="1"/>
      <c r="C1101" s="1"/>
      <c r="D1101" s="1"/>
    </row>
    <row r="1102">
      <c r="A1102" s="14"/>
      <c r="B1102" s="1"/>
      <c r="C1102" s="1"/>
      <c r="D1102" s="1"/>
    </row>
    <row r="1103">
      <c r="A1103" s="14"/>
      <c r="B1103" s="1"/>
      <c r="C1103" s="1"/>
      <c r="D1103" s="1"/>
    </row>
    <row r="1104">
      <c r="A1104" s="14"/>
      <c r="B1104" s="1"/>
      <c r="C1104" s="1"/>
      <c r="D1104" s="1"/>
    </row>
    <row r="1105">
      <c r="A1105" s="14"/>
      <c r="B1105" s="1"/>
      <c r="C1105" s="1"/>
      <c r="D1105" s="1"/>
    </row>
    <row r="1106">
      <c r="A1106" s="14"/>
      <c r="B1106" s="1"/>
      <c r="C1106" s="1"/>
      <c r="D1106" s="1"/>
    </row>
    <row r="1107">
      <c r="A1107" s="14"/>
      <c r="B1107" s="1"/>
      <c r="C1107" s="1"/>
      <c r="D1107" s="1"/>
    </row>
    <row r="1108">
      <c r="A1108" s="14"/>
      <c r="B1108" s="1"/>
      <c r="C1108" s="1"/>
      <c r="D1108" s="1"/>
    </row>
    <row r="1109">
      <c r="A1109" s="14"/>
      <c r="B1109" s="1"/>
      <c r="C1109" s="1"/>
      <c r="D1109" s="1"/>
    </row>
    <row r="1110">
      <c r="A1110" s="14"/>
      <c r="B1110" s="1"/>
      <c r="C1110" s="1"/>
      <c r="D1110" s="1"/>
    </row>
    <row r="1111">
      <c r="A1111" s="14"/>
      <c r="B1111" s="1"/>
      <c r="C1111" s="1"/>
      <c r="D1111" s="1"/>
    </row>
    <row r="1112">
      <c r="A1112" s="14"/>
      <c r="B1112" s="1"/>
      <c r="C1112" s="1"/>
      <c r="D1112" s="1"/>
    </row>
    <row r="1113">
      <c r="A1113" s="14"/>
      <c r="B1113" s="1"/>
      <c r="C1113" s="1"/>
      <c r="D1113" s="1"/>
    </row>
    <row r="1114">
      <c r="A1114" s="14"/>
      <c r="B1114" s="1"/>
      <c r="C1114" s="1"/>
      <c r="D1114" s="1"/>
    </row>
    <row r="1115">
      <c r="A1115" s="14"/>
      <c r="B1115" s="1"/>
      <c r="C1115" s="1"/>
      <c r="D1115" s="1"/>
    </row>
    <row r="1116">
      <c r="A1116" s="14"/>
      <c r="B1116" s="1"/>
      <c r="C1116" s="1"/>
      <c r="D1116" s="1"/>
    </row>
    <row r="1117">
      <c r="A1117" s="14"/>
      <c r="B1117" s="1"/>
      <c r="C1117" s="1"/>
      <c r="D1117" s="1"/>
    </row>
    <row r="1118">
      <c r="A1118" s="14"/>
      <c r="B1118" s="1"/>
      <c r="C1118" s="1"/>
      <c r="D1118" s="1"/>
    </row>
    <row r="1119">
      <c r="A1119" s="14"/>
      <c r="B1119" s="1"/>
      <c r="C1119" s="1"/>
      <c r="D1119" s="1"/>
    </row>
    <row r="1120">
      <c r="A1120" s="14"/>
      <c r="B1120" s="1"/>
      <c r="C1120" s="1"/>
      <c r="D1120" s="1"/>
    </row>
    <row r="1121">
      <c r="A1121" s="14"/>
      <c r="B1121" s="1"/>
      <c r="C1121" s="1"/>
      <c r="D1121" s="1"/>
    </row>
    <row r="1122">
      <c r="A1122" s="14"/>
      <c r="B1122" s="1"/>
      <c r="C1122" s="1"/>
      <c r="D1122" s="1"/>
    </row>
    <row r="1123">
      <c r="A1123" s="14"/>
      <c r="B1123" s="1"/>
      <c r="C1123" s="1"/>
      <c r="D1123" s="1"/>
    </row>
    <row r="1124">
      <c r="A1124" s="14"/>
      <c r="B1124" s="1"/>
      <c r="C1124" s="1"/>
      <c r="D1124" s="1"/>
    </row>
    <row r="1125">
      <c r="A1125" s="14"/>
      <c r="B1125" s="1"/>
      <c r="C1125" s="1"/>
      <c r="D1125" s="1"/>
    </row>
    <row r="1126">
      <c r="A1126" s="14"/>
      <c r="B1126" s="1"/>
      <c r="C1126" s="1"/>
      <c r="D1126" s="1"/>
    </row>
    <row r="1127">
      <c r="A1127" s="14"/>
      <c r="B1127" s="1"/>
      <c r="C1127" s="1"/>
      <c r="D1127" s="1"/>
    </row>
    <row r="1128">
      <c r="A1128" s="14"/>
      <c r="B1128" s="1"/>
      <c r="C1128" s="1"/>
      <c r="D1128" s="1"/>
    </row>
    <row r="1129">
      <c r="A1129" s="14"/>
      <c r="B1129" s="1"/>
      <c r="C1129" s="1"/>
      <c r="D1129" s="1"/>
    </row>
    <row r="1130">
      <c r="A1130" s="14"/>
      <c r="B1130" s="1"/>
      <c r="C1130" s="1"/>
      <c r="D1130" s="1"/>
    </row>
    <row r="1131">
      <c r="A1131" s="14"/>
      <c r="B1131" s="1"/>
      <c r="C1131" s="1"/>
      <c r="D1131" s="1"/>
    </row>
    <row r="1132">
      <c r="A1132" s="14"/>
      <c r="B1132" s="1"/>
      <c r="C1132" s="1"/>
      <c r="D1132" s="1"/>
    </row>
    <row r="1133">
      <c r="A1133" s="14"/>
      <c r="B1133" s="1"/>
      <c r="C1133" s="1"/>
      <c r="D1133" s="1"/>
    </row>
    <row r="1134">
      <c r="A1134" s="14"/>
      <c r="B1134" s="1"/>
      <c r="C1134" s="1"/>
      <c r="D1134" s="1"/>
    </row>
    <row r="1135">
      <c r="A1135" s="14"/>
      <c r="B1135" s="1"/>
      <c r="C1135" s="1"/>
      <c r="D1135" s="1"/>
    </row>
    <row r="1136">
      <c r="A1136" s="14"/>
      <c r="B1136" s="1"/>
      <c r="C1136" s="1"/>
      <c r="D1136" s="1"/>
    </row>
    <row r="1137">
      <c r="A1137" s="14"/>
      <c r="B1137" s="1"/>
      <c r="C1137" s="1"/>
      <c r="D1137" s="1"/>
    </row>
    <row r="1138">
      <c r="A1138" s="14"/>
      <c r="B1138" s="1"/>
      <c r="C1138" s="1"/>
      <c r="D1138" s="1"/>
    </row>
    <row r="1139">
      <c r="A1139" s="14"/>
      <c r="B1139" s="1"/>
      <c r="C1139" s="1"/>
      <c r="D1139" s="1"/>
    </row>
    <row r="1140">
      <c r="A1140" s="14"/>
      <c r="B1140" s="1"/>
      <c r="C1140" s="1"/>
      <c r="D1140" s="1"/>
    </row>
    <row r="1141">
      <c r="A1141" s="14"/>
      <c r="B1141" s="1"/>
      <c r="C1141" s="1"/>
      <c r="D1141" s="1"/>
    </row>
    <row r="1142">
      <c r="A1142" s="14"/>
      <c r="B1142" s="1"/>
      <c r="C1142" s="1"/>
      <c r="D1142" s="1"/>
    </row>
    <row r="1143">
      <c r="A1143" s="14"/>
      <c r="B1143" s="1"/>
      <c r="C1143" s="1"/>
      <c r="D1143" s="1"/>
    </row>
    <row r="1144">
      <c r="A1144" s="14"/>
      <c r="B1144" s="1"/>
      <c r="C1144" s="1"/>
      <c r="D1144" s="1"/>
    </row>
    <row r="1145">
      <c r="A1145" s="14"/>
      <c r="B1145" s="1"/>
      <c r="C1145" s="1"/>
      <c r="D1145" s="1"/>
    </row>
    <row r="1146">
      <c r="A1146" s="14"/>
      <c r="B1146" s="1"/>
      <c r="C1146" s="1"/>
      <c r="D1146" s="1"/>
    </row>
    <row r="1147">
      <c r="A1147" s="14"/>
      <c r="B1147" s="1"/>
      <c r="C1147" s="1"/>
      <c r="D1147" s="1"/>
    </row>
    <row r="1148">
      <c r="A1148" s="14"/>
      <c r="B1148" s="1"/>
      <c r="C1148" s="1"/>
      <c r="D1148" s="1"/>
    </row>
    <row r="1149">
      <c r="A1149" s="14"/>
      <c r="B1149" s="1"/>
      <c r="C1149" s="1"/>
      <c r="D1149" s="1"/>
    </row>
    <row r="1150">
      <c r="A1150" s="14"/>
      <c r="B1150" s="1"/>
      <c r="C1150" s="1"/>
      <c r="D1150" s="1"/>
    </row>
    <row r="1151">
      <c r="A1151" s="14"/>
      <c r="B1151" s="1"/>
      <c r="C1151" s="1"/>
      <c r="D1151" s="1"/>
    </row>
    <row r="1152">
      <c r="A1152" s="14"/>
      <c r="B1152" s="1"/>
      <c r="C1152" s="1"/>
      <c r="D1152" s="1"/>
    </row>
    <row r="1153">
      <c r="A1153" s="14"/>
      <c r="B1153" s="1"/>
      <c r="C1153" s="1"/>
      <c r="D1153" s="1"/>
    </row>
    <row r="1154">
      <c r="A1154" s="14"/>
      <c r="B1154" s="1"/>
      <c r="C1154" s="1"/>
      <c r="D1154" s="1"/>
    </row>
    <row r="1155">
      <c r="A1155" s="14"/>
      <c r="B1155" s="1"/>
      <c r="C1155" s="1"/>
      <c r="D1155" s="1"/>
    </row>
    <row r="1156">
      <c r="A1156" s="14"/>
      <c r="B1156" s="1"/>
      <c r="C1156" s="1"/>
      <c r="D1156" s="1"/>
    </row>
    <row r="1157">
      <c r="A1157" s="14"/>
      <c r="B1157" s="1"/>
      <c r="C1157" s="1"/>
      <c r="D1157" s="1"/>
    </row>
    <row r="1158">
      <c r="A1158" s="14"/>
      <c r="B1158" s="1"/>
      <c r="C1158" s="1"/>
      <c r="D1158" s="1"/>
    </row>
    <row r="1159">
      <c r="A1159" s="14"/>
      <c r="B1159" s="1"/>
      <c r="C1159" s="1"/>
      <c r="D1159" s="1"/>
    </row>
    <row r="1160">
      <c r="A1160" s="14"/>
      <c r="B1160" s="1"/>
      <c r="C1160" s="1"/>
      <c r="D1160" s="1"/>
    </row>
    <row r="1161">
      <c r="A1161" s="14"/>
      <c r="B1161" s="1"/>
      <c r="C1161" s="1"/>
      <c r="D1161" s="1"/>
    </row>
    <row r="1162">
      <c r="A1162" s="14"/>
      <c r="B1162" s="1"/>
      <c r="C1162" s="1"/>
      <c r="D1162" s="1"/>
    </row>
    <row r="1163">
      <c r="A1163" s="14"/>
      <c r="B1163" s="1"/>
      <c r="C1163" s="1"/>
      <c r="D1163" s="1"/>
    </row>
    <row r="1164">
      <c r="A1164" s="14"/>
      <c r="B1164" s="1"/>
      <c r="C1164" s="1"/>
      <c r="D1164" s="1"/>
    </row>
    <row r="1165">
      <c r="A1165" s="14"/>
      <c r="B1165" s="1"/>
      <c r="C1165" s="1"/>
      <c r="D1165" s="1"/>
    </row>
    <row r="1166">
      <c r="A1166" s="14"/>
      <c r="B1166" s="1"/>
      <c r="C1166" s="1"/>
      <c r="D1166" s="1"/>
    </row>
    <row r="1167">
      <c r="A1167" s="14"/>
      <c r="B1167" s="1"/>
      <c r="C1167" s="1"/>
      <c r="D1167" s="1"/>
    </row>
    <row r="1168">
      <c r="A1168" s="14"/>
      <c r="B1168" s="1"/>
      <c r="C1168" s="1"/>
      <c r="D1168" s="1"/>
    </row>
    <row r="1169">
      <c r="A1169" s="14"/>
      <c r="B1169" s="1"/>
      <c r="C1169" s="1"/>
      <c r="D1169" s="1"/>
    </row>
    <row r="1170">
      <c r="A1170" s="14"/>
      <c r="B1170" s="1"/>
      <c r="C1170" s="1"/>
      <c r="D1170" s="1"/>
    </row>
    <row r="1171">
      <c r="A1171" s="14"/>
      <c r="B1171" s="1"/>
      <c r="C1171" s="1"/>
      <c r="D1171" s="1"/>
    </row>
    <row r="1172">
      <c r="A1172" s="14"/>
      <c r="B1172" s="1"/>
      <c r="C1172" s="1"/>
      <c r="D1172" s="1"/>
    </row>
    <row r="1173">
      <c r="A1173" s="14"/>
      <c r="B1173" s="1"/>
      <c r="C1173" s="1"/>
      <c r="D1173" s="1"/>
    </row>
    <row r="1174">
      <c r="A1174" s="14"/>
      <c r="B1174" s="1"/>
      <c r="C1174" s="1"/>
      <c r="D1174" s="1"/>
    </row>
    <row r="1175">
      <c r="A1175" s="14"/>
      <c r="B1175" s="1"/>
      <c r="C1175" s="1"/>
      <c r="D1175" s="1"/>
    </row>
    <row r="1176">
      <c r="A1176" s="14"/>
      <c r="B1176" s="1"/>
      <c r="C1176" s="1"/>
      <c r="D1176" s="1"/>
    </row>
    <row r="1177">
      <c r="A1177" s="14"/>
      <c r="B1177" s="1"/>
      <c r="C1177" s="1"/>
      <c r="D1177" s="1"/>
    </row>
    <row r="1178">
      <c r="A1178" s="14"/>
      <c r="B1178" s="1"/>
      <c r="C1178" s="1"/>
      <c r="D1178" s="1"/>
    </row>
    <row r="1179">
      <c r="A1179" s="14"/>
      <c r="B1179" s="1"/>
      <c r="C1179" s="1"/>
      <c r="D1179" s="1"/>
    </row>
    <row r="1180">
      <c r="A1180" s="14"/>
      <c r="B1180" s="1"/>
      <c r="C1180" s="1"/>
      <c r="D1180" s="1"/>
    </row>
    <row r="1181">
      <c r="A1181" s="14"/>
      <c r="B1181" s="1"/>
      <c r="C1181" s="1"/>
      <c r="D1181" s="1"/>
    </row>
    <row r="1182">
      <c r="A1182" s="14"/>
      <c r="B1182" s="1"/>
      <c r="C1182" s="1"/>
      <c r="D1182" s="1"/>
    </row>
    <row r="1183">
      <c r="A1183" s="14"/>
      <c r="B1183" s="1"/>
      <c r="C1183" s="1"/>
      <c r="D1183" s="1"/>
    </row>
    <row r="1184">
      <c r="A1184" s="14"/>
      <c r="B1184" s="1"/>
      <c r="C1184" s="1"/>
      <c r="D1184" s="1"/>
    </row>
    <row r="1185">
      <c r="A1185" s="14"/>
      <c r="B1185" s="1"/>
      <c r="C1185" s="1"/>
      <c r="D1185" s="1"/>
    </row>
    <row r="1186">
      <c r="A1186" s="14"/>
      <c r="B1186" s="1"/>
      <c r="C1186" s="1"/>
      <c r="D1186" s="1"/>
    </row>
    <row r="1187">
      <c r="A1187" s="14"/>
      <c r="B1187" s="1"/>
      <c r="C1187" s="1"/>
      <c r="D1187" s="1"/>
    </row>
    <row r="1188">
      <c r="A1188" s="14"/>
      <c r="B1188" s="1"/>
      <c r="C1188" s="1"/>
      <c r="D1188" s="1"/>
    </row>
    <row r="1189">
      <c r="A1189" s="14"/>
      <c r="B1189" s="1"/>
      <c r="C1189" s="1"/>
      <c r="D1189" s="1"/>
    </row>
    <row r="1190">
      <c r="A1190" s="14"/>
      <c r="B1190" s="1"/>
      <c r="C1190" s="1"/>
      <c r="D1190" s="1"/>
    </row>
    <row r="1191">
      <c r="A1191" s="14"/>
      <c r="B1191" s="1"/>
      <c r="C1191" s="1"/>
      <c r="D1191" s="1"/>
    </row>
    <row r="1192">
      <c r="A1192" s="14"/>
      <c r="B1192" s="1"/>
      <c r="C1192" s="1"/>
      <c r="D1192" s="1"/>
    </row>
    <row r="1193">
      <c r="A1193" s="14"/>
      <c r="B1193" s="1"/>
      <c r="C1193" s="1"/>
      <c r="D1193" s="1"/>
    </row>
    <row r="1194">
      <c r="A1194" s="14"/>
      <c r="B1194" s="1"/>
      <c r="C1194" s="1"/>
      <c r="D1194" s="1"/>
    </row>
    <row r="1195">
      <c r="A1195" s="14"/>
      <c r="B1195" s="1"/>
      <c r="C1195" s="1"/>
      <c r="D1195" s="1"/>
    </row>
    <row r="1196">
      <c r="A1196" s="14"/>
      <c r="B1196" s="1"/>
      <c r="C1196" s="1"/>
      <c r="D1196" s="1"/>
    </row>
    <row r="1197">
      <c r="A1197" s="14"/>
      <c r="B1197" s="1"/>
      <c r="C1197" s="1"/>
      <c r="D1197" s="1"/>
    </row>
    <row r="1198">
      <c r="A1198" s="14"/>
      <c r="B1198" s="1"/>
      <c r="C1198" s="1"/>
      <c r="D1198" s="1"/>
    </row>
    <row r="1199">
      <c r="A1199" s="14"/>
      <c r="B1199" s="1"/>
      <c r="C1199" s="1"/>
      <c r="D1199" s="1"/>
    </row>
    <row r="1200">
      <c r="A1200" s="14"/>
      <c r="B1200" s="1"/>
      <c r="C1200" s="1"/>
      <c r="D1200" s="1"/>
    </row>
    <row r="1201">
      <c r="A1201" s="14"/>
      <c r="B1201" s="1"/>
      <c r="C1201" s="1"/>
      <c r="D1201" s="1"/>
    </row>
    <row r="1202">
      <c r="A1202" s="14"/>
      <c r="B1202" s="1"/>
      <c r="C1202" s="1"/>
      <c r="D1202" s="1"/>
    </row>
    <row r="1203">
      <c r="A1203" s="14"/>
      <c r="B1203" s="1"/>
      <c r="C1203" s="1"/>
      <c r="D1203" s="1"/>
    </row>
    <row r="1204">
      <c r="A1204" s="14"/>
      <c r="B1204" s="1"/>
      <c r="C1204" s="1"/>
      <c r="D1204" s="1"/>
    </row>
    <row r="1205">
      <c r="A1205" s="14"/>
      <c r="B1205" s="1"/>
      <c r="C1205" s="1"/>
      <c r="D1205" s="1"/>
    </row>
    <row r="1206">
      <c r="A1206" s="14"/>
      <c r="B1206" s="1"/>
      <c r="C1206" s="1"/>
      <c r="D1206" s="1"/>
    </row>
    <row r="1207">
      <c r="A1207" s="14"/>
      <c r="B1207" s="1"/>
      <c r="C1207" s="1"/>
      <c r="D1207" s="1"/>
    </row>
    <row r="1208">
      <c r="A1208" s="14"/>
      <c r="B1208" s="1"/>
      <c r="C1208" s="1"/>
      <c r="D1208" s="1"/>
    </row>
    <row r="1209">
      <c r="A1209" s="14"/>
      <c r="B1209" s="1"/>
      <c r="C1209" s="1"/>
      <c r="D1209" s="1"/>
    </row>
    <row r="1210">
      <c r="A1210" s="14"/>
      <c r="B1210" s="1"/>
      <c r="C1210" s="1"/>
      <c r="D1210" s="1"/>
    </row>
    <row r="1211">
      <c r="A1211" s="14"/>
      <c r="B1211" s="1"/>
      <c r="C1211" s="1"/>
      <c r="D1211" s="1"/>
    </row>
    <row r="1212">
      <c r="A1212" s="14"/>
      <c r="B1212" s="1"/>
      <c r="C1212" s="1"/>
      <c r="D1212" s="1"/>
    </row>
    <row r="1213">
      <c r="A1213" s="14"/>
      <c r="B1213" s="1"/>
      <c r="C1213" s="1"/>
      <c r="D1213" s="1"/>
    </row>
    <row r="1214">
      <c r="A1214" s="14"/>
      <c r="B1214" s="1"/>
      <c r="C1214" s="1"/>
      <c r="D1214" s="1"/>
    </row>
    <row r="1215">
      <c r="A1215" s="14"/>
      <c r="B1215" s="1"/>
      <c r="C1215" s="1"/>
      <c r="D1215" s="1"/>
    </row>
    <row r="1216">
      <c r="A1216" s="14"/>
      <c r="B1216" s="1"/>
      <c r="C1216" s="1"/>
      <c r="D1216" s="1"/>
    </row>
    <row r="1217">
      <c r="A1217" s="14"/>
      <c r="B1217" s="1"/>
      <c r="C1217" s="1"/>
      <c r="D1217" s="1"/>
    </row>
    <row r="1218">
      <c r="A1218" s="14"/>
      <c r="B1218" s="1"/>
      <c r="C1218" s="1"/>
      <c r="D1218" s="1"/>
    </row>
    <row r="1219">
      <c r="A1219" s="14"/>
      <c r="B1219" s="1"/>
      <c r="C1219" s="1"/>
      <c r="D1219" s="1"/>
    </row>
    <row r="1220">
      <c r="A1220" s="14"/>
      <c r="B1220" s="1"/>
      <c r="C1220" s="1"/>
      <c r="D1220" s="1"/>
    </row>
    <row r="1221">
      <c r="A1221" s="14"/>
      <c r="B1221" s="1"/>
      <c r="C1221" s="1"/>
      <c r="D1221" s="1"/>
    </row>
    <row r="1222">
      <c r="A1222" s="14"/>
      <c r="B1222" s="1"/>
      <c r="C1222" s="1"/>
      <c r="D1222" s="1"/>
    </row>
    <row r="1223">
      <c r="A1223" s="14"/>
      <c r="B1223" s="1"/>
      <c r="C1223" s="1"/>
      <c r="D1223" s="1"/>
    </row>
    <row r="1224">
      <c r="A1224" s="14"/>
      <c r="B1224" s="1"/>
      <c r="C1224" s="1"/>
      <c r="D1224" s="1"/>
    </row>
    <row r="1225">
      <c r="A1225" s="14"/>
      <c r="B1225" s="1"/>
      <c r="C1225" s="1"/>
      <c r="D1225" s="1"/>
    </row>
    <row r="1226">
      <c r="A1226" s="14"/>
      <c r="B1226" s="1"/>
      <c r="C1226" s="1"/>
      <c r="D1226" s="1"/>
    </row>
    <row r="1227">
      <c r="A1227" s="14"/>
      <c r="B1227" s="1"/>
      <c r="C1227" s="1"/>
      <c r="D1227" s="1"/>
    </row>
    <row r="1228">
      <c r="A1228" s="14"/>
      <c r="B1228" s="1"/>
      <c r="C1228" s="1"/>
      <c r="D1228" s="1"/>
    </row>
    <row r="1229">
      <c r="A1229" s="14"/>
      <c r="B1229" s="1"/>
      <c r="C1229" s="1"/>
      <c r="D1229" s="1"/>
    </row>
    <row r="1230">
      <c r="A1230" s="14"/>
      <c r="B1230" s="1"/>
      <c r="C1230" s="1"/>
      <c r="D1230" s="1"/>
    </row>
    <row r="1231">
      <c r="A1231" s="14"/>
      <c r="B1231" s="1"/>
      <c r="C1231" s="1"/>
      <c r="D1231" s="1"/>
    </row>
    <row r="1232">
      <c r="A1232" s="14"/>
      <c r="B1232" s="1"/>
      <c r="C1232" s="1"/>
      <c r="D1232" s="1"/>
    </row>
    <row r="1233">
      <c r="A1233" s="14"/>
      <c r="B1233" s="1"/>
      <c r="C1233" s="1"/>
      <c r="D1233" s="1"/>
    </row>
    <row r="1234">
      <c r="A1234" s="14"/>
      <c r="B1234" s="1"/>
      <c r="C1234" s="1"/>
      <c r="D1234" s="1"/>
    </row>
    <row r="1235">
      <c r="A1235" s="14"/>
      <c r="B1235" s="1"/>
      <c r="C1235" s="1"/>
      <c r="D1235" s="1"/>
    </row>
    <row r="1236">
      <c r="A1236" s="14"/>
      <c r="B1236" s="1"/>
      <c r="C1236" s="1"/>
      <c r="D1236" s="1"/>
    </row>
    <row r="1237">
      <c r="A1237" s="14"/>
      <c r="B1237" s="1"/>
      <c r="C1237" s="1"/>
      <c r="D1237" s="1"/>
    </row>
    <row r="1238">
      <c r="A1238" s="14"/>
      <c r="B1238" s="1"/>
      <c r="C1238" s="1"/>
      <c r="D1238" s="1"/>
    </row>
    <row r="1239">
      <c r="A1239" s="14"/>
      <c r="B1239" s="1"/>
      <c r="C1239" s="1"/>
      <c r="D1239" s="1"/>
    </row>
    <row r="1240">
      <c r="A1240" s="14"/>
      <c r="B1240" s="1"/>
      <c r="C1240" s="1"/>
      <c r="D1240" s="1"/>
    </row>
    <row r="1241">
      <c r="A1241" s="14"/>
      <c r="B1241" s="1"/>
      <c r="C1241" s="1"/>
      <c r="D1241" s="1"/>
    </row>
    <row r="1242">
      <c r="A1242" s="14"/>
      <c r="B1242" s="1"/>
      <c r="C1242" s="1"/>
      <c r="D1242" s="1"/>
    </row>
    <row r="1243">
      <c r="A1243" s="14"/>
      <c r="B1243" s="1"/>
      <c r="C1243" s="1"/>
      <c r="D1243" s="1"/>
    </row>
    <row r="1244">
      <c r="A1244" s="14"/>
      <c r="B1244" s="1"/>
      <c r="C1244" s="1"/>
      <c r="D1244" s="1"/>
    </row>
    <row r="1245">
      <c r="A1245" s="14"/>
      <c r="B1245" s="1"/>
      <c r="C1245" s="1"/>
      <c r="D1245" s="1"/>
    </row>
    <row r="1246">
      <c r="A1246" s="14"/>
      <c r="B1246" s="1"/>
      <c r="C1246" s="1"/>
      <c r="D1246" s="1"/>
    </row>
    <row r="1247">
      <c r="A1247" s="14"/>
      <c r="B1247" s="1"/>
      <c r="C1247" s="1"/>
      <c r="D1247" s="1"/>
    </row>
    <row r="1248">
      <c r="A1248" s="14"/>
      <c r="B1248" s="1"/>
      <c r="C1248" s="1"/>
      <c r="D1248" s="1"/>
    </row>
    <row r="1249">
      <c r="A1249" s="14"/>
      <c r="B1249" s="1"/>
      <c r="C1249" s="1"/>
      <c r="D1249" s="1"/>
    </row>
    <row r="1250">
      <c r="A1250" s="14"/>
      <c r="B1250" s="1"/>
      <c r="C1250" s="1"/>
      <c r="D1250" s="1"/>
    </row>
    <row r="1251">
      <c r="A1251" s="14"/>
      <c r="B1251" s="1"/>
      <c r="C1251" s="1"/>
      <c r="D1251" s="1"/>
    </row>
    <row r="1252">
      <c r="A1252" s="14"/>
      <c r="B1252" s="1"/>
      <c r="C1252" s="1"/>
      <c r="D1252" s="1"/>
    </row>
    <row r="1253">
      <c r="A1253" s="14"/>
      <c r="B1253" s="1"/>
      <c r="C1253" s="1"/>
      <c r="D1253" s="1"/>
    </row>
    <row r="1254">
      <c r="A1254" s="14"/>
      <c r="B1254" s="1"/>
      <c r="C1254" s="1"/>
      <c r="D1254" s="1"/>
    </row>
    <row r="1255">
      <c r="A1255" s="14"/>
      <c r="B1255" s="1"/>
      <c r="C1255" s="1"/>
      <c r="D1255" s="1"/>
    </row>
    <row r="1256">
      <c r="A1256" s="14"/>
      <c r="B1256" s="1"/>
      <c r="C1256" s="1"/>
      <c r="D1256" s="1"/>
    </row>
    <row r="1257">
      <c r="A1257" s="14"/>
      <c r="B1257" s="1"/>
      <c r="C1257" s="1"/>
      <c r="D1257" s="1"/>
    </row>
    <row r="1258">
      <c r="A1258" s="14"/>
      <c r="B1258" s="1"/>
      <c r="C1258" s="1"/>
      <c r="D1258" s="1"/>
    </row>
    <row r="1259">
      <c r="A1259" s="14"/>
      <c r="B1259" s="1"/>
      <c r="C1259" s="1"/>
      <c r="D1259" s="1"/>
    </row>
    <row r="1260">
      <c r="A1260" s="14"/>
      <c r="B1260" s="1"/>
      <c r="C1260" s="1"/>
      <c r="D1260" s="1"/>
    </row>
    <row r="1261">
      <c r="A1261" s="14"/>
      <c r="B1261" s="1"/>
      <c r="C1261" s="1"/>
      <c r="D1261" s="1"/>
    </row>
    <row r="1262">
      <c r="A1262" s="14"/>
      <c r="B1262" s="1"/>
      <c r="C1262" s="1"/>
      <c r="D1262" s="1"/>
    </row>
    <row r="1263">
      <c r="A1263" s="14"/>
      <c r="B1263" s="1"/>
      <c r="C1263" s="1"/>
      <c r="D1263" s="1"/>
    </row>
    <row r="1264">
      <c r="A1264" s="14"/>
      <c r="B1264" s="1"/>
      <c r="C1264" s="1"/>
      <c r="D1264" s="1"/>
    </row>
    <row r="1265">
      <c r="A1265" s="14"/>
      <c r="B1265" s="1"/>
      <c r="C1265" s="1"/>
      <c r="D1265" s="1"/>
    </row>
    <row r="1266">
      <c r="A1266" s="14"/>
      <c r="B1266" s="1"/>
      <c r="C1266" s="1"/>
      <c r="D1266" s="1"/>
    </row>
    <row r="1267">
      <c r="A1267" s="14"/>
      <c r="B1267" s="1"/>
      <c r="C1267" s="1"/>
      <c r="D1267" s="1"/>
    </row>
    <row r="1268">
      <c r="A1268" s="14"/>
      <c r="B1268" s="1"/>
      <c r="C1268" s="1"/>
      <c r="D1268" s="1"/>
    </row>
    <row r="1269">
      <c r="A1269" s="14"/>
      <c r="B1269" s="1"/>
      <c r="C1269" s="1"/>
      <c r="D1269" s="1"/>
    </row>
    <row r="1270">
      <c r="A1270" s="14"/>
      <c r="B1270" s="1"/>
      <c r="C1270" s="1"/>
      <c r="D1270" s="1"/>
    </row>
    <row r="1271">
      <c r="A1271" s="14"/>
      <c r="B1271" s="1"/>
      <c r="C1271" s="1"/>
      <c r="D1271" s="1"/>
    </row>
    <row r="1272">
      <c r="A1272" s="14"/>
      <c r="B1272" s="1"/>
      <c r="C1272" s="1"/>
      <c r="D1272" s="1"/>
    </row>
    <row r="1273">
      <c r="A1273" s="14"/>
      <c r="B1273" s="1"/>
      <c r="C1273" s="1"/>
      <c r="D1273" s="1"/>
    </row>
    <row r="1274">
      <c r="A1274" s="14"/>
      <c r="B1274" s="1"/>
      <c r="C1274" s="1"/>
      <c r="D1274" s="1"/>
    </row>
    <row r="1275">
      <c r="A1275" s="14"/>
      <c r="B1275" s="1"/>
      <c r="C1275" s="1"/>
      <c r="D1275" s="1"/>
    </row>
    <row r="1276">
      <c r="A1276" s="14"/>
      <c r="B1276" s="1"/>
      <c r="C1276" s="1"/>
      <c r="D1276" s="1"/>
    </row>
    <row r="1277">
      <c r="A1277" s="14"/>
      <c r="B1277" s="1"/>
      <c r="C1277" s="1"/>
      <c r="D1277" s="1"/>
    </row>
    <row r="1278">
      <c r="A1278" s="14"/>
      <c r="B1278" s="1"/>
      <c r="C1278" s="1"/>
      <c r="D1278" s="1"/>
    </row>
    <row r="1279">
      <c r="A1279" s="14"/>
      <c r="B1279" s="1"/>
      <c r="C1279" s="1"/>
      <c r="D1279" s="1"/>
    </row>
    <row r="1280">
      <c r="A1280" s="14"/>
      <c r="B1280" s="1"/>
      <c r="C1280" s="1"/>
      <c r="D1280" s="1"/>
    </row>
    <row r="1281">
      <c r="A1281" s="14"/>
      <c r="B1281" s="1"/>
      <c r="C1281" s="1"/>
      <c r="D1281" s="1"/>
    </row>
    <row r="1282">
      <c r="A1282" s="14"/>
      <c r="B1282" s="1"/>
      <c r="C1282" s="1"/>
      <c r="D1282" s="1"/>
    </row>
    <row r="1283">
      <c r="A1283" s="14"/>
      <c r="B1283" s="1"/>
      <c r="C1283" s="1"/>
      <c r="D1283" s="1"/>
    </row>
    <row r="1284">
      <c r="A1284" s="14"/>
      <c r="B1284" s="1"/>
      <c r="C1284" s="1"/>
      <c r="D1284" s="1"/>
    </row>
    <row r="1285">
      <c r="A1285" s="14"/>
      <c r="B1285" s="1"/>
      <c r="C1285" s="1"/>
      <c r="D1285" s="1"/>
    </row>
    <row r="1286">
      <c r="A1286" s="14"/>
      <c r="B1286" s="1"/>
      <c r="C1286" s="1"/>
      <c r="D1286" s="1"/>
    </row>
    <row r="1287">
      <c r="A1287" s="14"/>
      <c r="B1287" s="1"/>
      <c r="C1287" s="1"/>
      <c r="D1287" s="1"/>
    </row>
    <row r="1288">
      <c r="A1288" s="14"/>
      <c r="B1288" s="1"/>
      <c r="C1288" s="1"/>
      <c r="D1288" s="1"/>
    </row>
    <row r="1289">
      <c r="A1289" s="14"/>
      <c r="B1289" s="1"/>
      <c r="C1289" s="1"/>
      <c r="D1289" s="1"/>
    </row>
    <row r="1290">
      <c r="A1290" s="14"/>
      <c r="B1290" s="1"/>
      <c r="C1290" s="1"/>
      <c r="D1290" s="1"/>
    </row>
    <row r="1291">
      <c r="A1291" s="14"/>
      <c r="B1291" s="1"/>
      <c r="C1291" s="1"/>
      <c r="D1291" s="1"/>
    </row>
    <row r="1292">
      <c r="A1292" s="14"/>
      <c r="B1292" s="1"/>
      <c r="C1292" s="1"/>
      <c r="D1292" s="1"/>
    </row>
    <row r="1293">
      <c r="A1293" s="14"/>
      <c r="B1293" s="1"/>
      <c r="C1293" s="1"/>
      <c r="D1293" s="1"/>
    </row>
    <row r="1294">
      <c r="A1294" s="14"/>
      <c r="B1294" s="1"/>
      <c r="C1294" s="1"/>
      <c r="D1294" s="1"/>
    </row>
    <row r="1295">
      <c r="A1295" s="14"/>
      <c r="B1295" s="1"/>
      <c r="C1295" s="1"/>
      <c r="D1295" s="1"/>
    </row>
    <row r="1296">
      <c r="A1296" s="14"/>
      <c r="B1296" s="1"/>
      <c r="C1296" s="1"/>
      <c r="D1296" s="1"/>
    </row>
    <row r="1297">
      <c r="A1297" s="14"/>
      <c r="B1297" s="1"/>
      <c r="C1297" s="1"/>
      <c r="D1297" s="1"/>
    </row>
    <row r="1298">
      <c r="A1298" s="14"/>
      <c r="B1298" s="1"/>
      <c r="C1298" s="1"/>
      <c r="D1298" s="1"/>
    </row>
    <row r="1299">
      <c r="A1299" s="14"/>
      <c r="B1299" s="1"/>
      <c r="C1299" s="1"/>
      <c r="D1299" s="1"/>
    </row>
    <row r="1300">
      <c r="A1300" s="14"/>
      <c r="B1300" s="1"/>
      <c r="C1300" s="1"/>
      <c r="D1300" s="1"/>
    </row>
    <row r="1301">
      <c r="A1301" s="14"/>
      <c r="B1301" s="1"/>
      <c r="C1301" s="1"/>
      <c r="D1301" s="1"/>
    </row>
    <row r="1302">
      <c r="A1302" s="14"/>
      <c r="B1302" s="1"/>
      <c r="C1302" s="1"/>
      <c r="D1302" s="1"/>
    </row>
    <row r="1303">
      <c r="A1303" s="14"/>
      <c r="B1303" s="1"/>
      <c r="C1303" s="1"/>
      <c r="D1303" s="1"/>
    </row>
    <row r="1304">
      <c r="A1304" s="14"/>
      <c r="B1304" s="1"/>
      <c r="C1304" s="1"/>
      <c r="D1304" s="1"/>
    </row>
    <row r="1305">
      <c r="A1305" s="14"/>
      <c r="B1305" s="1"/>
      <c r="C1305" s="1"/>
      <c r="D1305" s="1"/>
    </row>
    <row r="1306">
      <c r="A1306" s="14"/>
      <c r="B1306" s="1"/>
      <c r="C1306" s="1"/>
      <c r="D1306" s="1"/>
    </row>
    <row r="1307">
      <c r="A1307" s="14"/>
      <c r="B1307" s="1"/>
      <c r="C1307" s="1"/>
      <c r="D1307" s="1"/>
    </row>
    <row r="1308">
      <c r="A1308" s="14"/>
      <c r="B1308" s="1"/>
      <c r="C1308" s="1"/>
      <c r="D1308" s="1"/>
    </row>
    <row r="1309">
      <c r="A1309" s="14"/>
      <c r="B1309" s="1"/>
      <c r="C1309" s="1"/>
      <c r="D1309" s="1"/>
    </row>
    <row r="1310">
      <c r="A1310" s="14"/>
      <c r="B1310" s="1"/>
      <c r="C1310" s="1"/>
      <c r="D1310" s="1"/>
    </row>
    <row r="1311">
      <c r="A1311" s="14"/>
      <c r="B1311" s="1"/>
      <c r="C1311" s="1"/>
      <c r="D1311" s="1"/>
    </row>
    <row r="1312">
      <c r="A1312" s="14"/>
      <c r="B1312" s="1"/>
      <c r="C1312" s="1"/>
      <c r="D1312" s="1"/>
    </row>
    <row r="1313">
      <c r="A1313" s="14"/>
      <c r="B1313" s="1"/>
      <c r="C1313" s="1"/>
      <c r="D1313" s="1"/>
    </row>
    <row r="1314">
      <c r="A1314" s="14"/>
      <c r="B1314" s="1"/>
      <c r="C1314" s="1"/>
      <c r="D1314" s="1"/>
    </row>
    <row r="1315">
      <c r="A1315" s="14"/>
      <c r="B1315" s="1"/>
      <c r="C1315" s="1"/>
      <c r="D1315" s="1"/>
    </row>
    <row r="1316">
      <c r="A1316" s="14"/>
      <c r="B1316" s="1"/>
      <c r="C1316" s="1"/>
      <c r="D1316" s="1"/>
    </row>
    <row r="1317">
      <c r="A1317" s="14"/>
      <c r="B1317" s="1"/>
      <c r="C1317" s="1"/>
      <c r="D1317" s="1"/>
    </row>
    <row r="1318">
      <c r="A1318" s="14"/>
      <c r="B1318" s="1"/>
      <c r="C1318" s="1"/>
      <c r="D1318" s="1"/>
    </row>
    <row r="1319">
      <c r="A1319" s="14"/>
      <c r="B1319" s="1"/>
      <c r="C1319" s="1"/>
      <c r="D1319" s="1"/>
    </row>
    <row r="1320">
      <c r="A1320" s="14"/>
      <c r="B1320" s="1"/>
      <c r="C1320" s="1"/>
      <c r="D1320" s="1"/>
    </row>
    <row r="1321">
      <c r="A1321" s="14"/>
      <c r="B1321" s="1"/>
      <c r="C1321" s="1"/>
      <c r="D1321" s="1"/>
    </row>
    <row r="1322">
      <c r="A1322" s="14"/>
      <c r="B1322" s="1"/>
      <c r="C1322" s="1"/>
      <c r="D1322" s="1"/>
    </row>
    <row r="1323">
      <c r="A1323" s="14"/>
      <c r="B1323" s="1"/>
      <c r="C1323" s="1"/>
      <c r="D1323" s="1"/>
    </row>
    <row r="1324">
      <c r="A1324" s="14"/>
      <c r="B1324" s="1"/>
      <c r="C1324" s="1"/>
      <c r="D1324" s="1"/>
    </row>
    <row r="1325">
      <c r="A1325" s="14"/>
      <c r="B1325" s="1"/>
      <c r="C1325" s="1"/>
      <c r="D1325" s="1"/>
    </row>
    <row r="1326">
      <c r="A1326" s="14"/>
      <c r="B1326" s="1"/>
      <c r="C1326" s="1"/>
      <c r="D1326" s="1"/>
    </row>
    <row r="1327">
      <c r="A1327" s="14"/>
      <c r="B1327" s="1"/>
      <c r="C1327" s="1"/>
      <c r="D1327" s="1"/>
    </row>
    <row r="1328">
      <c r="A1328" s="14"/>
      <c r="B1328" s="1"/>
      <c r="C1328" s="1"/>
      <c r="D1328" s="1"/>
    </row>
    <row r="1329">
      <c r="A1329" s="14"/>
      <c r="B1329" s="1"/>
      <c r="C1329" s="1"/>
      <c r="D1329" s="1"/>
    </row>
    <row r="1330">
      <c r="A1330" s="14"/>
      <c r="B1330" s="1"/>
      <c r="C1330" s="1"/>
      <c r="D1330" s="1"/>
    </row>
    <row r="1331">
      <c r="A1331" s="14"/>
      <c r="B1331" s="1"/>
      <c r="C1331" s="1"/>
      <c r="D1331" s="1"/>
    </row>
    <row r="1332">
      <c r="A1332" s="14"/>
      <c r="B1332" s="1"/>
      <c r="C1332" s="1"/>
      <c r="D1332" s="1"/>
    </row>
    <row r="1333">
      <c r="A1333" s="14"/>
      <c r="B1333" s="1"/>
      <c r="C1333" s="1"/>
      <c r="D1333" s="1"/>
    </row>
    <row r="1334">
      <c r="A1334" s="14"/>
      <c r="B1334" s="1"/>
      <c r="C1334" s="1"/>
      <c r="D1334" s="1"/>
    </row>
    <row r="1335">
      <c r="A1335" s="14"/>
      <c r="B1335" s="1"/>
      <c r="C1335" s="1"/>
      <c r="D1335" s="1"/>
    </row>
    <row r="1336">
      <c r="A1336" s="14"/>
      <c r="B1336" s="1"/>
      <c r="C1336" s="1"/>
      <c r="D1336" s="1"/>
    </row>
    <row r="1337">
      <c r="A1337" s="14"/>
      <c r="B1337" s="1"/>
      <c r="C1337" s="1"/>
      <c r="D1337" s="1"/>
    </row>
    <row r="1338">
      <c r="A1338" s="14"/>
      <c r="B1338" s="1"/>
      <c r="C1338" s="1"/>
      <c r="D1338" s="1"/>
    </row>
    <row r="1339">
      <c r="A1339" s="14"/>
      <c r="B1339" s="1"/>
      <c r="C1339" s="1"/>
      <c r="D1339" s="1"/>
    </row>
    <row r="1340">
      <c r="A1340" s="14"/>
      <c r="B1340" s="1"/>
      <c r="C1340" s="1"/>
      <c r="D1340" s="1"/>
    </row>
    <row r="1341">
      <c r="A1341" s="14"/>
      <c r="B1341" s="1"/>
      <c r="C1341" s="1"/>
      <c r="D1341" s="1"/>
    </row>
    <row r="1342">
      <c r="A1342" s="14"/>
      <c r="B1342" s="1"/>
      <c r="C1342" s="1"/>
      <c r="D1342" s="1"/>
    </row>
    <row r="1343">
      <c r="A1343" s="14"/>
      <c r="B1343" s="1"/>
      <c r="C1343" s="1"/>
      <c r="D1343" s="1"/>
    </row>
    <row r="1344">
      <c r="A1344" s="14"/>
      <c r="B1344" s="1"/>
      <c r="C1344" s="1"/>
      <c r="D1344" s="1"/>
    </row>
    <row r="1345">
      <c r="A1345" s="14"/>
      <c r="B1345" s="1"/>
      <c r="C1345" s="1"/>
      <c r="D1345" s="1"/>
    </row>
    <row r="1346">
      <c r="A1346" s="14"/>
      <c r="B1346" s="1"/>
      <c r="C1346" s="1"/>
      <c r="D1346" s="1"/>
    </row>
    <row r="1347">
      <c r="A1347" s="14"/>
      <c r="B1347" s="1"/>
      <c r="C1347" s="1"/>
      <c r="D1347" s="1"/>
    </row>
    <row r="1348">
      <c r="A1348" s="14"/>
      <c r="B1348" s="1"/>
      <c r="C1348" s="1"/>
      <c r="D1348" s="1"/>
    </row>
    <row r="1349">
      <c r="A1349" s="14"/>
      <c r="B1349" s="1"/>
      <c r="C1349" s="1"/>
      <c r="D1349" s="1"/>
    </row>
    <row r="1350">
      <c r="A1350" s="14"/>
      <c r="B1350" s="1"/>
      <c r="C1350" s="1"/>
      <c r="D1350" s="1"/>
    </row>
    <row r="1351">
      <c r="A1351" s="14"/>
      <c r="B1351" s="1"/>
      <c r="C1351" s="1"/>
      <c r="D1351" s="1"/>
    </row>
    <row r="1352">
      <c r="A1352" s="14"/>
      <c r="B1352" s="1"/>
      <c r="C1352" s="1"/>
      <c r="D1352" s="1"/>
    </row>
    <row r="1353">
      <c r="A1353" s="14"/>
      <c r="B1353" s="1"/>
      <c r="C1353" s="1"/>
      <c r="D1353" s="1"/>
    </row>
    <row r="1354">
      <c r="A1354" s="14"/>
      <c r="B1354" s="1"/>
      <c r="C1354" s="1"/>
      <c r="D1354" s="1"/>
    </row>
    <row r="1355">
      <c r="A1355" s="14"/>
      <c r="B1355" s="1"/>
      <c r="C1355" s="1"/>
      <c r="D1355" s="1"/>
    </row>
    <row r="1356">
      <c r="A1356" s="14"/>
      <c r="B1356" s="1"/>
      <c r="C1356" s="1"/>
      <c r="D1356" s="1"/>
    </row>
    <row r="1357">
      <c r="A1357" s="14"/>
      <c r="B1357" s="1"/>
      <c r="C1357" s="1"/>
      <c r="D1357" s="1"/>
    </row>
    <row r="1358">
      <c r="A1358" s="14"/>
      <c r="B1358" s="1"/>
      <c r="C1358" s="1"/>
      <c r="D1358" s="1"/>
    </row>
    <row r="1359">
      <c r="A1359" s="14"/>
      <c r="B1359" s="1"/>
      <c r="C1359" s="1"/>
      <c r="D1359" s="1"/>
    </row>
    <row r="1360">
      <c r="A1360" s="14"/>
      <c r="B1360" s="1"/>
      <c r="C1360" s="1"/>
      <c r="D1360" s="1"/>
    </row>
    <row r="1361">
      <c r="A1361" s="14"/>
      <c r="B1361" s="1"/>
      <c r="C1361" s="1"/>
      <c r="D1361" s="1"/>
    </row>
    <row r="1362">
      <c r="A1362" s="14"/>
      <c r="B1362" s="1"/>
      <c r="C1362" s="1"/>
      <c r="D1362" s="1"/>
    </row>
    <row r="1363">
      <c r="A1363" s="14"/>
      <c r="B1363" s="1"/>
      <c r="C1363" s="1"/>
      <c r="D1363" s="1"/>
    </row>
    <row r="1364">
      <c r="A1364" s="14"/>
      <c r="B1364" s="1"/>
      <c r="C1364" s="1"/>
      <c r="D1364" s="1"/>
    </row>
    <row r="1365">
      <c r="A1365" s="14"/>
      <c r="B1365" s="1"/>
      <c r="C1365" s="1"/>
      <c r="D1365" s="1"/>
    </row>
    <row r="1366">
      <c r="A1366" s="14"/>
      <c r="B1366" s="1"/>
      <c r="C1366" s="1"/>
      <c r="D1366" s="1"/>
    </row>
    <row r="1367">
      <c r="A1367" s="14"/>
      <c r="B1367" s="1"/>
      <c r="C1367" s="1"/>
      <c r="D1367" s="1"/>
    </row>
    <row r="1368">
      <c r="A1368" s="14"/>
      <c r="B1368" s="1"/>
      <c r="C1368" s="1"/>
      <c r="D1368" s="1"/>
    </row>
    <row r="1369">
      <c r="A1369" s="14"/>
      <c r="B1369" s="1"/>
      <c r="C1369" s="1"/>
      <c r="D1369" s="1"/>
    </row>
    <row r="1370">
      <c r="A1370" s="14"/>
      <c r="B1370" s="1"/>
      <c r="C1370" s="1"/>
      <c r="D1370" s="1"/>
    </row>
    <row r="1371">
      <c r="A1371" s="14"/>
      <c r="B1371" s="1"/>
      <c r="C1371" s="1"/>
      <c r="D1371" s="1"/>
    </row>
    <row r="1372">
      <c r="A1372" s="14"/>
      <c r="B1372" s="1"/>
      <c r="C1372" s="1"/>
      <c r="D1372" s="1"/>
    </row>
    <row r="1373">
      <c r="A1373" s="14"/>
      <c r="B1373" s="1"/>
      <c r="C1373" s="1"/>
      <c r="D1373" s="1"/>
    </row>
    <row r="1374">
      <c r="A1374" s="14"/>
      <c r="B1374" s="1"/>
      <c r="C1374" s="1"/>
      <c r="D1374" s="1"/>
    </row>
    <row r="1375">
      <c r="A1375" s="14"/>
      <c r="B1375" s="1"/>
      <c r="C1375" s="1"/>
      <c r="D1375" s="1"/>
    </row>
    <row r="1376">
      <c r="A1376" s="14"/>
      <c r="B1376" s="1"/>
      <c r="C1376" s="1"/>
      <c r="D1376" s="1"/>
    </row>
    <row r="1377">
      <c r="A1377" s="14"/>
      <c r="B1377" s="1"/>
      <c r="C1377" s="1"/>
      <c r="D1377" s="1"/>
    </row>
    <row r="1378">
      <c r="A1378" s="14"/>
      <c r="B1378" s="1"/>
      <c r="C1378" s="1"/>
      <c r="D1378" s="1"/>
    </row>
    <row r="1379">
      <c r="A1379" s="14"/>
      <c r="B1379" s="1"/>
      <c r="C1379" s="1"/>
      <c r="D1379" s="1"/>
    </row>
    <row r="1380">
      <c r="A1380" s="14"/>
      <c r="B1380" s="1"/>
      <c r="C1380" s="1"/>
      <c r="D1380" s="1"/>
    </row>
    <row r="1381">
      <c r="A1381" s="14"/>
      <c r="B1381" s="1"/>
      <c r="C1381" s="1"/>
      <c r="D1381" s="1"/>
    </row>
    <row r="1382">
      <c r="A1382" s="14"/>
      <c r="B1382" s="1"/>
      <c r="C1382" s="1"/>
      <c r="D1382" s="1"/>
    </row>
    <row r="1383">
      <c r="A1383" s="14"/>
      <c r="B1383" s="1"/>
      <c r="C1383" s="1"/>
      <c r="D1383" s="1"/>
    </row>
    <row r="1384">
      <c r="A1384" s="14"/>
      <c r="B1384" s="1"/>
      <c r="C1384" s="1"/>
      <c r="D1384" s="1"/>
    </row>
    <row r="1385">
      <c r="A1385" s="14"/>
      <c r="B1385" s="1"/>
      <c r="C1385" s="1"/>
      <c r="D1385" s="1"/>
    </row>
    <row r="1386">
      <c r="A1386" s="14"/>
      <c r="B1386" s="1"/>
      <c r="C1386" s="1"/>
      <c r="D1386" s="1"/>
    </row>
    <row r="1387">
      <c r="A1387" s="14"/>
      <c r="B1387" s="1"/>
      <c r="C1387" s="1"/>
      <c r="D1387" s="1"/>
    </row>
    <row r="1388">
      <c r="A1388" s="14"/>
      <c r="B1388" s="1"/>
      <c r="C1388" s="1"/>
      <c r="D1388" s="1"/>
    </row>
    <row r="1389">
      <c r="A1389" s="14"/>
      <c r="B1389" s="1"/>
      <c r="C1389" s="1"/>
      <c r="D1389" s="1"/>
    </row>
    <row r="1390">
      <c r="A1390" s="14"/>
      <c r="B1390" s="1"/>
      <c r="C1390" s="1"/>
      <c r="D1390" s="1"/>
    </row>
    <row r="1391">
      <c r="A1391" s="14"/>
      <c r="B1391" s="1"/>
      <c r="C1391" s="1"/>
      <c r="D1391" s="1"/>
    </row>
    <row r="1392">
      <c r="A1392" s="14"/>
      <c r="B1392" s="1"/>
      <c r="C1392" s="1"/>
      <c r="D1392" s="1"/>
    </row>
    <row r="1393">
      <c r="A1393" s="14"/>
      <c r="B1393" s="1"/>
      <c r="C1393" s="1"/>
      <c r="D1393" s="1"/>
    </row>
    <row r="1394">
      <c r="A1394" s="14"/>
      <c r="B1394" s="1"/>
      <c r="C1394" s="1"/>
      <c r="D1394" s="1"/>
    </row>
    <row r="1395">
      <c r="A1395" s="14"/>
      <c r="B1395" s="1"/>
      <c r="C1395" s="1"/>
      <c r="D1395" s="1"/>
    </row>
    <row r="1396">
      <c r="A1396" s="14"/>
      <c r="B1396" s="1"/>
      <c r="C1396" s="1"/>
      <c r="D1396" s="1"/>
    </row>
    <row r="1397">
      <c r="A1397" s="14"/>
      <c r="B1397" s="1"/>
      <c r="C1397" s="1"/>
      <c r="D1397" s="1"/>
    </row>
    <row r="1398">
      <c r="A1398" s="14"/>
      <c r="B1398" s="1"/>
      <c r="C1398" s="1"/>
      <c r="D1398" s="1"/>
    </row>
    <row r="1399">
      <c r="A1399" s="14"/>
      <c r="B1399" s="1"/>
      <c r="C1399" s="1"/>
      <c r="D1399" s="1"/>
    </row>
    <row r="1400">
      <c r="A1400" s="14"/>
      <c r="B1400" s="1"/>
      <c r="C1400" s="1"/>
      <c r="D1400" s="1"/>
    </row>
    <row r="1401">
      <c r="A1401" s="14"/>
      <c r="B1401" s="1"/>
      <c r="C1401" s="1"/>
      <c r="D1401" s="1"/>
    </row>
    <row r="1402">
      <c r="A1402" s="14"/>
      <c r="B1402" s="1"/>
      <c r="C1402" s="1"/>
      <c r="D1402" s="1"/>
    </row>
    <row r="1403">
      <c r="A1403" s="14"/>
      <c r="B1403" s="1"/>
      <c r="C1403" s="1"/>
      <c r="D1403" s="1"/>
    </row>
    <row r="1404">
      <c r="A1404" s="14"/>
      <c r="B1404" s="1"/>
      <c r="C1404" s="1"/>
      <c r="D1404" s="1"/>
    </row>
    <row r="1405">
      <c r="A1405" s="14"/>
      <c r="B1405" s="1"/>
      <c r="C1405" s="1"/>
      <c r="D1405" s="1"/>
    </row>
    <row r="1406">
      <c r="A1406" s="14"/>
      <c r="B1406" s="1"/>
      <c r="C1406" s="1"/>
      <c r="D1406" s="1"/>
    </row>
    <row r="1407">
      <c r="A1407" s="14"/>
      <c r="B1407" s="1"/>
      <c r="C1407" s="1"/>
      <c r="D1407" s="1"/>
    </row>
    <row r="1408">
      <c r="A1408" s="14"/>
      <c r="B1408" s="1"/>
      <c r="C1408" s="1"/>
      <c r="D1408" s="1"/>
    </row>
    <row r="1409">
      <c r="A1409" s="14"/>
      <c r="B1409" s="1"/>
      <c r="C1409" s="1"/>
      <c r="D1409" s="1"/>
    </row>
    <row r="1410">
      <c r="A1410" s="14"/>
      <c r="B1410" s="1"/>
      <c r="C1410" s="1"/>
      <c r="D1410" s="1"/>
    </row>
    <row r="1411">
      <c r="A1411" s="14"/>
      <c r="B1411" s="1"/>
      <c r="C1411" s="1"/>
      <c r="D1411" s="1"/>
    </row>
    <row r="1412">
      <c r="A1412" s="14"/>
      <c r="B1412" s="1"/>
      <c r="C1412" s="1"/>
      <c r="D1412" s="1"/>
    </row>
    <row r="1413">
      <c r="A1413" s="14"/>
      <c r="B1413" s="1"/>
      <c r="C1413" s="1"/>
      <c r="D1413" s="1"/>
    </row>
    <row r="1414">
      <c r="A1414" s="14"/>
      <c r="B1414" s="1"/>
      <c r="C1414" s="1"/>
      <c r="D1414" s="1"/>
    </row>
    <row r="1415">
      <c r="A1415" s="14"/>
      <c r="B1415" s="1"/>
      <c r="C1415" s="1"/>
      <c r="D1415" s="1"/>
    </row>
    <row r="1416">
      <c r="A1416" s="14"/>
      <c r="B1416" s="1"/>
      <c r="C1416" s="1"/>
      <c r="D1416" s="1"/>
    </row>
    <row r="1417">
      <c r="A1417" s="14"/>
      <c r="B1417" s="1"/>
      <c r="C1417" s="1"/>
      <c r="D1417" s="1"/>
    </row>
    <row r="1418">
      <c r="A1418" s="14"/>
      <c r="B1418" s="1"/>
      <c r="C1418" s="1"/>
      <c r="D1418" s="1"/>
    </row>
    <row r="1419">
      <c r="A1419" s="14"/>
      <c r="B1419" s="1"/>
      <c r="C1419" s="1"/>
      <c r="D1419" s="1"/>
    </row>
    <row r="1420">
      <c r="A1420" s="14"/>
      <c r="B1420" s="1"/>
      <c r="C1420" s="1"/>
      <c r="D1420" s="1"/>
    </row>
    <row r="1421">
      <c r="A1421" s="14"/>
      <c r="B1421" s="1"/>
      <c r="C1421" s="1"/>
      <c r="D1421" s="1"/>
    </row>
    <row r="1422">
      <c r="A1422" s="14"/>
      <c r="B1422" s="1"/>
      <c r="C1422" s="1"/>
      <c r="D1422" s="1"/>
    </row>
    <row r="1423">
      <c r="A1423" s="14"/>
      <c r="B1423" s="1"/>
      <c r="C1423" s="1"/>
      <c r="D1423" s="1"/>
    </row>
    <row r="1424">
      <c r="A1424" s="14"/>
      <c r="B1424" s="1"/>
      <c r="C1424" s="1"/>
      <c r="D1424" s="1"/>
    </row>
    <row r="1425">
      <c r="A1425" s="14"/>
      <c r="B1425" s="1"/>
      <c r="C1425" s="1"/>
      <c r="D1425" s="1"/>
    </row>
    <row r="1426">
      <c r="A1426" s="14"/>
      <c r="B1426" s="1"/>
      <c r="C1426" s="1"/>
      <c r="D1426" s="1"/>
    </row>
    <row r="1427">
      <c r="A1427" s="14"/>
      <c r="B1427" s="1"/>
      <c r="C1427" s="1"/>
      <c r="D1427" s="1"/>
    </row>
    <row r="1428">
      <c r="A1428" s="14"/>
      <c r="B1428" s="1"/>
      <c r="C1428" s="1"/>
      <c r="D1428" s="1"/>
    </row>
    <row r="1429">
      <c r="A1429" s="14"/>
      <c r="B1429" s="1"/>
      <c r="C1429" s="1"/>
      <c r="D1429" s="1"/>
    </row>
    <row r="1430">
      <c r="A1430" s="14"/>
      <c r="B1430" s="1"/>
      <c r="C1430" s="1"/>
      <c r="D1430" s="1"/>
    </row>
    <row r="1431">
      <c r="A1431" s="14"/>
      <c r="B1431" s="1"/>
      <c r="C1431" s="1"/>
      <c r="D1431" s="1"/>
    </row>
    <row r="1432">
      <c r="A1432" s="14"/>
      <c r="B1432" s="1"/>
      <c r="C1432" s="1"/>
      <c r="D1432" s="1"/>
    </row>
    <row r="1433">
      <c r="A1433" s="14"/>
      <c r="B1433" s="1"/>
      <c r="C1433" s="1"/>
      <c r="D1433" s="1"/>
    </row>
    <row r="1434">
      <c r="A1434" s="14"/>
      <c r="B1434" s="1"/>
      <c r="C1434" s="1"/>
      <c r="D1434" s="1"/>
    </row>
    <row r="1435">
      <c r="A1435" s="14"/>
      <c r="B1435" s="1"/>
      <c r="C1435" s="1"/>
      <c r="D1435" s="1"/>
    </row>
    <row r="1436">
      <c r="A1436" s="14"/>
      <c r="B1436" s="1"/>
      <c r="C1436" s="1"/>
      <c r="D1436" s="1"/>
    </row>
    <row r="1437">
      <c r="A1437" s="14"/>
      <c r="B1437" s="1"/>
      <c r="C1437" s="1"/>
      <c r="D1437" s="1"/>
    </row>
    <row r="1438">
      <c r="A1438" s="14"/>
      <c r="B1438" s="1"/>
      <c r="C1438" s="1"/>
      <c r="D1438" s="1"/>
    </row>
    <row r="1439">
      <c r="A1439" s="14"/>
      <c r="B1439" s="1"/>
      <c r="C1439" s="1"/>
      <c r="D1439" s="1"/>
    </row>
    <row r="1440">
      <c r="A1440" s="14"/>
      <c r="B1440" s="1"/>
      <c r="C1440" s="1"/>
      <c r="D1440" s="1"/>
    </row>
    <row r="1441">
      <c r="A1441" s="14"/>
      <c r="B1441" s="1"/>
      <c r="C1441" s="1"/>
      <c r="D1441" s="1"/>
    </row>
    <row r="1442">
      <c r="A1442" s="14"/>
      <c r="B1442" s="1"/>
      <c r="C1442" s="1"/>
      <c r="D1442" s="1"/>
    </row>
    <row r="1443">
      <c r="A1443" s="14"/>
      <c r="B1443" s="1"/>
      <c r="C1443" s="1"/>
      <c r="D1443" s="1"/>
    </row>
    <row r="1444">
      <c r="A1444" s="14"/>
      <c r="B1444" s="1"/>
      <c r="C1444" s="1"/>
      <c r="D1444" s="1"/>
    </row>
    <row r="1445">
      <c r="A1445" s="14"/>
      <c r="B1445" s="1"/>
      <c r="C1445" s="1"/>
      <c r="D1445" s="1"/>
    </row>
    <row r="1446">
      <c r="A1446" s="14"/>
      <c r="B1446" s="1"/>
      <c r="C1446" s="1"/>
      <c r="D1446" s="1"/>
    </row>
    <row r="1447">
      <c r="A1447" s="14"/>
      <c r="B1447" s="1"/>
      <c r="C1447" s="1"/>
      <c r="D1447" s="1"/>
    </row>
    <row r="1448">
      <c r="A1448" s="14"/>
      <c r="B1448" s="1"/>
      <c r="C1448" s="1"/>
      <c r="D1448" s="1"/>
    </row>
    <row r="1449">
      <c r="A1449" s="14"/>
      <c r="B1449" s="1"/>
      <c r="C1449" s="1"/>
      <c r="D1449" s="1"/>
    </row>
    <row r="1450">
      <c r="A1450" s="14"/>
      <c r="B1450" s="1"/>
      <c r="C1450" s="1"/>
      <c r="D1450" s="1"/>
    </row>
    <row r="1451">
      <c r="A1451" s="14"/>
      <c r="B1451" s="1"/>
      <c r="C1451" s="1"/>
      <c r="D1451" s="1"/>
    </row>
    <row r="1452">
      <c r="A1452" s="14"/>
      <c r="B1452" s="1"/>
      <c r="C1452" s="1"/>
      <c r="D1452" s="1"/>
    </row>
    <row r="1453">
      <c r="A1453" s="14"/>
      <c r="B1453" s="1"/>
      <c r="C1453" s="1"/>
      <c r="D1453" s="1"/>
    </row>
    <row r="1454">
      <c r="A1454" s="14"/>
      <c r="B1454" s="1"/>
      <c r="C1454" s="1"/>
      <c r="D1454" s="1"/>
    </row>
    <row r="1455">
      <c r="A1455" s="14"/>
      <c r="B1455" s="1"/>
      <c r="C1455" s="1"/>
      <c r="D1455" s="1"/>
    </row>
    <row r="1456">
      <c r="A1456" s="14"/>
      <c r="B1456" s="1"/>
      <c r="C1456" s="1"/>
      <c r="D1456" s="1"/>
    </row>
    <row r="1457">
      <c r="A1457" s="14"/>
      <c r="B1457" s="1"/>
      <c r="C1457" s="1"/>
      <c r="D1457" s="1"/>
    </row>
    <row r="1458">
      <c r="A1458" s="14"/>
      <c r="B1458" s="1"/>
      <c r="C1458" s="1"/>
      <c r="D1458" s="1"/>
    </row>
    <row r="1459">
      <c r="A1459" s="14"/>
      <c r="B1459" s="1"/>
      <c r="C1459" s="1"/>
      <c r="D1459" s="1"/>
    </row>
    <row r="1460">
      <c r="A1460" s="14"/>
      <c r="B1460" s="1"/>
      <c r="C1460" s="1"/>
      <c r="D1460" s="1"/>
    </row>
    <row r="1461">
      <c r="A1461" s="14"/>
      <c r="B1461" s="1"/>
      <c r="C1461" s="1"/>
      <c r="D1461" s="1"/>
    </row>
    <row r="1462">
      <c r="A1462" s="14"/>
      <c r="B1462" s="1"/>
      <c r="C1462" s="1"/>
      <c r="D1462" s="1"/>
    </row>
    <row r="1463">
      <c r="A1463" s="14"/>
      <c r="B1463" s="1"/>
      <c r="C1463" s="1"/>
      <c r="D1463" s="1"/>
    </row>
    <row r="1464">
      <c r="A1464" s="14"/>
      <c r="B1464" s="1"/>
      <c r="C1464" s="1"/>
      <c r="D1464" s="1"/>
    </row>
    <row r="1465">
      <c r="A1465" s="14"/>
      <c r="B1465" s="1"/>
      <c r="C1465" s="1"/>
      <c r="D1465" s="1"/>
    </row>
    <row r="1466">
      <c r="A1466" s="14"/>
      <c r="B1466" s="1"/>
      <c r="C1466" s="1"/>
      <c r="D1466" s="1"/>
    </row>
    <row r="1467">
      <c r="A1467" s="14"/>
      <c r="B1467" s="1"/>
      <c r="C1467" s="1"/>
      <c r="D1467" s="1"/>
    </row>
    <row r="1468">
      <c r="A1468" s="14"/>
      <c r="B1468" s="1"/>
      <c r="C1468" s="1"/>
      <c r="D1468" s="1"/>
    </row>
    <row r="1469">
      <c r="A1469" s="14"/>
      <c r="B1469" s="1"/>
      <c r="C1469" s="1"/>
      <c r="D1469" s="1"/>
    </row>
    <row r="1470">
      <c r="A1470" s="14"/>
      <c r="B1470" s="1"/>
      <c r="C1470" s="1"/>
      <c r="D1470" s="1"/>
    </row>
    <row r="1471">
      <c r="A1471" s="14"/>
      <c r="B1471" s="1"/>
      <c r="C1471" s="1"/>
      <c r="D1471" s="1"/>
    </row>
    <row r="1472">
      <c r="A1472" s="14"/>
      <c r="B1472" s="1"/>
      <c r="C1472" s="1"/>
      <c r="D1472" s="1"/>
    </row>
    <row r="1473">
      <c r="A1473" s="14"/>
      <c r="B1473" s="1"/>
      <c r="C1473" s="1"/>
      <c r="D1473" s="1"/>
    </row>
    <row r="1474">
      <c r="A1474" s="14"/>
      <c r="B1474" s="1"/>
      <c r="C1474" s="1"/>
      <c r="D1474" s="1"/>
    </row>
    <row r="1475">
      <c r="A1475" s="14"/>
      <c r="B1475" s="1"/>
      <c r="C1475" s="1"/>
      <c r="D1475" s="1"/>
    </row>
    <row r="1476">
      <c r="A1476" s="14"/>
      <c r="B1476" s="1"/>
      <c r="C1476" s="1"/>
      <c r="D1476" s="1"/>
    </row>
    <row r="1477">
      <c r="A1477" s="14"/>
      <c r="B1477" s="1"/>
      <c r="C1477" s="1"/>
      <c r="D1477" s="1"/>
    </row>
    <row r="1478">
      <c r="A1478" s="14"/>
      <c r="B1478" s="1"/>
      <c r="C1478" s="1"/>
      <c r="D1478" s="1"/>
    </row>
    <row r="1479">
      <c r="A1479" s="14"/>
      <c r="B1479" s="1"/>
      <c r="C1479" s="1"/>
      <c r="D1479" s="1"/>
    </row>
    <row r="1480">
      <c r="A1480" s="14"/>
      <c r="B1480" s="1"/>
      <c r="C1480" s="1"/>
      <c r="D1480" s="1"/>
    </row>
    <row r="1481">
      <c r="A1481" s="14"/>
      <c r="B1481" s="1"/>
      <c r="C1481" s="1"/>
      <c r="D1481" s="1"/>
    </row>
    <row r="1482">
      <c r="A1482" s="14"/>
      <c r="B1482" s="1"/>
      <c r="C1482" s="1"/>
      <c r="D1482" s="1"/>
    </row>
    <row r="1483">
      <c r="A1483" s="14"/>
      <c r="B1483" s="1"/>
      <c r="C1483" s="1"/>
      <c r="D1483" s="1"/>
    </row>
    <row r="1484">
      <c r="A1484" s="14"/>
      <c r="B1484" s="1"/>
      <c r="C1484" s="1"/>
      <c r="D1484" s="1"/>
    </row>
    <row r="1485">
      <c r="A1485" s="14"/>
      <c r="B1485" s="1"/>
      <c r="C1485" s="1"/>
      <c r="D1485" s="1"/>
    </row>
    <row r="1486">
      <c r="A1486" s="14"/>
      <c r="B1486" s="1"/>
      <c r="C1486" s="1"/>
      <c r="D1486" s="1"/>
    </row>
    <row r="1487">
      <c r="A1487" s="14"/>
      <c r="B1487" s="1"/>
      <c r="C1487" s="1"/>
      <c r="D1487" s="1"/>
    </row>
    <row r="1488">
      <c r="A1488" s="14"/>
      <c r="B1488" s="1"/>
      <c r="C1488" s="1"/>
      <c r="D1488" s="1"/>
    </row>
    <row r="1489">
      <c r="A1489" s="14"/>
      <c r="B1489" s="1"/>
      <c r="C1489" s="1"/>
      <c r="D1489" s="1"/>
    </row>
    <row r="1490">
      <c r="A1490" s="14"/>
      <c r="B1490" s="1"/>
      <c r="C1490" s="1"/>
      <c r="D1490" s="1"/>
    </row>
    <row r="1491">
      <c r="A1491" s="14"/>
      <c r="B1491" s="1"/>
      <c r="C1491" s="1"/>
      <c r="D1491" s="1"/>
    </row>
    <row r="1492">
      <c r="A1492" s="14"/>
      <c r="B1492" s="1"/>
      <c r="C1492" s="1"/>
      <c r="D1492" s="1"/>
    </row>
    <row r="1493">
      <c r="A1493" s="14"/>
      <c r="B1493" s="1"/>
      <c r="C1493" s="1"/>
      <c r="D1493" s="1"/>
    </row>
    <row r="1494">
      <c r="A1494" s="14"/>
      <c r="B1494" s="1"/>
      <c r="C1494" s="1"/>
      <c r="D1494" s="1"/>
    </row>
    <row r="1495">
      <c r="A1495" s="14"/>
      <c r="B1495" s="1"/>
      <c r="C1495" s="1"/>
      <c r="D1495" s="1"/>
    </row>
    <row r="1496">
      <c r="A1496" s="14"/>
      <c r="B1496" s="1"/>
      <c r="C1496" s="1"/>
      <c r="D1496" s="1"/>
    </row>
    <row r="1497">
      <c r="A1497" s="14"/>
      <c r="B1497" s="1"/>
      <c r="C1497" s="1"/>
      <c r="D1497" s="1"/>
    </row>
    <row r="1498">
      <c r="A1498" s="14"/>
      <c r="B1498" s="1"/>
      <c r="C1498" s="1"/>
      <c r="D1498" s="1"/>
    </row>
    <row r="1499">
      <c r="A1499" s="14"/>
      <c r="B1499" s="1"/>
      <c r="C1499" s="1"/>
      <c r="D1499" s="1"/>
    </row>
    <row r="1500">
      <c r="A1500" s="14"/>
      <c r="B1500" s="1"/>
      <c r="C1500" s="1"/>
      <c r="D1500" s="1"/>
    </row>
    <row r="1501">
      <c r="A1501" s="14"/>
      <c r="B1501" s="1"/>
      <c r="C1501" s="1"/>
      <c r="D1501" s="1"/>
    </row>
    <row r="1502">
      <c r="A1502" s="14"/>
      <c r="B1502" s="1"/>
      <c r="C1502" s="1"/>
      <c r="D1502" s="1"/>
    </row>
    <row r="1503">
      <c r="A1503" s="14"/>
      <c r="B1503" s="1"/>
      <c r="C1503" s="1"/>
      <c r="D1503" s="1"/>
    </row>
    <row r="1504">
      <c r="A1504" s="14"/>
      <c r="B1504" s="1"/>
      <c r="C1504" s="1"/>
      <c r="D1504" s="1"/>
    </row>
    <row r="1505">
      <c r="A1505" s="14"/>
      <c r="B1505" s="1"/>
      <c r="C1505" s="1"/>
      <c r="D1505" s="1"/>
    </row>
    <row r="1506">
      <c r="A1506" s="14"/>
      <c r="B1506" s="1"/>
      <c r="C1506" s="1"/>
      <c r="D1506" s="1"/>
    </row>
    <row r="1507">
      <c r="A1507" s="14"/>
      <c r="B1507" s="1"/>
      <c r="C1507" s="1"/>
      <c r="D1507" s="1"/>
    </row>
    <row r="1508">
      <c r="A1508" s="14"/>
      <c r="B1508" s="1"/>
      <c r="C1508" s="1"/>
      <c r="D1508" s="1"/>
    </row>
    <row r="1509">
      <c r="A1509" s="14"/>
      <c r="B1509" s="1"/>
      <c r="C1509" s="1"/>
      <c r="D1509" s="1"/>
    </row>
    <row r="1510">
      <c r="A1510" s="14"/>
      <c r="B1510" s="1"/>
      <c r="C1510" s="1"/>
      <c r="D1510" s="1"/>
    </row>
    <row r="1511">
      <c r="A1511" s="14"/>
      <c r="B1511" s="1"/>
      <c r="C1511" s="1"/>
      <c r="D1511" s="1"/>
    </row>
    <row r="1512">
      <c r="A1512" s="14"/>
      <c r="B1512" s="1"/>
      <c r="C1512" s="1"/>
      <c r="D1512" s="1"/>
    </row>
    <row r="1513">
      <c r="A1513" s="14"/>
      <c r="B1513" s="1"/>
      <c r="C1513" s="1"/>
      <c r="D1513" s="1"/>
    </row>
    <row r="1514">
      <c r="A1514" s="14"/>
      <c r="B1514" s="1"/>
      <c r="C1514" s="1"/>
      <c r="D1514" s="1"/>
    </row>
    <row r="1515">
      <c r="A1515" s="14"/>
      <c r="B1515" s="1"/>
      <c r="C1515" s="1"/>
      <c r="D1515" s="1"/>
    </row>
    <row r="1516">
      <c r="A1516" s="14"/>
      <c r="B1516" s="1"/>
      <c r="C1516" s="1"/>
      <c r="D1516" s="1"/>
    </row>
    <row r="1517">
      <c r="A1517" s="14"/>
      <c r="B1517" s="1"/>
      <c r="C1517" s="1"/>
      <c r="D1517" s="1"/>
    </row>
    <row r="1518">
      <c r="A1518" s="14"/>
      <c r="B1518" s="1"/>
      <c r="C1518" s="1"/>
      <c r="D1518" s="1"/>
    </row>
    <row r="1519">
      <c r="A1519" s="14"/>
      <c r="B1519" s="1"/>
      <c r="C1519" s="1"/>
      <c r="D1519" s="1"/>
    </row>
    <row r="1520">
      <c r="A1520" s="14"/>
      <c r="B1520" s="1"/>
      <c r="C1520" s="1"/>
      <c r="D1520" s="1"/>
    </row>
    <row r="1521">
      <c r="A1521" s="14"/>
      <c r="B1521" s="1"/>
      <c r="C1521" s="1"/>
      <c r="D1521" s="1"/>
    </row>
    <row r="1522">
      <c r="A1522" s="14"/>
      <c r="B1522" s="1"/>
      <c r="C1522" s="1"/>
      <c r="D1522" s="1"/>
    </row>
    <row r="1523">
      <c r="A1523" s="14"/>
      <c r="B1523" s="1"/>
      <c r="C1523" s="1"/>
      <c r="D1523" s="1"/>
    </row>
    <row r="1524">
      <c r="A1524" s="14"/>
      <c r="B1524" s="1"/>
      <c r="C1524" s="1"/>
      <c r="D1524" s="1"/>
    </row>
    <row r="1525">
      <c r="A1525" s="14"/>
      <c r="B1525" s="1"/>
      <c r="C1525" s="1"/>
      <c r="D1525" s="1"/>
    </row>
    <row r="1526">
      <c r="A1526" s="14"/>
      <c r="B1526" s="1"/>
      <c r="C1526" s="1"/>
      <c r="D1526" s="1"/>
    </row>
    <row r="1527">
      <c r="A1527" s="14"/>
      <c r="B1527" s="1"/>
      <c r="C1527" s="1"/>
      <c r="D1527" s="1"/>
    </row>
    <row r="1528">
      <c r="A1528" s="14"/>
      <c r="B1528" s="1"/>
      <c r="C1528" s="1"/>
      <c r="D1528" s="1"/>
    </row>
    <row r="1529">
      <c r="A1529" s="14"/>
      <c r="B1529" s="1"/>
      <c r="C1529" s="1"/>
      <c r="D1529" s="1"/>
    </row>
    <row r="1530">
      <c r="A1530" s="14"/>
      <c r="B1530" s="1"/>
      <c r="C1530" s="1"/>
      <c r="D1530" s="1"/>
    </row>
    <row r="1531">
      <c r="A1531" s="14"/>
      <c r="B1531" s="1"/>
      <c r="C1531" s="1"/>
      <c r="D1531" s="1"/>
    </row>
    <row r="1532">
      <c r="A1532" s="14"/>
      <c r="B1532" s="1"/>
      <c r="C1532" s="1"/>
      <c r="D1532" s="1"/>
    </row>
    <row r="1533">
      <c r="A1533" s="14"/>
      <c r="B1533" s="1"/>
      <c r="C1533" s="1"/>
      <c r="D1533" s="1"/>
    </row>
    <row r="1534">
      <c r="A1534" s="14"/>
      <c r="B1534" s="1"/>
      <c r="C1534" s="1"/>
      <c r="D1534" s="1"/>
    </row>
    <row r="1535">
      <c r="A1535" s="14"/>
      <c r="B1535" s="1"/>
      <c r="C1535" s="1"/>
      <c r="D1535" s="1"/>
    </row>
    <row r="1536">
      <c r="A1536" s="14"/>
      <c r="B1536" s="1"/>
      <c r="C1536" s="1"/>
      <c r="D1536" s="1"/>
    </row>
    <row r="1537">
      <c r="A1537" s="14"/>
      <c r="B1537" s="1"/>
      <c r="C1537" s="1"/>
      <c r="D1537" s="1"/>
    </row>
    <row r="1538">
      <c r="A1538" s="14"/>
      <c r="B1538" s="1"/>
      <c r="C1538" s="1"/>
      <c r="D1538" s="1"/>
    </row>
    <row r="1539">
      <c r="A1539" s="14"/>
      <c r="B1539" s="1"/>
      <c r="C1539" s="1"/>
      <c r="D1539" s="1"/>
    </row>
    <row r="1540">
      <c r="A1540" s="14"/>
      <c r="B1540" s="1"/>
      <c r="C1540" s="1"/>
      <c r="D1540" s="1"/>
    </row>
    <row r="1541">
      <c r="A1541" s="14"/>
      <c r="B1541" s="1"/>
      <c r="C1541" s="1"/>
      <c r="D1541" s="1"/>
    </row>
    <row r="1542">
      <c r="A1542" s="14"/>
      <c r="B1542" s="1"/>
      <c r="C1542" s="1"/>
      <c r="D1542" s="1"/>
    </row>
    <row r="1543">
      <c r="A1543" s="14"/>
      <c r="B1543" s="1"/>
      <c r="C1543" s="1"/>
      <c r="D1543" s="1"/>
    </row>
    <row r="1544">
      <c r="A1544" s="14"/>
      <c r="B1544" s="1"/>
      <c r="C1544" s="1"/>
      <c r="D1544" s="1"/>
    </row>
    <row r="1545">
      <c r="A1545" s="14"/>
      <c r="B1545" s="1"/>
      <c r="C1545" s="1"/>
      <c r="D1545" s="1"/>
    </row>
    <row r="1546">
      <c r="A1546" s="14"/>
      <c r="B1546" s="1"/>
      <c r="C1546" s="1"/>
      <c r="D1546" s="1"/>
    </row>
    <row r="1547">
      <c r="A1547" s="14"/>
      <c r="B1547" s="1"/>
      <c r="C1547" s="1"/>
      <c r="D1547" s="1"/>
    </row>
    <row r="1548">
      <c r="A1548" s="14"/>
      <c r="B1548" s="1"/>
      <c r="C1548" s="1"/>
      <c r="D1548" s="1"/>
    </row>
    <row r="1549">
      <c r="A1549" s="14"/>
      <c r="B1549" s="1"/>
      <c r="C1549" s="1"/>
      <c r="D1549" s="1"/>
    </row>
    <row r="1550">
      <c r="A1550" s="14"/>
      <c r="B1550" s="1"/>
      <c r="C1550" s="1"/>
      <c r="D1550" s="1"/>
    </row>
    <row r="1551">
      <c r="A1551" s="14"/>
      <c r="B1551" s="1"/>
      <c r="C1551" s="1"/>
      <c r="D1551" s="1"/>
    </row>
    <row r="1552">
      <c r="A1552" s="14"/>
      <c r="B1552" s="1"/>
      <c r="C1552" s="1"/>
      <c r="D1552" s="1"/>
    </row>
    <row r="1553">
      <c r="A1553" s="14"/>
      <c r="B1553" s="1"/>
      <c r="C1553" s="1"/>
      <c r="D1553" s="1"/>
    </row>
    <row r="1554">
      <c r="A1554" s="14"/>
      <c r="B1554" s="1"/>
      <c r="C1554" s="1"/>
      <c r="D1554" s="1"/>
    </row>
    <row r="1555">
      <c r="A1555" s="14"/>
      <c r="B1555" s="1"/>
      <c r="C1555" s="1"/>
      <c r="D1555" s="1"/>
    </row>
    <row r="1556">
      <c r="A1556" s="14"/>
      <c r="B1556" s="1"/>
      <c r="C1556" s="1"/>
      <c r="D1556" s="1"/>
    </row>
    <row r="1557">
      <c r="A1557" s="14"/>
      <c r="B1557" s="1"/>
      <c r="C1557" s="1"/>
      <c r="D1557" s="1"/>
    </row>
    <row r="1558">
      <c r="A1558" s="14"/>
      <c r="B1558" s="1"/>
      <c r="C1558" s="1"/>
      <c r="D1558" s="1"/>
    </row>
    <row r="1559">
      <c r="A1559" s="14"/>
      <c r="B1559" s="1"/>
      <c r="C1559" s="1"/>
      <c r="D1559" s="1"/>
    </row>
    <row r="1560">
      <c r="A1560" s="14"/>
      <c r="B1560" s="1"/>
      <c r="C1560" s="1"/>
      <c r="D1560" s="1"/>
    </row>
    <row r="1561">
      <c r="A1561" s="14"/>
      <c r="B1561" s="1"/>
      <c r="C1561" s="1"/>
      <c r="D1561" s="1"/>
    </row>
    <row r="1562">
      <c r="A1562" s="14"/>
      <c r="B1562" s="1"/>
      <c r="C1562" s="1"/>
      <c r="D1562" s="1"/>
    </row>
    <row r="1563">
      <c r="A1563" s="14"/>
      <c r="B1563" s="1"/>
      <c r="C1563" s="1"/>
      <c r="D1563" s="1"/>
    </row>
    <row r="1564">
      <c r="A1564" s="14"/>
      <c r="B1564" s="1"/>
      <c r="C1564" s="1"/>
      <c r="D1564" s="1"/>
    </row>
    <row r="1565">
      <c r="A1565" s="14"/>
      <c r="B1565" s="1"/>
      <c r="C1565" s="1"/>
      <c r="D1565" s="1"/>
    </row>
    <row r="1566">
      <c r="A1566" s="14"/>
      <c r="B1566" s="1"/>
      <c r="C1566" s="1"/>
      <c r="D1566" s="1"/>
    </row>
    <row r="1567">
      <c r="A1567" s="14"/>
      <c r="B1567" s="1"/>
      <c r="C1567" s="1"/>
      <c r="D1567" s="1"/>
    </row>
    <row r="1568">
      <c r="A1568" s="14"/>
      <c r="B1568" s="1"/>
      <c r="C1568" s="1"/>
      <c r="D1568" s="1"/>
    </row>
    <row r="1569">
      <c r="A1569" s="14"/>
      <c r="B1569" s="1"/>
      <c r="C1569" s="1"/>
      <c r="D1569" s="1"/>
    </row>
    <row r="1570">
      <c r="A1570" s="14"/>
      <c r="B1570" s="1"/>
      <c r="C1570" s="1"/>
      <c r="D1570" s="1"/>
    </row>
    <row r="1571">
      <c r="A1571" s="14"/>
      <c r="B1571" s="1"/>
      <c r="C1571" s="1"/>
      <c r="D1571" s="1"/>
    </row>
    <row r="1572">
      <c r="A1572" s="14"/>
      <c r="B1572" s="1"/>
      <c r="C1572" s="1"/>
      <c r="D1572" s="1"/>
    </row>
    <row r="1573">
      <c r="A1573" s="14"/>
      <c r="B1573" s="1"/>
      <c r="C1573" s="1"/>
      <c r="D1573" s="1"/>
    </row>
    <row r="1574">
      <c r="A1574" s="14"/>
      <c r="B1574" s="1"/>
      <c r="C1574" s="1"/>
      <c r="D1574" s="1"/>
    </row>
    <row r="1575">
      <c r="A1575" s="14"/>
      <c r="B1575" s="1"/>
      <c r="C1575" s="1"/>
      <c r="D1575" s="1"/>
    </row>
    <row r="1576">
      <c r="A1576" s="14"/>
      <c r="B1576" s="1"/>
      <c r="C1576" s="1"/>
      <c r="D1576" s="1"/>
    </row>
    <row r="1577">
      <c r="A1577" s="14"/>
      <c r="B1577" s="1"/>
      <c r="C1577" s="1"/>
      <c r="D1577" s="1"/>
    </row>
    <row r="1578">
      <c r="A1578" s="14"/>
      <c r="B1578" s="1"/>
      <c r="C1578" s="1"/>
      <c r="D1578" s="1"/>
    </row>
    <row r="1579">
      <c r="A1579" s="14"/>
      <c r="B1579" s="1"/>
      <c r="C1579" s="1"/>
      <c r="D1579" s="1"/>
    </row>
    <row r="1580">
      <c r="A1580" s="14"/>
      <c r="B1580" s="1"/>
      <c r="C1580" s="1"/>
      <c r="D1580" s="1"/>
    </row>
    <row r="1581">
      <c r="A1581" s="14"/>
      <c r="B1581" s="1"/>
      <c r="C1581" s="1"/>
      <c r="D1581" s="1"/>
    </row>
    <row r="1582">
      <c r="A1582" s="14"/>
      <c r="B1582" s="1"/>
      <c r="C1582" s="1"/>
      <c r="D1582" s="1"/>
    </row>
    <row r="1583">
      <c r="A1583" s="14"/>
      <c r="B1583" s="1"/>
      <c r="C1583" s="1"/>
      <c r="D1583" s="1"/>
    </row>
    <row r="1584">
      <c r="A1584" s="14"/>
      <c r="B1584" s="1"/>
      <c r="C1584" s="1"/>
      <c r="D1584" s="1"/>
    </row>
    <row r="1585">
      <c r="A1585" s="14"/>
      <c r="B1585" s="1"/>
      <c r="C1585" s="1"/>
      <c r="D1585" s="1"/>
    </row>
    <row r="1586">
      <c r="A1586" s="14"/>
      <c r="B1586" s="1"/>
      <c r="C1586" s="1"/>
      <c r="D1586" s="1"/>
    </row>
    <row r="1587">
      <c r="A1587" s="14"/>
      <c r="B1587" s="1"/>
      <c r="C1587" s="1"/>
      <c r="D1587" s="1"/>
    </row>
    <row r="1588">
      <c r="A1588" s="14"/>
      <c r="B1588" s="1"/>
      <c r="C1588" s="1"/>
      <c r="D1588" s="1"/>
    </row>
    <row r="1589">
      <c r="A1589" s="14"/>
      <c r="B1589" s="1"/>
      <c r="C1589" s="1"/>
      <c r="D1589" s="1"/>
    </row>
    <row r="1590">
      <c r="A1590" s="14"/>
      <c r="B1590" s="1"/>
      <c r="C1590" s="1"/>
      <c r="D1590" s="1"/>
    </row>
    <row r="1591">
      <c r="A1591" s="14"/>
      <c r="B1591" s="1"/>
      <c r="C1591" s="1"/>
      <c r="D1591" s="1"/>
    </row>
    <row r="1592">
      <c r="A1592" s="14"/>
      <c r="B1592" s="1"/>
      <c r="C1592" s="1"/>
      <c r="D1592" s="1"/>
    </row>
    <row r="1593">
      <c r="A1593" s="14"/>
      <c r="B1593" s="1"/>
      <c r="C1593" s="1"/>
      <c r="D1593" s="1"/>
    </row>
    <row r="1594">
      <c r="A1594" s="14"/>
      <c r="B1594" s="1"/>
      <c r="C1594" s="1"/>
      <c r="D1594" s="1"/>
    </row>
    <row r="1595">
      <c r="A1595" s="14"/>
      <c r="B1595" s="1"/>
      <c r="C1595" s="1"/>
      <c r="D1595" s="1"/>
    </row>
    <row r="1596">
      <c r="A1596" s="14"/>
      <c r="B1596" s="1"/>
      <c r="C1596" s="1"/>
      <c r="D1596" s="1"/>
    </row>
    <row r="1597">
      <c r="A1597" s="14"/>
      <c r="B1597" s="1"/>
      <c r="C1597" s="1"/>
      <c r="D1597" s="1"/>
    </row>
    <row r="1598">
      <c r="A1598" s="14"/>
      <c r="B1598" s="1"/>
      <c r="C1598" s="1"/>
      <c r="D1598" s="1"/>
    </row>
    <row r="1599">
      <c r="A1599" s="14"/>
      <c r="B1599" s="1"/>
      <c r="C1599" s="1"/>
      <c r="D1599" s="1"/>
    </row>
    <row r="1600">
      <c r="A1600" s="14"/>
      <c r="B1600" s="1"/>
      <c r="C1600" s="1"/>
      <c r="D1600" s="1"/>
    </row>
    <row r="1601">
      <c r="A1601" s="14"/>
      <c r="B1601" s="1"/>
      <c r="C1601" s="1"/>
      <c r="D1601" s="1"/>
    </row>
    <row r="1602">
      <c r="A1602" s="14"/>
      <c r="B1602" s="1"/>
      <c r="C1602" s="1"/>
      <c r="D1602" s="1"/>
    </row>
    <row r="1603">
      <c r="A1603" s="14"/>
      <c r="B1603" s="1"/>
      <c r="C1603" s="1"/>
      <c r="D1603" s="1"/>
    </row>
    <row r="1604">
      <c r="A1604" s="14"/>
      <c r="B1604" s="1"/>
      <c r="C1604" s="1"/>
      <c r="D1604" s="1"/>
    </row>
    <row r="1605">
      <c r="A1605" s="14"/>
      <c r="B1605" s="1"/>
      <c r="C1605" s="1"/>
      <c r="D1605" s="1"/>
    </row>
    <row r="1606">
      <c r="A1606" s="14"/>
      <c r="B1606" s="1"/>
      <c r="C1606" s="1"/>
      <c r="D1606" s="1"/>
    </row>
    <row r="1607">
      <c r="A1607" s="14"/>
      <c r="B1607" s="1"/>
      <c r="C1607" s="1"/>
      <c r="D1607" s="1"/>
    </row>
    <row r="1608">
      <c r="A1608" s="14"/>
      <c r="B1608" s="1"/>
      <c r="C1608" s="1"/>
      <c r="D1608" s="1"/>
    </row>
    <row r="1609">
      <c r="A1609" s="14"/>
      <c r="B1609" s="1"/>
      <c r="C1609" s="1"/>
      <c r="D1609" s="1"/>
    </row>
    <row r="1610">
      <c r="A1610" s="14"/>
      <c r="B1610" s="1"/>
      <c r="C1610" s="1"/>
      <c r="D1610" s="1"/>
    </row>
    <row r="1611">
      <c r="A1611" s="14"/>
      <c r="B1611" s="1"/>
      <c r="C1611" s="1"/>
      <c r="D1611" s="1"/>
    </row>
    <row r="1612">
      <c r="A1612" s="14"/>
      <c r="B1612" s="1"/>
      <c r="C1612" s="1"/>
      <c r="D1612" s="1"/>
    </row>
    <row r="1613">
      <c r="A1613" s="14"/>
      <c r="B1613" s="1"/>
      <c r="C1613" s="1"/>
      <c r="D1613" s="1"/>
    </row>
    <row r="1614">
      <c r="A1614" s="14"/>
      <c r="B1614" s="1"/>
      <c r="C1614" s="1"/>
      <c r="D1614" s="1"/>
    </row>
    <row r="1615">
      <c r="A1615" s="14"/>
      <c r="B1615" s="1"/>
      <c r="C1615" s="1"/>
      <c r="D1615" s="1"/>
    </row>
    <row r="1616">
      <c r="A1616" s="14"/>
      <c r="B1616" s="1"/>
      <c r="C1616" s="1"/>
      <c r="D1616" s="1"/>
    </row>
    <row r="1617">
      <c r="A1617" s="14"/>
      <c r="B1617" s="1"/>
      <c r="C1617" s="1"/>
      <c r="D1617" s="1"/>
    </row>
    <row r="1618">
      <c r="A1618" s="14"/>
      <c r="B1618" s="1"/>
      <c r="C1618" s="1"/>
      <c r="D1618" s="1"/>
    </row>
    <row r="1619">
      <c r="A1619" s="14"/>
      <c r="B1619" s="1"/>
      <c r="C1619" s="1"/>
      <c r="D1619" s="1"/>
    </row>
    <row r="1620">
      <c r="A1620" s="14"/>
      <c r="B1620" s="1"/>
      <c r="C1620" s="1"/>
      <c r="D1620" s="1"/>
    </row>
    <row r="1621">
      <c r="A1621" s="14"/>
      <c r="B1621" s="1"/>
      <c r="C1621" s="1"/>
      <c r="D1621" s="1"/>
    </row>
    <row r="1622">
      <c r="A1622" s="14"/>
      <c r="B1622" s="1"/>
      <c r="C1622" s="1"/>
      <c r="D1622" s="1"/>
    </row>
    <row r="1623">
      <c r="A1623" s="14"/>
      <c r="B1623" s="1"/>
      <c r="C1623" s="1"/>
      <c r="D1623" s="1"/>
    </row>
    <row r="1624">
      <c r="A1624" s="14"/>
      <c r="B1624" s="1"/>
      <c r="C1624" s="1"/>
      <c r="D1624" s="1"/>
    </row>
    <row r="1625">
      <c r="A1625" s="14"/>
      <c r="B1625" s="1"/>
      <c r="C1625" s="1"/>
      <c r="D1625" s="1"/>
    </row>
    <row r="1626">
      <c r="A1626" s="14"/>
      <c r="B1626" s="1"/>
      <c r="C1626" s="1"/>
      <c r="D1626" s="1"/>
    </row>
    <row r="1627">
      <c r="A1627" s="14"/>
      <c r="B1627" s="1"/>
      <c r="C1627" s="1"/>
      <c r="D1627" s="1"/>
    </row>
    <row r="1628">
      <c r="A1628" s="14"/>
      <c r="B1628" s="1"/>
      <c r="C1628" s="1"/>
      <c r="D1628" s="1"/>
    </row>
    <row r="1629">
      <c r="A1629" s="14"/>
      <c r="B1629" s="1"/>
      <c r="C1629" s="1"/>
      <c r="D1629" s="1"/>
    </row>
    <row r="1630">
      <c r="A1630" s="14"/>
      <c r="B1630" s="1"/>
      <c r="C1630" s="1"/>
      <c r="D1630" s="1"/>
    </row>
    <row r="1631">
      <c r="A1631" s="14"/>
      <c r="B1631" s="1"/>
      <c r="C1631" s="1"/>
      <c r="D1631" s="1"/>
    </row>
    <row r="1632">
      <c r="A1632" s="14"/>
      <c r="B1632" s="1"/>
      <c r="C1632" s="1"/>
      <c r="D1632" s="1"/>
    </row>
    <row r="1633">
      <c r="A1633" s="14"/>
      <c r="B1633" s="1"/>
      <c r="C1633" s="1"/>
      <c r="D1633" s="1"/>
    </row>
    <row r="1634">
      <c r="A1634" s="14"/>
      <c r="B1634" s="1"/>
      <c r="C1634" s="1"/>
      <c r="D1634" s="1"/>
    </row>
    <row r="1635">
      <c r="A1635" s="14"/>
      <c r="B1635" s="1"/>
      <c r="C1635" s="1"/>
      <c r="D1635" s="1"/>
    </row>
    <row r="1636">
      <c r="A1636" s="14"/>
      <c r="B1636" s="1"/>
      <c r="C1636" s="1"/>
      <c r="D1636" s="1"/>
    </row>
    <row r="1637">
      <c r="A1637" s="14"/>
      <c r="B1637" s="1"/>
      <c r="C1637" s="1"/>
      <c r="D1637" s="1"/>
    </row>
    <row r="1638">
      <c r="A1638" s="14"/>
      <c r="B1638" s="1"/>
      <c r="C1638" s="1"/>
      <c r="D1638" s="1"/>
    </row>
    <row r="1639">
      <c r="A1639" s="14"/>
      <c r="B1639" s="1"/>
      <c r="C1639" s="1"/>
      <c r="D1639" s="1"/>
    </row>
    <row r="1640">
      <c r="A1640" s="14"/>
      <c r="B1640" s="1"/>
      <c r="C1640" s="1"/>
      <c r="D1640" s="1"/>
    </row>
    <row r="1641">
      <c r="A1641" s="14"/>
      <c r="B1641" s="1"/>
      <c r="C1641" s="1"/>
      <c r="D1641" s="1"/>
    </row>
    <row r="1642">
      <c r="A1642" s="14"/>
      <c r="B1642" s="1"/>
      <c r="C1642" s="1"/>
      <c r="D1642" s="1"/>
    </row>
    <row r="1643">
      <c r="A1643" s="14"/>
      <c r="B1643" s="1"/>
      <c r="C1643" s="1"/>
      <c r="D1643" s="1"/>
    </row>
    <row r="1644">
      <c r="A1644" s="14"/>
      <c r="B1644" s="1"/>
      <c r="C1644" s="1"/>
      <c r="D1644" s="1"/>
    </row>
    <row r="1645">
      <c r="A1645" s="14"/>
      <c r="B1645" s="1"/>
      <c r="C1645" s="1"/>
      <c r="D1645" s="1"/>
    </row>
    <row r="1646">
      <c r="A1646" s="14"/>
      <c r="B1646" s="1"/>
      <c r="C1646" s="1"/>
      <c r="D1646" s="1"/>
    </row>
    <row r="1647">
      <c r="A1647" s="14"/>
      <c r="B1647" s="1"/>
      <c r="C1647" s="1"/>
      <c r="D1647" s="1"/>
    </row>
    <row r="1648">
      <c r="A1648" s="14"/>
      <c r="B1648" s="1"/>
      <c r="C1648" s="1"/>
      <c r="D1648" s="1"/>
    </row>
    <row r="1649">
      <c r="A1649" s="14"/>
      <c r="B1649" s="1"/>
      <c r="C1649" s="1"/>
      <c r="D1649" s="1"/>
    </row>
    <row r="1650">
      <c r="A1650" s="14"/>
      <c r="B1650" s="1"/>
      <c r="C1650" s="1"/>
      <c r="D1650" s="1"/>
    </row>
    <row r="1651">
      <c r="A1651" s="14"/>
      <c r="B1651" s="1"/>
      <c r="C1651" s="1"/>
      <c r="D1651" s="1"/>
    </row>
    <row r="1652">
      <c r="A1652" s="14"/>
      <c r="B1652" s="1"/>
      <c r="C1652" s="1"/>
      <c r="D1652" s="1"/>
    </row>
    <row r="1653">
      <c r="A1653" s="14"/>
      <c r="B1653" s="1"/>
      <c r="C1653" s="1"/>
      <c r="D1653" s="1"/>
    </row>
    <row r="1654">
      <c r="A1654" s="14"/>
      <c r="B1654" s="1"/>
      <c r="C1654" s="1"/>
      <c r="D1654" s="1"/>
    </row>
    <row r="1655">
      <c r="A1655" s="14"/>
      <c r="B1655" s="1"/>
      <c r="C1655" s="1"/>
      <c r="D1655" s="1"/>
    </row>
    <row r="1656">
      <c r="A1656" s="14"/>
      <c r="B1656" s="1"/>
      <c r="C1656" s="1"/>
      <c r="D1656" s="1"/>
    </row>
    <row r="1657">
      <c r="A1657" s="14"/>
      <c r="B1657" s="1"/>
      <c r="C1657" s="1"/>
      <c r="D1657" s="1"/>
    </row>
    <row r="1658">
      <c r="A1658" s="14"/>
      <c r="B1658" s="1"/>
      <c r="C1658" s="1"/>
      <c r="D1658" s="1"/>
    </row>
    <row r="1659">
      <c r="A1659" s="14"/>
      <c r="B1659" s="1"/>
      <c r="C1659" s="1"/>
      <c r="D1659" s="1"/>
    </row>
    <row r="1660">
      <c r="A1660" s="14"/>
      <c r="B1660" s="1"/>
      <c r="C1660" s="1"/>
      <c r="D1660" s="1"/>
    </row>
    <row r="1661">
      <c r="A1661" s="14"/>
      <c r="B1661" s="1"/>
      <c r="C1661" s="1"/>
      <c r="D1661" s="1"/>
    </row>
    <row r="1662">
      <c r="A1662" s="14"/>
      <c r="B1662" s="1"/>
      <c r="C1662" s="1"/>
      <c r="D1662" s="1"/>
    </row>
    <row r="1663">
      <c r="A1663" s="14"/>
      <c r="B1663" s="1"/>
      <c r="C1663" s="1"/>
      <c r="D1663" s="1"/>
    </row>
    <row r="1664">
      <c r="A1664" s="14"/>
      <c r="B1664" s="1"/>
      <c r="C1664" s="1"/>
      <c r="D1664" s="1"/>
    </row>
    <row r="1665">
      <c r="A1665" s="14"/>
      <c r="B1665" s="1"/>
      <c r="C1665" s="1"/>
      <c r="D1665" s="1"/>
    </row>
    <row r="1666">
      <c r="A1666" s="14"/>
      <c r="B1666" s="1"/>
      <c r="C1666" s="1"/>
      <c r="D1666" s="1"/>
    </row>
    <row r="1667">
      <c r="A1667" s="14"/>
      <c r="B1667" s="1"/>
      <c r="C1667" s="1"/>
      <c r="D1667" s="1"/>
    </row>
    <row r="1668">
      <c r="A1668" s="14"/>
      <c r="B1668" s="1"/>
      <c r="C1668" s="1"/>
      <c r="D1668" s="1"/>
    </row>
    <row r="1669">
      <c r="A1669" s="14"/>
      <c r="B1669" s="1"/>
      <c r="C1669" s="1"/>
      <c r="D1669" s="1"/>
    </row>
    <row r="1670">
      <c r="A1670" s="14"/>
      <c r="B1670" s="1"/>
      <c r="C1670" s="1"/>
      <c r="D1670" s="1"/>
    </row>
    <row r="1671">
      <c r="A1671" s="14"/>
      <c r="B1671" s="1"/>
      <c r="C1671" s="1"/>
      <c r="D1671" s="1"/>
    </row>
    <row r="1672">
      <c r="A1672" s="14"/>
      <c r="B1672" s="1"/>
      <c r="C1672" s="1"/>
      <c r="D1672" s="1"/>
    </row>
    <row r="1673">
      <c r="A1673" s="14"/>
      <c r="B1673" s="1"/>
      <c r="C1673" s="1"/>
      <c r="D1673" s="1"/>
    </row>
    <row r="1674">
      <c r="A1674" s="14"/>
      <c r="B1674" s="1"/>
      <c r="C1674" s="1"/>
      <c r="D1674" s="1"/>
    </row>
    <row r="1675">
      <c r="A1675" s="14"/>
      <c r="B1675" s="1"/>
      <c r="C1675" s="1"/>
      <c r="D1675" s="1"/>
    </row>
    <row r="1676">
      <c r="A1676" s="14"/>
      <c r="B1676" s="1"/>
      <c r="C1676" s="1"/>
      <c r="D1676" s="1"/>
    </row>
    <row r="1677">
      <c r="A1677" s="14"/>
      <c r="B1677" s="1"/>
      <c r="C1677" s="1"/>
      <c r="D1677" s="1"/>
    </row>
    <row r="1678">
      <c r="A1678" s="14"/>
      <c r="B1678" s="1"/>
      <c r="C1678" s="1"/>
      <c r="D1678" s="1"/>
    </row>
    <row r="1679">
      <c r="A1679" s="14"/>
      <c r="B1679" s="1"/>
      <c r="C1679" s="1"/>
      <c r="D1679" s="1"/>
    </row>
    <row r="1680">
      <c r="A1680" s="14"/>
      <c r="B1680" s="1"/>
      <c r="C1680" s="1"/>
      <c r="D1680" s="1"/>
    </row>
    <row r="1681">
      <c r="A1681" s="14"/>
      <c r="B1681" s="1"/>
      <c r="C1681" s="1"/>
      <c r="D1681" s="1"/>
    </row>
    <row r="1682">
      <c r="A1682" s="14"/>
      <c r="B1682" s="1"/>
      <c r="C1682" s="1"/>
      <c r="D1682" s="1"/>
    </row>
    <row r="1683">
      <c r="A1683" s="14"/>
      <c r="B1683" s="1"/>
      <c r="C1683" s="1"/>
      <c r="D1683" s="1"/>
    </row>
    <row r="1684">
      <c r="A1684" s="14"/>
      <c r="B1684" s="1"/>
      <c r="C1684" s="1"/>
      <c r="D1684" s="1"/>
    </row>
    <row r="1685">
      <c r="A1685" s="14"/>
      <c r="B1685" s="1"/>
      <c r="C1685" s="1"/>
      <c r="D1685" s="1"/>
    </row>
    <row r="1686">
      <c r="A1686" s="14"/>
      <c r="B1686" s="1"/>
      <c r="C1686" s="1"/>
      <c r="D1686" s="1"/>
    </row>
    <row r="1687">
      <c r="A1687" s="14"/>
      <c r="B1687" s="1"/>
      <c r="C1687" s="1"/>
      <c r="D1687" s="1"/>
    </row>
    <row r="1688">
      <c r="A1688" s="14"/>
      <c r="B1688" s="1"/>
      <c r="C1688" s="1"/>
      <c r="D1688" s="1"/>
    </row>
    <row r="1689">
      <c r="A1689" s="14"/>
      <c r="B1689" s="1"/>
      <c r="C1689" s="1"/>
      <c r="D1689" s="1"/>
    </row>
    <row r="1690">
      <c r="A1690" s="14"/>
      <c r="B1690" s="1"/>
      <c r="C1690" s="1"/>
      <c r="D1690" s="1"/>
    </row>
    <row r="1691">
      <c r="A1691" s="14"/>
      <c r="B1691" s="1"/>
      <c r="C1691" s="1"/>
      <c r="D1691" s="1"/>
    </row>
    <row r="1692">
      <c r="A1692" s="14"/>
      <c r="B1692" s="1"/>
      <c r="C1692" s="1"/>
      <c r="D1692" s="1"/>
    </row>
    <row r="1693">
      <c r="A1693" s="14"/>
      <c r="B1693" s="1"/>
      <c r="C1693" s="1"/>
      <c r="D1693" s="1"/>
    </row>
    <row r="1694">
      <c r="A1694" s="14"/>
      <c r="B1694" s="1"/>
      <c r="C1694" s="1"/>
      <c r="D1694" s="1"/>
    </row>
    <row r="1695">
      <c r="A1695" s="14"/>
      <c r="B1695" s="1"/>
      <c r="C1695" s="1"/>
      <c r="D1695" s="1"/>
    </row>
    <row r="1696">
      <c r="A1696" s="14"/>
      <c r="B1696" s="1"/>
      <c r="C1696" s="1"/>
      <c r="D1696" s="1"/>
    </row>
    <row r="1697">
      <c r="A1697" s="14"/>
      <c r="B1697" s="1"/>
      <c r="C1697" s="1"/>
      <c r="D1697" s="1"/>
    </row>
    <row r="1698">
      <c r="A1698" s="14"/>
      <c r="B1698" s="1"/>
      <c r="C1698" s="1"/>
      <c r="D1698" s="1"/>
    </row>
    <row r="1699">
      <c r="A1699" s="14"/>
      <c r="B1699" s="1"/>
      <c r="C1699" s="1"/>
      <c r="D1699" s="1"/>
    </row>
    <row r="1700">
      <c r="A1700" s="14"/>
      <c r="B1700" s="1"/>
      <c r="C1700" s="1"/>
      <c r="D1700" s="1"/>
    </row>
    <row r="1701">
      <c r="A1701" s="14"/>
      <c r="B1701" s="1"/>
      <c r="C1701" s="1"/>
      <c r="D1701" s="1"/>
    </row>
    <row r="1702">
      <c r="A1702" s="14"/>
      <c r="B1702" s="1"/>
      <c r="C1702" s="1"/>
      <c r="D1702" s="1"/>
    </row>
    <row r="1703">
      <c r="A1703" s="14"/>
      <c r="B1703" s="1"/>
      <c r="C1703" s="1"/>
      <c r="D1703" s="1"/>
    </row>
    <row r="1704">
      <c r="A1704" s="14"/>
      <c r="B1704" s="1"/>
      <c r="C1704" s="1"/>
      <c r="D1704" s="1"/>
    </row>
    <row r="1705">
      <c r="A1705" s="14"/>
      <c r="B1705" s="1"/>
      <c r="C1705" s="1"/>
      <c r="D1705" s="1"/>
    </row>
    <row r="1706">
      <c r="A1706" s="14"/>
      <c r="B1706" s="1"/>
      <c r="C1706" s="1"/>
      <c r="D1706" s="1"/>
    </row>
    <row r="1707">
      <c r="A1707" s="14"/>
      <c r="B1707" s="1"/>
      <c r="C1707" s="1"/>
      <c r="D1707" s="1"/>
    </row>
    <row r="1708">
      <c r="A1708" s="14"/>
      <c r="B1708" s="1"/>
      <c r="C1708" s="1"/>
      <c r="D1708" s="1"/>
    </row>
    <row r="1709">
      <c r="A1709" s="14"/>
      <c r="B1709" s="1"/>
      <c r="C1709" s="1"/>
      <c r="D1709" s="1"/>
    </row>
    <row r="1710">
      <c r="A1710" s="14"/>
      <c r="B1710" s="1"/>
      <c r="C1710" s="1"/>
      <c r="D1710" s="1"/>
    </row>
    <row r="1711">
      <c r="A1711" s="14"/>
      <c r="B1711" s="1"/>
      <c r="C1711" s="1"/>
      <c r="D1711" s="1"/>
    </row>
    <row r="1712">
      <c r="A1712" s="14"/>
      <c r="B1712" s="1"/>
      <c r="C1712" s="1"/>
      <c r="D1712" s="1"/>
    </row>
    <row r="1713">
      <c r="A1713" s="14"/>
      <c r="B1713" s="1"/>
      <c r="C1713" s="1"/>
      <c r="D1713" s="1"/>
    </row>
    <row r="1714">
      <c r="A1714" s="14"/>
      <c r="B1714" s="1"/>
      <c r="C1714" s="1"/>
      <c r="D1714" s="1"/>
    </row>
    <row r="1715">
      <c r="A1715" s="14"/>
      <c r="B1715" s="1"/>
      <c r="C1715" s="1"/>
      <c r="D1715" s="1"/>
    </row>
    <row r="1716">
      <c r="A1716" s="14"/>
      <c r="B1716" s="1"/>
      <c r="C1716" s="1"/>
      <c r="D1716" s="1"/>
    </row>
    <row r="1717">
      <c r="A1717" s="14"/>
      <c r="B1717" s="1"/>
      <c r="C1717" s="1"/>
      <c r="D1717" s="1"/>
    </row>
    <row r="1718">
      <c r="A1718" s="14"/>
      <c r="B1718" s="1"/>
      <c r="C1718" s="1"/>
      <c r="D1718" s="1"/>
    </row>
    <row r="1719">
      <c r="A1719" s="14"/>
      <c r="B1719" s="1"/>
      <c r="C1719" s="1"/>
      <c r="D1719" s="1"/>
    </row>
    <row r="1720">
      <c r="A1720" s="14"/>
      <c r="B1720" s="1"/>
      <c r="C1720" s="1"/>
      <c r="D1720" s="1"/>
    </row>
    <row r="1721">
      <c r="A1721" s="14"/>
      <c r="B1721" s="1"/>
      <c r="C1721" s="1"/>
      <c r="D1721" s="1"/>
    </row>
    <row r="1722">
      <c r="A1722" s="14"/>
      <c r="B1722" s="1"/>
      <c r="C1722" s="1"/>
      <c r="D1722" s="1"/>
    </row>
    <row r="1723">
      <c r="A1723" s="14"/>
      <c r="B1723" s="1"/>
      <c r="C1723" s="1"/>
      <c r="D1723" s="1"/>
    </row>
    <row r="1724">
      <c r="A1724" s="14"/>
      <c r="B1724" s="1"/>
      <c r="C1724" s="1"/>
      <c r="D1724" s="1"/>
    </row>
    <row r="1725">
      <c r="A1725" s="14"/>
      <c r="B1725" s="1"/>
      <c r="C1725" s="1"/>
      <c r="D1725" s="1"/>
    </row>
    <row r="1726">
      <c r="A1726" s="14"/>
      <c r="B1726" s="1"/>
      <c r="C1726" s="1"/>
      <c r="D1726" s="1"/>
    </row>
    <row r="1727">
      <c r="A1727" s="14"/>
      <c r="B1727" s="1"/>
      <c r="C1727" s="1"/>
      <c r="D1727" s="1"/>
    </row>
    <row r="1728">
      <c r="A1728" s="14"/>
      <c r="B1728" s="1"/>
      <c r="C1728" s="1"/>
      <c r="D1728" s="1"/>
    </row>
    <row r="1729">
      <c r="A1729" s="14"/>
      <c r="B1729" s="1"/>
      <c r="C1729" s="1"/>
      <c r="D1729" s="1"/>
    </row>
    <row r="1730">
      <c r="A1730" s="14"/>
      <c r="B1730" s="1"/>
      <c r="C1730" s="1"/>
      <c r="D1730" s="1"/>
    </row>
    <row r="1731">
      <c r="A1731" s="14"/>
      <c r="B1731" s="1"/>
      <c r="C1731" s="1"/>
      <c r="D1731" s="1"/>
    </row>
    <row r="1732">
      <c r="A1732" s="14"/>
      <c r="B1732" s="1"/>
      <c r="C1732" s="1"/>
      <c r="D1732" s="1"/>
    </row>
    <row r="1733">
      <c r="A1733" s="14"/>
      <c r="B1733" s="1"/>
      <c r="C1733" s="1"/>
      <c r="D1733" s="1"/>
    </row>
    <row r="1734">
      <c r="A1734" s="14"/>
      <c r="B1734" s="1"/>
      <c r="C1734" s="1"/>
      <c r="D1734" s="1"/>
    </row>
    <row r="1735">
      <c r="A1735" s="14"/>
      <c r="B1735" s="1"/>
      <c r="C1735" s="1"/>
      <c r="D1735" s="1"/>
    </row>
    <row r="1736">
      <c r="A1736" s="14"/>
      <c r="B1736" s="1"/>
      <c r="C1736" s="1"/>
      <c r="D1736" s="1"/>
    </row>
    <row r="1737">
      <c r="A1737" s="14"/>
      <c r="B1737" s="1"/>
      <c r="C1737" s="1"/>
      <c r="D1737" s="1"/>
    </row>
    <row r="1738">
      <c r="A1738" s="14"/>
      <c r="B1738" s="1"/>
      <c r="C1738" s="1"/>
      <c r="D1738" s="1"/>
    </row>
    <row r="1739">
      <c r="A1739" s="14"/>
      <c r="B1739" s="1"/>
      <c r="C1739" s="1"/>
      <c r="D1739" s="1"/>
    </row>
    <row r="1740">
      <c r="A1740" s="14"/>
      <c r="B1740" s="1"/>
      <c r="C1740" s="1"/>
      <c r="D1740" s="1"/>
    </row>
    <row r="1741">
      <c r="A1741" s="14"/>
      <c r="B1741" s="1"/>
      <c r="C1741" s="1"/>
      <c r="D1741" s="1"/>
    </row>
    <row r="1742">
      <c r="A1742" s="14"/>
      <c r="B1742" s="1"/>
      <c r="C1742" s="1"/>
      <c r="D1742" s="1"/>
    </row>
    <row r="1743">
      <c r="A1743" s="14"/>
      <c r="B1743" s="1"/>
      <c r="C1743" s="1"/>
      <c r="D1743" s="1"/>
    </row>
    <row r="1744">
      <c r="A1744" s="14"/>
      <c r="B1744" s="1"/>
      <c r="C1744" s="1"/>
      <c r="D1744" s="1"/>
    </row>
    <row r="1745">
      <c r="A1745" s="14"/>
      <c r="B1745" s="1"/>
      <c r="C1745" s="1"/>
      <c r="D1745" s="1"/>
    </row>
    <row r="1746">
      <c r="A1746" s="14"/>
      <c r="B1746" s="1"/>
      <c r="C1746" s="1"/>
      <c r="D1746" s="1"/>
    </row>
    <row r="1747">
      <c r="A1747" s="14"/>
      <c r="B1747" s="1"/>
      <c r="C1747" s="1"/>
      <c r="D1747" s="1"/>
    </row>
    <row r="1748">
      <c r="A1748" s="14"/>
      <c r="B1748" s="1"/>
      <c r="C1748" s="1"/>
      <c r="D1748" s="1"/>
    </row>
    <row r="1749">
      <c r="A1749" s="14"/>
      <c r="B1749" s="1"/>
      <c r="C1749" s="1"/>
      <c r="D1749" s="1"/>
    </row>
    <row r="1750">
      <c r="A1750" s="14"/>
      <c r="B1750" s="1"/>
      <c r="C1750" s="1"/>
      <c r="D1750" s="1"/>
    </row>
    <row r="1751">
      <c r="A1751" s="14"/>
      <c r="B1751" s="1"/>
      <c r="C1751" s="1"/>
      <c r="D1751" s="1"/>
    </row>
    <row r="1752">
      <c r="A1752" s="14"/>
      <c r="B1752" s="1"/>
      <c r="C1752" s="1"/>
      <c r="D1752" s="1"/>
    </row>
    <row r="1753">
      <c r="A1753" s="14"/>
      <c r="B1753" s="1"/>
      <c r="C1753" s="1"/>
      <c r="D1753" s="1"/>
    </row>
    <row r="1754">
      <c r="A1754" s="14"/>
      <c r="B1754" s="1"/>
      <c r="C1754" s="1"/>
      <c r="D1754" s="1"/>
    </row>
    <row r="1755">
      <c r="A1755" s="14"/>
      <c r="B1755" s="1"/>
      <c r="C1755" s="1"/>
      <c r="D1755" s="1"/>
    </row>
    <row r="1756">
      <c r="A1756" s="14"/>
      <c r="B1756" s="1"/>
      <c r="C1756" s="1"/>
      <c r="D1756" s="1"/>
    </row>
    <row r="1757">
      <c r="A1757" s="14"/>
      <c r="B1757" s="1"/>
      <c r="C1757" s="1"/>
      <c r="D1757" s="1"/>
    </row>
    <row r="1758">
      <c r="A1758" s="14"/>
      <c r="B1758" s="1"/>
      <c r="C1758" s="1"/>
      <c r="D1758" s="1"/>
    </row>
    <row r="1759">
      <c r="A1759" s="14"/>
      <c r="B1759" s="1"/>
      <c r="C1759" s="1"/>
      <c r="D1759" s="1"/>
    </row>
    <row r="1760">
      <c r="A1760" s="14"/>
      <c r="B1760" s="1"/>
      <c r="C1760" s="1"/>
      <c r="D1760" s="1"/>
    </row>
    <row r="1761">
      <c r="A1761" s="14"/>
      <c r="B1761" s="1"/>
      <c r="C1761" s="1"/>
      <c r="D1761" s="1"/>
    </row>
    <row r="1762">
      <c r="A1762" s="14"/>
      <c r="B1762" s="1"/>
      <c r="C1762" s="1"/>
      <c r="D1762" s="1"/>
    </row>
    <row r="1763">
      <c r="A1763" s="14"/>
      <c r="B1763" s="1"/>
      <c r="C1763" s="1"/>
      <c r="D1763" s="1"/>
    </row>
    <row r="1764">
      <c r="A1764" s="14"/>
      <c r="B1764" s="1"/>
      <c r="C1764" s="1"/>
      <c r="D1764" s="1"/>
    </row>
    <row r="1765">
      <c r="A1765" s="14"/>
      <c r="B1765" s="1"/>
      <c r="C1765" s="1"/>
      <c r="D1765" s="1"/>
    </row>
    <row r="1766">
      <c r="A1766" s="14"/>
      <c r="B1766" s="1"/>
      <c r="C1766" s="1"/>
      <c r="D1766" s="1"/>
    </row>
    <row r="1767">
      <c r="A1767" s="14"/>
      <c r="B1767" s="1"/>
      <c r="C1767" s="1"/>
      <c r="D1767" s="1"/>
    </row>
    <row r="1768">
      <c r="A1768" s="14"/>
      <c r="B1768" s="1"/>
      <c r="C1768" s="1"/>
      <c r="D1768" s="1"/>
    </row>
    <row r="1769">
      <c r="A1769" s="14"/>
      <c r="B1769" s="1"/>
      <c r="C1769" s="1"/>
      <c r="D1769" s="1"/>
    </row>
    <row r="1770">
      <c r="A1770" s="14"/>
      <c r="B1770" s="1"/>
      <c r="C1770" s="1"/>
      <c r="D1770" s="1"/>
    </row>
    <row r="1771">
      <c r="A1771" s="14"/>
      <c r="B1771" s="1"/>
      <c r="C1771" s="1"/>
      <c r="D1771" s="1"/>
    </row>
    <row r="1772">
      <c r="A1772" s="14"/>
      <c r="B1772" s="1"/>
      <c r="C1772" s="1"/>
      <c r="D1772" s="1"/>
    </row>
    <row r="1773">
      <c r="A1773" s="14"/>
      <c r="B1773" s="1"/>
      <c r="C1773" s="1"/>
      <c r="D1773" s="1"/>
    </row>
    <row r="1774">
      <c r="A1774" s="14"/>
      <c r="B1774" s="1"/>
      <c r="C1774" s="1"/>
      <c r="D1774" s="1"/>
    </row>
    <row r="1775">
      <c r="A1775" s="14"/>
      <c r="B1775" s="1"/>
      <c r="C1775" s="1"/>
      <c r="D1775" s="1"/>
    </row>
    <row r="1776">
      <c r="A1776" s="14"/>
      <c r="B1776" s="1"/>
      <c r="C1776" s="1"/>
      <c r="D1776" s="1"/>
    </row>
    <row r="1777">
      <c r="A1777" s="14"/>
      <c r="B1777" s="1"/>
      <c r="C1777" s="1"/>
      <c r="D1777" s="1"/>
    </row>
    <row r="1778">
      <c r="A1778" s="14"/>
      <c r="B1778" s="1"/>
      <c r="C1778" s="1"/>
      <c r="D1778" s="1"/>
    </row>
    <row r="1779">
      <c r="A1779" s="14"/>
      <c r="B1779" s="1"/>
      <c r="C1779" s="1"/>
      <c r="D1779" s="1"/>
    </row>
    <row r="1780">
      <c r="A1780" s="14"/>
      <c r="B1780" s="1"/>
      <c r="C1780" s="1"/>
      <c r="D1780" s="1"/>
    </row>
    <row r="1781">
      <c r="A1781" s="14"/>
      <c r="B1781" s="1"/>
      <c r="C1781" s="1"/>
      <c r="D1781" s="1"/>
    </row>
    <row r="1782">
      <c r="A1782" s="14"/>
      <c r="B1782" s="1"/>
      <c r="C1782" s="1"/>
      <c r="D1782" s="1"/>
    </row>
    <row r="1783">
      <c r="A1783" s="14"/>
      <c r="B1783" s="1"/>
      <c r="C1783" s="1"/>
      <c r="D1783" s="1"/>
    </row>
    <row r="1784">
      <c r="A1784" s="14"/>
      <c r="B1784" s="1"/>
      <c r="C1784" s="1"/>
      <c r="D1784" s="1"/>
    </row>
    <row r="1785">
      <c r="A1785" s="14"/>
      <c r="B1785" s="1"/>
      <c r="C1785" s="1"/>
      <c r="D1785" s="1"/>
    </row>
    <row r="1786">
      <c r="A1786" s="14"/>
      <c r="B1786" s="1"/>
      <c r="C1786" s="1"/>
      <c r="D1786" s="1"/>
    </row>
    <row r="1787">
      <c r="A1787" s="14"/>
      <c r="B1787" s="1"/>
      <c r="C1787" s="1"/>
      <c r="D1787" s="1"/>
    </row>
    <row r="1788">
      <c r="A1788" s="14"/>
      <c r="B1788" s="1"/>
      <c r="C1788" s="1"/>
      <c r="D1788" s="1"/>
    </row>
    <row r="1789">
      <c r="A1789" s="14"/>
      <c r="B1789" s="1"/>
      <c r="C1789" s="1"/>
      <c r="D1789" s="1"/>
    </row>
    <row r="1790">
      <c r="A1790" s="14"/>
      <c r="B1790" s="1"/>
      <c r="C1790" s="1"/>
      <c r="D1790" s="1"/>
    </row>
    <row r="1791">
      <c r="A1791" s="14"/>
      <c r="B1791" s="1"/>
      <c r="C1791" s="1"/>
      <c r="D1791" s="1"/>
    </row>
    <row r="1792">
      <c r="A1792" s="14"/>
      <c r="B1792" s="1"/>
      <c r="C1792" s="1"/>
      <c r="D1792" s="1"/>
    </row>
    <row r="1793">
      <c r="A1793" s="14"/>
      <c r="B1793" s="1"/>
      <c r="C1793" s="1"/>
      <c r="D1793" s="1"/>
    </row>
    <row r="1794">
      <c r="A1794" s="14"/>
      <c r="B1794" s="1"/>
      <c r="C1794" s="1"/>
      <c r="D1794" s="1"/>
    </row>
    <row r="1795">
      <c r="A1795" s="14"/>
      <c r="B1795" s="1"/>
      <c r="C1795" s="1"/>
      <c r="D1795" s="1"/>
    </row>
    <row r="1796">
      <c r="A1796" s="14"/>
      <c r="B1796" s="1"/>
      <c r="C1796" s="1"/>
      <c r="D1796" s="1"/>
    </row>
    <row r="1797">
      <c r="A1797" s="14"/>
      <c r="B1797" s="1"/>
      <c r="C1797" s="1"/>
      <c r="D1797" s="1"/>
    </row>
    <row r="1798">
      <c r="A1798" s="14"/>
      <c r="B1798" s="1"/>
      <c r="C1798" s="1"/>
      <c r="D1798" s="1"/>
    </row>
    <row r="1799">
      <c r="A1799" s="14"/>
      <c r="B1799" s="1"/>
      <c r="C1799" s="1"/>
      <c r="D1799" s="1"/>
    </row>
    <row r="1800">
      <c r="A1800" s="14"/>
      <c r="B1800" s="1"/>
      <c r="C1800" s="1"/>
      <c r="D1800" s="1"/>
    </row>
    <row r="1801">
      <c r="A1801" s="14"/>
      <c r="B1801" s="1"/>
      <c r="C1801" s="1"/>
      <c r="D1801" s="1"/>
    </row>
    <row r="1802">
      <c r="A1802" s="14"/>
      <c r="B1802" s="1"/>
      <c r="C1802" s="1"/>
      <c r="D1802" s="1"/>
    </row>
    <row r="1803">
      <c r="A1803" s="14"/>
      <c r="B1803" s="1"/>
      <c r="C1803" s="1"/>
      <c r="D1803" s="1"/>
    </row>
    <row r="1804">
      <c r="A1804" s="14"/>
      <c r="B1804" s="1"/>
      <c r="C1804" s="1"/>
      <c r="D1804" s="1"/>
    </row>
    <row r="1805">
      <c r="A1805" s="14"/>
      <c r="B1805" s="1"/>
      <c r="C1805" s="1"/>
      <c r="D1805" s="1"/>
    </row>
    <row r="1806">
      <c r="A1806" s="14"/>
      <c r="B1806" s="1"/>
      <c r="C1806" s="1"/>
      <c r="D1806" s="1"/>
    </row>
    <row r="1807">
      <c r="A1807" s="14"/>
      <c r="B1807" s="1"/>
      <c r="C1807" s="1"/>
      <c r="D1807" s="1"/>
    </row>
    <row r="1808">
      <c r="A1808" s="14"/>
      <c r="B1808" s="1"/>
      <c r="C1808" s="1"/>
      <c r="D1808" s="1"/>
    </row>
    <row r="1809">
      <c r="A1809" s="14"/>
      <c r="B1809" s="1"/>
      <c r="C1809" s="1"/>
      <c r="D1809" s="1"/>
    </row>
    <row r="1810">
      <c r="A1810" s="14"/>
      <c r="B1810" s="1"/>
      <c r="C1810" s="1"/>
      <c r="D1810" s="1"/>
    </row>
    <row r="1811">
      <c r="A1811" s="14"/>
      <c r="B1811" s="1"/>
      <c r="C1811" s="1"/>
      <c r="D1811" s="1"/>
    </row>
    <row r="1812">
      <c r="A1812" s="14"/>
      <c r="B1812" s="1"/>
      <c r="C1812" s="1"/>
      <c r="D1812" s="1"/>
    </row>
    <row r="1813">
      <c r="A1813" s="14"/>
      <c r="B1813" s="1"/>
      <c r="C1813" s="1"/>
      <c r="D1813" s="1"/>
    </row>
    <row r="1814">
      <c r="A1814" s="14"/>
      <c r="B1814" s="1"/>
      <c r="C1814" s="1"/>
      <c r="D1814" s="1"/>
    </row>
    <row r="1815">
      <c r="A1815" s="14"/>
      <c r="B1815" s="1"/>
      <c r="C1815" s="1"/>
      <c r="D1815" s="1"/>
    </row>
    <row r="1816">
      <c r="A1816" s="14"/>
      <c r="B1816" s="1"/>
      <c r="C1816" s="1"/>
      <c r="D1816" s="1"/>
    </row>
    <row r="1817">
      <c r="A1817" s="14"/>
      <c r="B1817" s="1"/>
      <c r="C1817" s="1"/>
      <c r="D1817" s="1"/>
    </row>
    <row r="1818">
      <c r="A1818" s="14"/>
      <c r="B1818" s="1"/>
      <c r="C1818" s="1"/>
      <c r="D1818" s="1"/>
    </row>
    <row r="1819">
      <c r="A1819" s="14"/>
      <c r="B1819" s="1"/>
      <c r="C1819" s="1"/>
      <c r="D1819" s="1"/>
    </row>
    <row r="1820">
      <c r="A1820" s="14"/>
      <c r="B1820" s="1"/>
      <c r="C1820" s="1"/>
      <c r="D1820" s="1"/>
    </row>
    <row r="1821">
      <c r="A1821" s="14"/>
      <c r="B1821" s="1"/>
      <c r="C1821" s="1"/>
      <c r="D1821" s="1"/>
    </row>
    <row r="1822">
      <c r="A1822" s="14"/>
      <c r="B1822" s="1"/>
      <c r="C1822" s="1"/>
      <c r="D1822" s="1"/>
    </row>
    <row r="1823">
      <c r="A1823" s="14"/>
      <c r="B1823" s="1"/>
      <c r="C1823" s="1"/>
      <c r="D1823" s="1"/>
    </row>
    <row r="1824">
      <c r="A1824" s="14"/>
      <c r="B1824" s="1"/>
      <c r="C1824" s="1"/>
      <c r="D1824" s="1"/>
    </row>
    <row r="1825">
      <c r="A1825" s="14"/>
      <c r="B1825" s="1"/>
      <c r="C1825" s="1"/>
      <c r="D1825" s="1"/>
    </row>
    <row r="1826">
      <c r="A1826" s="14"/>
      <c r="B1826" s="1"/>
      <c r="C1826" s="1"/>
      <c r="D1826" s="1"/>
    </row>
    <row r="1827">
      <c r="A1827" s="14"/>
      <c r="B1827" s="1"/>
      <c r="C1827" s="1"/>
      <c r="D1827" s="1"/>
    </row>
    <row r="1828">
      <c r="A1828" s="14"/>
      <c r="B1828" s="1"/>
      <c r="C1828" s="1"/>
      <c r="D1828" s="1"/>
    </row>
    <row r="1829">
      <c r="A1829" s="14"/>
      <c r="B1829" s="1"/>
      <c r="C1829" s="1"/>
      <c r="D1829" s="1"/>
    </row>
    <row r="1830">
      <c r="A1830" s="14"/>
      <c r="B1830" s="1"/>
      <c r="C1830" s="1"/>
      <c r="D1830" s="1"/>
    </row>
    <row r="1831">
      <c r="A1831" s="14"/>
      <c r="B1831" s="1"/>
      <c r="C1831" s="1"/>
      <c r="D1831" s="1"/>
    </row>
    <row r="1832">
      <c r="A1832" s="14"/>
      <c r="B1832" s="1"/>
      <c r="C1832" s="1"/>
      <c r="D1832" s="1"/>
    </row>
    <row r="1833">
      <c r="A1833" s="14"/>
      <c r="B1833" s="1"/>
      <c r="C1833" s="1"/>
      <c r="D1833" s="1"/>
    </row>
    <row r="1834">
      <c r="A1834" s="14"/>
      <c r="B1834" s="1"/>
      <c r="C1834" s="1"/>
      <c r="D1834" s="1"/>
    </row>
    <row r="1835">
      <c r="A1835" s="14"/>
      <c r="B1835" s="1"/>
      <c r="C1835" s="1"/>
      <c r="D1835" s="1"/>
    </row>
    <row r="1836">
      <c r="A1836" s="14"/>
      <c r="B1836" s="1"/>
      <c r="C1836" s="1"/>
      <c r="D1836" s="1"/>
    </row>
    <row r="1837">
      <c r="A1837" s="14"/>
      <c r="B1837" s="1"/>
      <c r="C1837" s="1"/>
      <c r="D1837" s="1"/>
    </row>
    <row r="1838">
      <c r="A1838" s="14"/>
      <c r="B1838" s="1"/>
      <c r="C1838" s="1"/>
      <c r="D1838" s="1"/>
    </row>
    <row r="1839">
      <c r="A1839" s="14"/>
      <c r="B1839" s="1"/>
      <c r="C1839" s="1"/>
      <c r="D1839" s="1"/>
    </row>
    <row r="1840">
      <c r="A1840" s="14"/>
      <c r="B1840" s="1"/>
      <c r="C1840" s="1"/>
      <c r="D1840" s="1"/>
    </row>
    <row r="1841">
      <c r="A1841" s="14"/>
      <c r="B1841" s="1"/>
      <c r="C1841" s="1"/>
      <c r="D1841" s="1"/>
    </row>
    <row r="1842">
      <c r="A1842" s="14"/>
      <c r="B1842" s="1"/>
      <c r="C1842" s="1"/>
      <c r="D1842" s="1"/>
    </row>
    <row r="1843">
      <c r="A1843" s="14"/>
      <c r="B1843" s="1"/>
      <c r="C1843" s="1"/>
      <c r="D1843" s="1"/>
    </row>
    <row r="1844">
      <c r="A1844" s="14"/>
      <c r="B1844" s="1"/>
      <c r="C1844" s="1"/>
      <c r="D1844" s="1"/>
    </row>
    <row r="1845">
      <c r="A1845" s="14"/>
      <c r="B1845" s="1"/>
      <c r="C1845" s="1"/>
      <c r="D1845" s="1"/>
    </row>
    <row r="1846">
      <c r="A1846" s="14"/>
      <c r="B1846" s="1"/>
      <c r="C1846" s="1"/>
      <c r="D1846" s="1"/>
    </row>
    <row r="1847">
      <c r="A1847" s="14"/>
      <c r="B1847" s="1"/>
      <c r="C1847" s="1"/>
      <c r="D1847" s="1"/>
    </row>
    <row r="1848">
      <c r="A1848" s="14"/>
      <c r="B1848" s="1"/>
      <c r="C1848" s="1"/>
      <c r="D1848" s="1"/>
    </row>
    <row r="1849">
      <c r="A1849" s="14"/>
      <c r="B1849" s="1"/>
      <c r="C1849" s="1"/>
      <c r="D1849" s="1"/>
    </row>
    <row r="1850">
      <c r="A1850" s="14"/>
      <c r="B1850" s="1"/>
      <c r="C1850" s="1"/>
      <c r="D1850" s="1"/>
    </row>
    <row r="1851">
      <c r="A1851" s="14"/>
      <c r="B1851" s="1"/>
      <c r="C1851" s="1"/>
      <c r="D1851" s="1"/>
    </row>
    <row r="1852">
      <c r="A1852" s="14"/>
      <c r="B1852" s="1"/>
      <c r="C1852" s="1"/>
      <c r="D1852" s="1"/>
    </row>
    <row r="1853">
      <c r="A1853" s="14"/>
      <c r="B1853" s="1"/>
      <c r="C1853" s="1"/>
      <c r="D1853" s="1"/>
    </row>
    <row r="1854">
      <c r="A1854" s="14"/>
      <c r="B1854" s="1"/>
      <c r="C1854" s="1"/>
      <c r="D1854" s="1"/>
    </row>
    <row r="1855">
      <c r="A1855" s="14"/>
      <c r="B1855" s="1"/>
      <c r="C1855" s="1"/>
      <c r="D1855" s="1"/>
    </row>
    <row r="1856">
      <c r="A1856" s="14"/>
      <c r="B1856" s="1"/>
      <c r="C1856" s="1"/>
      <c r="D1856" s="1"/>
    </row>
    <row r="1857">
      <c r="A1857" s="14"/>
      <c r="B1857" s="1"/>
      <c r="C1857" s="1"/>
      <c r="D1857" s="1"/>
    </row>
    <row r="1858">
      <c r="A1858" s="14"/>
      <c r="B1858" s="1"/>
      <c r="C1858" s="1"/>
      <c r="D1858" s="1"/>
    </row>
    <row r="1859">
      <c r="A1859" s="14"/>
      <c r="B1859" s="1"/>
      <c r="C1859" s="1"/>
      <c r="D1859" s="1"/>
    </row>
    <row r="1860">
      <c r="A1860" s="14"/>
      <c r="B1860" s="1"/>
      <c r="C1860" s="1"/>
      <c r="D1860" s="1"/>
    </row>
    <row r="1861">
      <c r="A1861" s="14"/>
      <c r="B1861" s="1"/>
      <c r="C1861" s="1"/>
      <c r="D1861" s="1"/>
    </row>
    <row r="1862">
      <c r="A1862" s="14"/>
      <c r="B1862" s="1"/>
      <c r="C1862" s="1"/>
      <c r="D1862" s="1"/>
    </row>
    <row r="1863">
      <c r="A1863" s="14"/>
      <c r="B1863" s="1"/>
      <c r="C1863" s="1"/>
      <c r="D1863" s="1"/>
    </row>
    <row r="1864">
      <c r="A1864" s="14"/>
      <c r="B1864" s="1"/>
      <c r="C1864" s="1"/>
      <c r="D1864" s="1"/>
    </row>
    <row r="1865">
      <c r="A1865" s="14"/>
      <c r="B1865" s="1"/>
      <c r="C1865" s="1"/>
      <c r="D1865" s="1"/>
    </row>
    <row r="1866">
      <c r="A1866" s="14"/>
      <c r="B1866" s="1"/>
      <c r="C1866" s="1"/>
      <c r="D1866" s="1"/>
    </row>
    <row r="1867">
      <c r="A1867" s="14"/>
      <c r="B1867" s="1"/>
      <c r="C1867" s="1"/>
      <c r="D1867" s="1"/>
    </row>
    <row r="1868">
      <c r="A1868" s="14"/>
      <c r="B1868" s="1"/>
      <c r="C1868" s="1"/>
      <c r="D1868" s="1"/>
    </row>
    <row r="1869">
      <c r="A1869" s="14"/>
      <c r="B1869" s="1"/>
      <c r="C1869" s="1"/>
      <c r="D1869" s="1"/>
    </row>
    <row r="1870">
      <c r="A1870" s="14"/>
      <c r="B1870" s="1"/>
      <c r="C1870" s="1"/>
      <c r="D1870" s="1"/>
    </row>
    <row r="1871">
      <c r="A1871" s="14"/>
      <c r="B1871" s="1"/>
      <c r="C1871" s="1"/>
      <c r="D1871" s="1"/>
    </row>
    <row r="1872">
      <c r="A1872" s="14"/>
      <c r="B1872" s="1"/>
      <c r="C1872" s="1"/>
      <c r="D1872" s="1"/>
    </row>
    <row r="1873">
      <c r="A1873" s="14"/>
      <c r="B1873" s="1"/>
      <c r="C1873" s="1"/>
      <c r="D1873" s="1"/>
    </row>
    <row r="1874">
      <c r="A1874" s="14"/>
      <c r="B1874" s="1"/>
      <c r="C1874" s="1"/>
      <c r="D1874" s="1"/>
    </row>
    <row r="1875">
      <c r="A1875" s="14"/>
      <c r="B1875" s="1"/>
      <c r="C1875" s="1"/>
      <c r="D1875" s="1"/>
    </row>
    <row r="1876">
      <c r="A1876" s="14"/>
      <c r="B1876" s="1"/>
      <c r="C1876" s="1"/>
      <c r="D1876" s="1"/>
    </row>
    <row r="1877">
      <c r="A1877" s="14"/>
      <c r="B1877" s="1"/>
      <c r="C1877" s="1"/>
      <c r="D1877" s="1"/>
    </row>
    <row r="1878">
      <c r="A1878" s="14"/>
      <c r="B1878" s="1"/>
      <c r="C1878" s="1"/>
      <c r="D1878" s="1"/>
    </row>
    <row r="1879">
      <c r="A1879" s="14"/>
      <c r="B1879" s="1"/>
      <c r="C1879" s="1"/>
      <c r="D1879" s="1"/>
    </row>
    <row r="1880">
      <c r="A1880" s="14"/>
      <c r="B1880" s="1"/>
      <c r="C1880" s="1"/>
      <c r="D1880" s="1"/>
    </row>
    <row r="1881">
      <c r="A1881" s="14"/>
      <c r="B1881" s="1"/>
      <c r="C1881" s="1"/>
      <c r="D1881" s="1"/>
    </row>
    <row r="1882">
      <c r="A1882" s="14"/>
      <c r="B1882" s="1"/>
      <c r="C1882" s="1"/>
      <c r="D1882" s="1"/>
    </row>
    <row r="1883">
      <c r="A1883" s="14"/>
      <c r="B1883" s="1"/>
      <c r="C1883" s="1"/>
      <c r="D1883" s="1"/>
    </row>
    <row r="1884">
      <c r="A1884" s="14"/>
      <c r="B1884" s="1"/>
      <c r="C1884" s="1"/>
      <c r="D1884" s="1"/>
    </row>
    <row r="1885">
      <c r="A1885" s="14"/>
      <c r="B1885" s="1"/>
      <c r="C1885" s="1"/>
      <c r="D1885" s="1"/>
    </row>
    <row r="1886">
      <c r="A1886" s="14"/>
      <c r="B1886" s="1"/>
      <c r="C1886" s="1"/>
      <c r="D1886" s="1"/>
    </row>
    <row r="1887">
      <c r="A1887" s="14"/>
      <c r="B1887" s="1"/>
      <c r="C1887" s="1"/>
      <c r="D1887" s="1"/>
    </row>
    <row r="1888">
      <c r="A1888" s="14"/>
      <c r="B1888" s="1"/>
      <c r="C1888" s="1"/>
      <c r="D1888" s="1"/>
    </row>
    <row r="1889">
      <c r="A1889" s="14"/>
      <c r="B1889" s="1"/>
      <c r="C1889" s="1"/>
      <c r="D1889" s="1"/>
    </row>
    <row r="1890">
      <c r="A1890" s="14"/>
      <c r="B1890" s="1"/>
      <c r="C1890" s="1"/>
      <c r="D1890" s="1"/>
    </row>
    <row r="1891">
      <c r="A1891" s="14"/>
      <c r="B1891" s="1"/>
      <c r="C1891" s="1"/>
      <c r="D1891" s="1"/>
    </row>
    <row r="1892">
      <c r="A1892" s="14"/>
      <c r="B1892" s="1"/>
      <c r="C1892" s="1"/>
      <c r="D1892" s="1"/>
    </row>
    <row r="1893">
      <c r="A1893" s="14"/>
      <c r="B1893" s="1"/>
      <c r="C1893" s="1"/>
      <c r="D1893" s="1"/>
    </row>
    <row r="1894">
      <c r="A1894" s="14"/>
      <c r="B1894" s="1"/>
      <c r="C1894" s="1"/>
      <c r="D1894" s="1"/>
    </row>
    <row r="1895">
      <c r="A1895" s="14"/>
      <c r="B1895" s="1"/>
      <c r="C1895" s="1"/>
      <c r="D1895" s="1"/>
    </row>
    <row r="1896">
      <c r="A1896" s="14"/>
      <c r="B1896" s="1"/>
      <c r="C1896" s="1"/>
      <c r="D1896" s="1"/>
    </row>
    <row r="1897">
      <c r="A1897" s="14"/>
      <c r="B1897" s="1"/>
      <c r="C1897" s="1"/>
      <c r="D1897" s="1"/>
    </row>
    <row r="1898">
      <c r="A1898" s="14"/>
      <c r="B1898" s="1"/>
      <c r="C1898" s="1"/>
      <c r="D1898" s="1"/>
    </row>
    <row r="1899">
      <c r="A1899" s="14"/>
      <c r="B1899" s="1"/>
      <c r="C1899" s="1"/>
      <c r="D1899" s="1"/>
    </row>
    <row r="1900">
      <c r="A1900" s="14"/>
      <c r="B1900" s="1"/>
      <c r="C1900" s="1"/>
      <c r="D1900" s="1"/>
    </row>
    <row r="1901">
      <c r="A1901" s="14"/>
      <c r="B1901" s="1"/>
      <c r="C1901" s="1"/>
      <c r="D1901" s="1"/>
    </row>
    <row r="1902">
      <c r="A1902" s="14"/>
      <c r="B1902" s="1"/>
      <c r="C1902" s="1"/>
      <c r="D1902" s="1"/>
    </row>
    <row r="1903">
      <c r="A1903" s="14"/>
      <c r="B1903" s="1"/>
      <c r="C1903" s="1"/>
      <c r="D1903" s="1"/>
    </row>
    <row r="1904">
      <c r="A1904" s="14"/>
      <c r="B1904" s="1"/>
      <c r="C1904" s="1"/>
      <c r="D1904" s="1"/>
    </row>
    <row r="1905">
      <c r="A1905" s="14"/>
      <c r="B1905" s="1"/>
      <c r="C1905" s="1"/>
      <c r="D1905" s="1"/>
    </row>
    <row r="1906">
      <c r="A1906" s="14"/>
      <c r="B1906" s="1"/>
      <c r="C1906" s="1"/>
      <c r="D1906" s="1"/>
    </row>
    <row r="1907">
      <c r="A1907" s="14"/>
      <c r="B1907" s="1"/>
      <c r="C1907" s="1"/>
      <c r="D1907" s="1"/>
    </row>
    <row r="1908">
      <c r="A1908" s="14"/>
      <c r="B1908" s="1"/>
      <c r="C1908" s="1"/>
      <c r="D1908" s="1"/>
    </row>
    <row r="1909">
      <c r="A1909" s="14"/>
      <c r="B1909" s="1"/>
      <c r="C1909" s="1"/>
      <c r="D1909" s="1"/>
    </row>
    <row r="1910">
      <c r="A1910" s="14"/>
      <c r="B1910" s="1"/>
      <c r="C1910" s="1"/>
      <c r="D1910" s="1"/>
    </row>
    <row r="1911">
      <c r="A1911" s="14"/>
      <c r="B1911" s="1"/>
      <c r="C1911" s="1"/>
      <c r="D1911" s="1"/>
    </row>
    <row r="1912">
      <c r="A1912" s="14"/>
      <c r="B1912" s="1"/>
      <c r="C1912" s="1"/>
      <c r="D1912" s="1"/>
    </row>
    <row r="1913">
      <c r="A1913" s="14"/>
      <c r="B1913" s="1"/>
      <c r="C1913" s="1"/>
      <c r="D1913" s="1"/>
    </row>
    <row r="1914">
      <c r="A1914" s="14"/>
      <c r="B1914" s="1"/>
      <c r="C1914" s="1"/>
      <c r="D1914" s="1"/>
    </row>
    <row r="1915">
      <c r="A1915" s="14"/>
      <c r="B1915" s="1"/>
      <c r="C1915" s="1"/>
      <c r="D1915" s="1"/>
    </row>
    <row r="1916">
      <c r="A1916" s="14"/>
      <c r="B1916" s="1"/>
      <c r="C1916" s="1"/>
      <c r="D1916" s="1"/>
    </row>
    <row r="1917">
      <c r="A1917" s="14"/>
      <c r="B1917" s="1"/>
      <c r="C1917" s="1"/>
      <c r="D1917" s="1"/>
    </row>
    <row r="1918">
      <c r="A1918" s="14"/>
      <c r="B1918" s="1"/>
      <c r="C1918" s="1"/>
      <c r="D1918" s="1"/>
    </row>
    <row r="1919">
      <c r="A1919" s="14"/>
      <c r="B1919" s="1"/>
      <c r="C1919" s="1"/>
      <c r="D1919" s="1"/>
    </row>
    <row r="1920">
      <c r="A1920" s="14"/>
      <c r="B1920" s="1"/>
      <c r="C1920" s="1"/>
      <c r="D1920" s="1"/>
    </row>
    <row r="1921">
      <c r="A1921" s="14"/>
      <c r="B1921" s="1"/>
      <c r="C1921" s="1"/>
      <c r="D1921" s="1"/>
    </row>
    <row r="1922">
      <c r="A1922" s="14"/>
      <c r="B1922" s="1"/>
      <c r="C1922" s="1"/>
      <c r="D1922" s="1"/>
    </row>
    <row r="1923">
      <c r="A1923" s="14"/>
      <c r="B1923" s="1"/>
      <c r="C1923" s="1"/>
      <c r="D1923" s="1"/>
    </row>
    <row r="1924">
      <c r="A1924" s="14"/>
      <c r="B1924" s="1"/>
      <c r="C1924" s="1"/>
      <c r="D1924" s="1"/>
    </row>
    <row r="1925">
      <c r="A1925" s="14"/>
      <c r="B1925" s="1"/>
      <c r="C1925" s="1"/>
      <c r="D1925" s="1"/>
    </row>
    <row r="1926">
      <c r="A1926" s="14"/>
      <c r="B1926" s="1"/>
      <c r="C1926" s="1"/>
      <c r="D1926" s="1"/>
    </row>
    <row r="1927">
      <c r="A1927" s="14"/>
      <c r="B1927" s="1"/>
      <c r="C1927" s="1"/>
      <c r="D1927" s="1"/>
    </row>
    <row r="1928">
      <c r="A1928" s="14"/>
      <c r="B1928" s="1"/>
      <c r="C1928" s="1"/>
      <c r="D1928" s="1"/>
    </row>
    <row r="1929">
      <c r="A1929" s="14"/>
      <c r="B1929" s="1"/>
      <c r="C1929" s="1"/>
      <c r="D1929" s="1"/>
    </row>
    <row r="1930">
      <c r="A1930" s="14"/>
      <c r="B1930" s="1"/>
      <c r="C1930" s="1"/>
      <c r="D1930" s="1"/>
    </row>
    <row r="1931">
      <c r="A1931" s="14"/>
      <c r="B1931" s="1"/>
      <c r="C1931" s="1"/>
      <c r="D1931" s="1"/>
    </row>
    <row r="1932">
      <c r="A1932" s="14"/>
      <c r="B1932" s="1"/>
      <c r="C1932" s="1"/>
      <c r="D1932" s="1"/>
    </row>
    <row r="1933">
      <c r="A1933" s="14"/>
      <c r="B1933" s="1"/>
      <c r="C1933" s="1"/>
      <c r="D1933" s="1"/>
    </row>
    <row r="1934">
      <c r="A1934" s="14"/>
      <c r="B1934" s="1"/>
      <c r="C1934" s="1"/>
      <c r="D1934" s="1"/>
    </row>
    <row r="1935">
      <c r="A1935" s="14"/>
      <c r="B1935" s="1"/>
      <c r="C1935" s="1"/>
      <c r="D1935" s="1"/>
    </row>
    <row r="1936">
      <c r="A1936" s="14"/>
      <c r="B1936" s="1"/>
      <c r="C1936" s="1"/>
      <c r="D1936" s="1"/>
    </row>
    <row r="1937">
      <c r="A1937" s="14"/>
      <c r="B1937" s="1"/>
      <c r="C1937" s="1"/>
      <c r="D1937" s="1"/>
    </row>
    <row r="1938">
      <c r="A1938" s="14"/>
      <c r="B1938" s="1"/>
      <c r="C1938" s="1"/>
      <c r="D1938" s="1"/>
    </row>
    <row r="1939">
      <c r="A1939" s="14"/>
      <c r="B1939" s="1"/>
      <c r="C1939" s="1"/>
      <c r="D1939" s="1"/>
    </row>
    <row r="1940">
      <c r="A1940" s="14"/>
      <c r="B1940" s="1"/>
      <c r="C1940" s="1"/>
      <c r="D1940" s="1"/>
    </row>
    <row r="1941">
      <c r="A1941" s="14"/>
      <c r="B1941" s="1"/>
      <c r="C1941" s="1"/>
      <c r="D1941" s="1"/>
    </row>
    <row r="1942">
      <c r="A1942" s="14"/>
      <c r="B1942" s="1"/>
      <c r="C1942" s="1"/>
      <c r="D1942" s="1"/>
    </row>
    <row r="1943">
      <c r="A1943" s="14"/>
      <c r="B1943" s="1"/>
      <c r="C1943" s="1"/>
      <c r="D1943" s="1"/>
    </row>
    <row r="1944">
      <c r="A1944" s="14"/>
      <c r="B1944" s="1"/>
      <c r="C1944" s="1"/>
      <c r="D1944" s="1"/>
    </row>
    <row r="1945">
      <c r="A1945" s="14"/>
      <c r="B1945" s="1"/>
      <c r="C1945" s="1"/>
      <c r="D1945" s="1"/>
    </row>
    <row r="1946">
      <c r="A1946" s="14"/>
      <c r="B1946" s="1"/>
      <c r="C1946" s="1"/>
      <c r="D1946" s="1"/>
    </row>
    <row r="1947">
      <c r="A1947" s="14"/>
      <c r="B1947" s="1"/>
      <c r="C1947" s="1"/>
      <c r="D1947" s="1"/>
    </row>
    <row r="1948">
      <c r="A1948" s="14"/>
      <c r="B1948" s="1"/>
      <c r="C1948" s="1"/>
      <c r="D1948" s="1"/>
    </row>
    <row r="1949">
      <c r="A1949" s="14"/>
      <c r="B1949" s="1"/>
      <c r="C1949" s="1"/>
      <c r="D1949" s="1"/>
    </row>
    <row r="1950">
      <c r="A1950" s="14"/>
      <c r="B1950" s="1"/>
      <c r="C1950" s="1"/>
      <c r="D1950" s="1"/>
    </row>
    <row r="1951">
      <c r="A1951" s="14"/>
      <c r="B1951" s="1"/>
      <c r="C1951" s="1"/>
      <c r="D1951" s="1"/>
    </row>
    <row r="1952">
      <c r="A1952" s="14"/>
      <c r="B1952" s="1"/>
      <c r="C1952" s="1"/>
      <c r="D1952" s="1"/>
    </row>
    <row r="1953">
      <c r="A1953" s="14"/>
      <c r="B1953" s="1"/>
      <c r="C1953" s="1"/>
      <c r="D1953" s="1"/>
    </row>
    <row r="1954">
      <c r="A1954" s="14"/>
      <c r="B1954" s="1"/>
      <c r="C1954" s="1"/>
      <c r="D1954" s="1"/>
    </row>
    <row r="1955">
      <c r="A1955" s="14"/>
      <c r="B1955" s="1"/>
      <c r="C1955" s="1"/>
      <c r="D1955" s="1"/>
    </row>
    <row r="1956">
      <c r="A1956" s="14"/>
      <c r="B1956" s="1"/>
      <c r="C1956" s="1"/>
      <c r="D1956" s="1"/>
    </row>
    <row r="1957">
      <c r="A1957" s="14"/>
      <c r="B1957" s="1"/>
      <c r="C1957" s="1"/>
      <c r="D1957" s="1"/>
    </row>
    <row r="1958">
      <c r="A1958" s="14"/>
      <c r="B1958" s="1"/>
      <c r="C1958" s="1"/>
      <c r="D1958" s="1"/>
    </row>
    <row r="1959">
      <c r="A1959" s="14"/>
      <c r="B1959" s="1"/>
      <c r="C1959" s="1"/>
      <c r="D1959" s="1"/>
    </row>
    <row r="1960">
      <c r="A1960" s="14"/>
      <c r="B1960" s="1"/>
      <c r="C1960" s="1"/>
      <c r="D1960" s="1"/>
    </row>
    <row r="1961">
      <c r="A1961" s="14"/>
      <c r="B1961" s="1"/>
      <c r="C1961" s="1"/>
      <c r="D1961" s="1"/>
    </row>
    <row r="1962">
      <c r="A1962" s="14"/>
      <c r="B1962" s="1"/>
      <c r="C1962" s="1"/>
      <c r="D1962" s="1"/>
    </row>
    <row r="1963">
      <c r="A1963" s="14"/>
      <c r="B1963" s="1"/>
      <c r="C1963" s="1"/>
      <c r="D1963" s="1"/>
    </row>
    <row r="1964">
      <c r="A1964" s="14"/>
      <c r="B1964" s="1"/>
      <c r="C1964" s="1"/>
      <c r="D1964" s="1"/>
    </row>
    <row r="1965">
      <c r="A1965" s="14"/>
      <c r="B1965" s="1"/>
      <c r="C1965" s="1"/>
      <c r="D1965" s="1"/>
    </row>
    <row r="1966">
      <c r="A1966" s="14"/>
      <c r="B1966" s="1"/>
      <c r="C1966" s="1"/>
      <c r="D1966" s="1"/>
    </row>
    <row r="1967">
      <c r="A1967" s="14"/>
      <c r="B1967" s="1"/>
      <c r="C1967" s="1"/>
      <c r="D1967" s="1"/>
    </row>
    <row r="1968">
      <c r="A1968" s="14"/>
      <c r="B1968" s="1"/>
      <c r="C1968" s="1"/>
      <c r="D1968" s="1"/>
    </row>
    <row r="1969">
      <c r="A1969" s="14"/>
      <c r="B1969" s="1"/>
      <c r="C1969" s="1"/>
      <c r="D1969" s="1"/>
    </row>
    <row r="1970">
      <c r="A1970" s="14"/>
      <c r="B1970" s="1"/>
      <c r="C1970" s="1"/>
      <c r="D1970" s="1"/>
    </row>
    <row r="1971">
      <c r="A1971" s="14"/>
      <c r="B1971" s="1"/>
      <c r="C1971" s="1"/>
      <c r="D1971" s="1"/>
    </row>
    <row r="1972">
      <c r="A1972" s="14"/>
      <c r="B1972" s="1"/>
      <c r="C1972" s="1"/>
      <c r="D1972" s="1"/>
    </row>
    <row r="1973">
      <c r="A1973" s="14"/>
      <c r="B1973" s="1"/>
      <c r="C1973" s="1"/>
      <c r="D1973" s="1"/>
    </row>
    <row r="1974">
      <c r="A1974" s="14"/>
      <c r="B1974" s="1"/>
      <c r="C1974" s="1"/>
      <c r="D1974" s="1"/>
    </row>
    <row r="1975">
      <c r="A1975" s="14"/>
      <c r="B1975" s="1"/>
      <c r="C1975" s="1"/>
      <c r="D1975" s="1"/>
    </row>
    <row r="1976">
      <c r="A1976" s="14"/>
      <c r="B1976" s="1"/>
      <c r="C1976" s="1"/>
      <c r="D1976" s="1"/>
    </row>
    <row r="1977">
      <c r="A1977" s="14"/>
      <c r="B1977" s="1"/>
      <c r="C1977" s="1"/>
      <c r="D1977" s="1"/>
    </row>
    <row r="1978">
      <c r="A1978" s="14"/>
      <c r="B1978" s="1"/>
      <c r="C1978" s="1"/>
      <c r="D1978" s="1"/>
    </row>
    <row r="1979">
      <c r="A1979" s="14"/>
      <c r="B1979" s="1"/>
      <c r="C1979" s="1"/>
      <c r="D1979" s="1"/>
    </row>
    <row r="1980">
      <c r="A1980" s="14"/>
      <c r="B1980" s="1"/>
      <c r="C1980" s="1"/>
      <c r="D1980" s="1"/>
    </row>
    <row r="1981">
      <c r="A1981" s="14"/>
      <c r="B1981" s="1"/>
      <c r="C1981" s="1"/>
      <c r="D1981" s="1"/>
    </row>
    <row r="1982">
      <c r="A1982" s="14"/>
      <c r="B1982" s="1"/>
      <c r="C1982" s="1"/>
      <c r="D1982" s="1"/>
    </row>
    <row r="1983">
      <c r="A1983" s="14"/>
      <c r="B1983" s="1"/>
      <c r="C1983" s="1"/>
      <c r="D1983" s="1"/>
    </row>
    <row r="1984">
      <c r="A1984" s="14"/>
      <c r="B1984" s="1"/>
      <c r="C1984" s="1"/>
      <c r="D1984" s="1"/>
    </row>
    <row r="1985">
      <c r="A1985" s="14"/>
      <c r="B1985" s="1"/>
      <c r="C1985" s="1"/>
      <c r="D1985" s="1"/>
    </row>
    <row r="1986">
      <c r="A1986" s="14"/>
      <c r="B1986" s="1"/>
      <c r="C1986" s="1"/>
      <c r="D1986" s="1"/>
    </row>
    <row r="1987">
      <c r="A1987" s="14"/>
      <c r="B1987" s="1"/>
      <c r="C1987" s="1"/>
      <c r="D1987" s="1"/>
    </row>
    <row r="1988">
      <c r="A1988" s="14"/>
      <c r="B1988" s="1"/>
      <c r="C1988" s="1"/>
      <c r="D1988" s="1"/>
    </row>
    <row r="1989">
      <c r="A1989" s="14"/>
      <c r="B1989" s="1"/>
      <c r="C1989" s="1"/>
      <c r="D1989" s="1"/>
    </row>
    <row r="1990">
      <c r="A1990" s="14"/>
      <c r="B1990" s="1"/>
      <c r="C1990" s="1"/>
      <c r="D1990" s="1"/>
    </row>
    <row r="1991">
      <c r="A1991" s="14"/>
      <c r="B1991" s="1"/>
      <c r="C1991" s="1"/>
      <c r="D1991" s="1"/>
    </row>
    <row r="1992">
      <c r="A1992" s="14"/>
      <c r="B1992" s="1"/>
      <c r="C1992" s="1"/>
      <c r="D1992" s="1"/>
    </row>
    <row r="1993">
      <c r="A1993" s="14"/>
      <c r="B1993" s="1"/>
      <c r="C1993" s="1"/>
      <c r="D1993" s="1"/>
    </row>
    <row r="1994">
      <c r="A1994" s="14"/>
      <c r="B1994" s="1"/>
      <c r="C1994" s="1"/>
      <c r="D1994" s="1"/>
    </row>
    <row r="1995">
      <c r="A1995" s="14"/>
      <c r="B1995" s="1"/>
      <c r="C1995" s="1"/>
      <c r="D1995" s="1"/>
    </row>
    <row r="1996">
      <c r="A1996" s="14"/>
      <c r="B1996" s="1"/>
      <c r="C1996" s="1"/>
      <c r="D1996" s="1"/>
    </row>
    <row r="1997">
      <c r="A1997" s="14"/>
      <c r="B1997" s="1"/>
      <c r="C1997" s="1"/>
      <c r="D1997" s="1"/>
    </row>
    <row r="1998">
      <c r="A1998" s="14"/>
      <c r="B1998" s="1"/>
      <c r="C1998" s="1"/>
      <c r="D1998" s="1"/>
    </row>
    <row r="1999">
      <c r="A1999" s="14"/>
      <c r="B1999" s="1"/>
      <c r="C1999" s="1"/>
      <c r="D1999" s="1"/>
    </row>
    <row r="2000">
      <c r="A2000" s="14"/>
      <c r="B2000" s="1"/>
      <c r="C2000" s="1"/>
      <c r="D2000" s="1"/>
    </row>
    <row r="2001">
      <c r="A2001" s="14"/>
      <c r="B2001" s="1"/>
      <c r="C2001" s="1"/>
      <c r="D2001" s="1"/>
    </row>
    <row r="2002">
      <c r="A2002" s="14"/>
      <c r="B2002" s="1"/>
      <c r="C2002" s="1"/>
      <c r="D2002" s="1"/>
    </row>
    <row r="2003">
      <c r="A2003" s="14"/>
      <c r="B2003" s="1"/>
      <c r="C2003" s="1"/>
      <c r="D2003" s="1"/>
    </row>
    <row r="2004">
      <c r="A2004" s="14"/>
      <c r="B2004" s="1"/>
      <c r="C2004" s="1"/>
      <c r="D2004" s="1"/>
    </row>
    <row r="2005">
      <c r="A2005" s="14"/>
      <c r="B2005" s="1"/>
      <c r="C2005" s="1"/>
      <c r="D2005" s="1"/>
    </row>
    <row r="2006">
      <c r="A2006" s="14"/>
      <c r="B2006" s="1"/>
      <c r="C2006" s="1"/>
      <c r="D2006" s="1"/>
    </row>
    <row r="2007">
      <c r="A2007" s="14"/>
      <c r="B2007" s="1"/>
      <c r="C2007" s="1"/>
      <c r="D2007" s="1"/>
    </row>
    <row r="2008">
      <c r="A2008" s="14"/>
      <c r="B2008" s="1"/>
      <c r="C2008" s="1"/>
      <c r="D2008" s="1"/>
    </row>
    <row r="2009">
      <c r="A2009" s="14"/>
      <c r="B2009" s="1"/>
      <c r="C2009" s="1"/>
      <c r="D2009" s="1"/>
    </row>
    <row r="2010">
      <c r="A2010" s="14"/>
      <c r="B2010" s="1"/>
      <c r="C2010" s="1"/>
      <c r="D2010" s="1"/>
    </row>
    <row r="2011">
      <c r="A2011" s="14"/>
      <c r="B2011" s="1"/>
      <c r="C2011" s="1"/>
      <c r="D2011" s="1"/>
    </row>
    <row r="2012">
      <c r="A2012" s="14"/>
      <c r="B2012" s="1"/>
      <c r="C2012" s="1"/>
      <c r="D2012" s="1"/>
    </row>
    <row r="2013">
      <c r="A2013" s="14"/>
      <c r="B2013" s="1"/>
      <c r="C2013" s="1"/>
      <c r="D2013" s="1"/>
    </row>
    <row r="2014">
      <c r="A2014" s="14"/>
      <c r="B2014" s="1"/>
      <c r="C2014" s="1"/>
      <c r="D2014" s="1"/>
    </row>
    <row r="2015">
      <c r="A2015" s="14"/>
      <c r="B2015" s="1"/>
      <c r="C2015" s="1"/>
      <c r="D2015" s="1"/>
    </row>
    <row r="2016">
      <c r="A2016" s="14"/>
      <c r="B2016" s="1"/>
      <c r="C2016" s="1"/>
      <c r="D2016" s="1"/>
    </row>
    <row r="2017">
      <c r="A2017" s="14"/>
      <c r="B2017" s="1"/>
      <c r="C2017" s="1"/>
      <c r="D2017" s="1"/>
    </row>
    <row r="2018">
      <c r="A2018" s="14"/>
      <c r="B2018" s="1"/>
      <c r="C2018" s="1"/>
      <c r="D2018" s="1"/>
    </row>
    <row r="2019">
      <c r="A2019" s="14"/>
      <c r="B2019" s="1"/>
      <c r="C2019" s="1"/>
      <c r="D2019" s="1"/>
    </row>
    <row r="2020">
      <c r="A2020" s="14"/>
      <c r="B2020" s="1"/>
      <c r="C2020" s="1"/>
      <c r="D2020" s="1"/>
    </row>
    <row r="2021">
      <c r="A2021" s="14"/>
      <c r="B2021" s="1"/>
      <c r="C2021" s="1"/>
      <c r="D2021" s="1"/>
    </row>
    <row r="2022">
      <c r="A2022" s="14"/>
      <c r="B2022" s="1"/>
      <c r="C2022" s="1"/>
      <c r="D2022" s="1"/>
    </row>
    <row r="2023">
      <c r="A2023" s="14"/>
      <c r="B2023" s="1"/>
      <c r="C2023" s="1"/>
      <c r="D2023" s="1"/>
    </row>
    <row r="2024">
      <c r="A2024" s="14"/>
      <c r="B2024" s="1"/>
      <c r="C2024" s="1"/>
      <c r="D2024" s="1"/>
    </row>
    <row r="2025">
      <c r="A2025" s="14"/>
      <c r="B2025" s="1"/>
      <c r="C2025" s="1"/>
      <c r="D2025" s="1"/>
    </row>
    <row r="2026">
      <c r="A2026" s="14"/>
      <c r="B2026" s="1"/>
      <c r="C2026" s="1"/>
      <c r="D2026" s="1"/>
    </row>
    <row r="2027">
      <c r="A2027" s="14"/>
      <c r="B2027" s="1"/>
      <c r="C2027" s="1"/>
      <c r="D2027" s="1"/>
    </row>
    <row r="2028">
      <c r="A2028" s="14"/>
      <c r="B2028" s="1"/>
      <c r="C2028" s="1"/>
      <c r="D2028" s="1"/>
    </row>
    <row r="2029">
      <c r="A2029" s="14"/>
      <c r="B2029" s="1"/>
      <c r="C2029" s="1"/>
      <c r="D2029" s="1"/>
    </row>
    <row r="2030">
      <c r="A2030" s="14"/>
      <c r="B2030" s="1"/>
      <c r="C2030" s="1"/>
      <c r="D2030" s="1"/>
    </row>
    <row r="2031">
      <c r="A2031" s="14"/>
      <c r="B2031" s="1"/>
      <c r="C2031" s="1"/>
      <c r="D2031" s="1"/>
    </row>
    <row r="2032">
      <c r="A2032" s="14"/>
      <c r="B2032" s="1"/>
      <c r="C2032" s="1"/>
      <c r="D2032" s="1"/>
    </row>
    <row r="2033">
      <c r="A2033" s="14"/>
      <c r="B2033" s="1"/>
      <c r="C2033" s="1"/>
      <c r="D2033" s="1"/>
    </row>
    <row r="2034">
      <c r="A2034" s="14"/>
      <c r="B2034" s="1"/>
      <c r="C2034" s="1"/>
      <c r="D2034" s="1"/>
    </row>
    <row r="2035">
      <c r="A2035" s="14"/>
      <c r="B2035" s="1"/>
      <c r="C2035" s="1"/>
      <c r="D2035" s="1"/>
    </row>
    <row r="2036">
      <c r="A2036" s="14"/>
      <c r="B2036" s="1"/>
      <c r="C2036" s="1"/>
      <c r="D2036" s="1"/>
    </row>
    <row r="2037">
      <c r="A2037" s="14"/>
      <c r="B2037" s="1"/>
      <c r="C2037" s="1"/>
      <c r="D2037" s="1"/>
    </row>
    <row r="2038">
      <c r="A2038" s="14"/>
      <c r="B2038" s="1"/>
      <c r="C2038" s="1"/>
      <c r="D2038" s="1"/>
    </row>
    <row r="2039">
      <c r="A2039" s="14"/>
      <c r="B2039" s="1"/>
      <c r="C2039" s="1"/>
      <c r="D2039" s="1"/>
    </row>
    <row r="2040">
      <c r="A2040" s="14"/>
      <c r="B2040" s="1"/>
      <c r="C2040" s="1"/>
      <c r="D2040" s="1"/>
    </row>
    <row r="2041">
      <c r="A2041" s="14"/>
      <c r="B2041" s="1"/>
      <c r="C2041" s="1"/>
      <c r="D2041" s="1"/>
    </row>
    <row r="2042">
      <c r="A2042" s="14"/>
      <c r="B2042" s="1"/>
      <c r="C2042" s="1"/>
      <c r="D2042" s="1"/>
    </row>
    <row r="2043">
      <c r="A2043" s="14"/>
      <c r="B2043" s="1"/>
      <c r="C2043" s="1"/>
      <c r="D2043" s="1"/>
    </row>
    <row r="2044">
      <c r="A2044" s="14"/>
      <c r="B2044" s="1"/>
      <c r="C2044" s="1"/>
      <c r="D2044" s="1"/>
    </row>
    <row r="2045">
      <c r="A2045" s="14"/>
      <c r="B2045" s="1"/>
      <c r="C2045" s="1"/>
      <c r="D2045" s="1"/>
    </row>
    <row r="2046">
      <c r="A2046" s="14"/>
      <c r="B2046" s="1"/>
      <c r="C2046" s="1"/>
      <c r="D2046" s="1"/>
    </row>
    <row r="2047">
      <c r="A2047" s="14"/>
      <c r="B2047" s="1"/>
      <c r="C2047" s="1"/>
      <c r="D2047" s="1"/>
    </row>
    <row r="2048">
      <c r="A2048" s="14"/>
      <c r="B2048" s="1"/>
      <c r="C2048" s="1"/>
      <c r="D2048" s="1"/>
    </row>
    <row r="2049">
      <c r="A2049" s="14"/>
      <c r="B2049" s="1"/>
      <c r="C2049" s="1"/>
      <c r="D2049" s="1"/>
    </row>
    <row r="2050">
      <c r="A2050" s="14"/>
      <c r="B2050" s="1"/>
      <c r="C2050" s="1"/>
      <c r="D2050" s="1"/>
    </row>
    <row r="2051">
      <c r="A2051" s="14"/>
      <c r="B2051" s="1"/>
      <c r="C2051" s="1"/>
      <c r="D2051" s="1"/>
    </row>
    <row r="2052">
      <c r="A2052" s="14"/>
      <c r="B2052" s="1"/>
      <c r="C2052" s="1"/>
      <c r="D2052" s="1"/>
    </row>
    <row r="2053">
      <c r="A2053" s="14"/>
      <c r="B2053" s="1"/>
      <c r="C2053" s="1"/>
      <c r="D2053" s="1"/>
    </row>
    <row r="2054">
      <c r="A2054" s="14"/>
      <c r="B2054" s="1"/>
      <c r="C2054" s="1"/>
      <c r="D2054" s="1"/>
    </row>
    <row r="2055">
      <c r="A2055" s="14"/>
      <c r="B2055" s="1"/>
      <c r="C2055" s="1"/>
      <c r="D2055" s="1"/>
    </row>
    <row r="2056">
      <c r="A2056" s="14"/>
      <c r="B2056" s="1"/>
      <c r="C2056" s="1"/>
      <c r="D2056" s="1"/>
    </row>
    <row r="2057">
      <c r="A2057" s="14"/>
      <c r="B2057" s="1"/>
      <c r="C2057" s="1"/>
      <c r="D2057" s="1"/>
    </row>
    <row r="2058">
      <c r="A2058" s="14"/>
      <c r="B2058" s="1"/>
      <c r="C2058" s="1"/>
      <c r="D2058" s="1"/>
    </row>
    <row r="2059">
      <c r="A2059" s="14"/>
      <c r="B2059" s="1"/>
      <c r="C2059" s="1"/>
      <c r="D2059" s="1"/>
    </row>
    <row r="2060">
      <c r="A2060" s="14"/>
      <c r="B2060" s="1"/>
      <c r="C2060" s="1"/>
      <c r="D2060" s="1"/>
    </row>
    <row r="2061">
      <c r="A2061" s="14"/>
      <c r="B2061" s="1"/>
      <c r="C2061" s="1"/>
      <c r="D2061" s="1"/>
    </row>
    <row r="2062">
      <c r="A2062" s="14"/>
      <c r="B2062" s="1"/>
      <c r="C2062" s="1"/>
      <c r="D2062" s="1"/>
    </row>
    <row r="2063">
      <c r="A2063" s="14"/>
      <c r="B2063" s="1"/>
      <c r="C2063" s="1"/>
      <c r="D2063" s="1"/>
    </row>
    <row r="2064">
      <c r="A2064" s="14"/>
      <c r="B2064" s="1"/>
      <c r="C2064" s="1"/>
      <c r="D2064" s="1"/>
    </row>
    <row r="2065">
      <c r="A2065" s="14"/>
      <c r="B2065" s="1"/>
      <c r="C2065" s="1"/>
      <c r="D2065" s="1"/>
    </row>
    <row r="2066">
      <c r="A2066" s="14"/>
      <c r="B2066" s="1"/>
      <c r="C2066" s="1"/>
      <c r="D2066" s="1"/>
    </row>
    <row r="2067">
      <c r="A2067" s="14"/>
      <c r="B2067" s="1"/>
      <c r="C2067" s="1"/>
      <c r="D2067" s="1"/>
    </row>
    <row r="2068">
      <c r="A2068" s="14"/>
      <c r="B2068" s="1"/>
      <c r="C2068" s="1"/>
      <c r="D2068" s="1"/>
    </row>
    <row r="2069">
      <c r="A2069" s="14"/>
      <c r="B2069" s="1"/>
      <c r="C2069" s="1"/>
      <c r="D2069" s="1"/>
    </row>
    <row r="2070">
      <c r="A2070" s="14"/>
      <c r="B2070" s="1"/>
      <c r="C2070" s="1"/>
      <c r="D2070" s="1"/>
    </row>
    <row r="2071">
      <c r="A2071" s="14"/>
      <c r="B2071" s="1"/>
      <c r="C2071" s="1"/>
      <c r="D2071" s="1"/>
    </row>
    <row r="2072">
      <c r="A2072" s="14"/>
      <c r="B2072" s="1"/>
      <c r="C2072" s="1"/>
      <c r="D2072" s="1"/>
    </row>
    <row r="2073">
      <c r="A2073" s="14"/>
      <c r="B2073" s="1"/>
      <c r="C2073" s="1"/>
      <c r="D2073" s="1"/>
    </row>
    <row r="2074">
      <c r="A2074" s="14"/>
      <c r="B2074" s="1"/>
      <c r="C2074" s="1"/>
      <c r="D2074" s="1"/>
    </row>
    <row r="2075">
      <c r="A2075" s="14"/>
      <c r="B2075" s="1"/>
      <c r="C2075" s="1"/>
      <c r="D2075" s="1"/>
    </row>
    <row r="2076">
      <c r="A2076" s="14"/>
      <c r="B2076" s="1"/>
      <c r="C2076" s="1"/>
      <c r="D2076" s="1"/>
    </row>
    <row r="2077">
      <c r="A2077" s="14"/>
      <c r="B2077" s="1"/>
      <c r="C2077" s="1"/>
      <c r="D2077" s="1"/>
    </row>
    <row r="2078">
      <c r="A2078" s="14"/>
      <c r="B2078" s="1"/>
      <c r="C2078" s="1"/>
      <c r="D2078" s="1"/>
    </row>
    <row r="2079">
      <c r="A2079" s="14"/>
      <c r="B2079" s="1"/>
      <c r="C2079" s="1"/>
      <c r="D2079" s="1"/>
    </row>
    <row r="2080">
      <c r="A2080" s="14"/>
      <c r="B2080" s="1"/>
      <c r="C2080" s="1"/>
      <c r="D2080" s="1"/>
    </row>
    <row r="2081">
      <c r="A2081" s="14"/>
      <c r="B2081" s="1"/>
      <c r="C2081" s="1"/>
      <c r="D2081" s="1"/>
    </row>
    <row r="2082">
      <c r="A2082" s="14"/>
      <c r="B2082" s="1"/>
      <c r="C2082" s="1"/>
      <c r="D2082" s="1"/>
    </row>
    <row r="2083">
      <c r="A2083" s="14"/>
      <c r="B2083" s="1"/>
      <c r="C2083" s="1"/>
      <c r="D2083" s="1"/>
    </row>
    <row r="2084">
      <c r="A2084" s="14"/>
      <c r="B2084" s="1"/>
      <c r="C2084" s="1"/>
      <c r="D2084" s="1"/>
    </row>
    <row r="2085">
      <c r="A2085" s="14"/>
      <c r="B2085" s="1"/>
      <c r="C2085" s="1"/>
      <c r="D2085" s="1"/>
    </row>
    <row r="2086">
      <c r="A2086" s="14"/>
      <c r="B2086" s="1"/>
      <c r="C2086" s="1"/>
      <c r="D2086" s="1"/>
    </row>
    <row r="2087">
      <c r="A2087" s="14"/>
      <c r="B2087" s="1"/>
      <c r="C2087" s="1"/>
      <c r="D2087" s="1"/>
    </row>
    <row r="2088">
      <c r="A2088" s="14"/>
      <c r="B2088" s="1"/>
      <c r="C2088" s="1"/>
      <c r="D2088" s="1"/>
    </row>
    <row r="2089">
      <c r="A2089" s="14"/>
      <c r="B2089" s="1"/>
      <c r="C2089" s="1"/>
      <c r="D2089" s="1"/>
    </row>
    <row r="2090">
      <c r="A2090" s="14"/>
      <c r="B2090" s="1"/>
      <c r="C2090" s="1"/>
      <c r="D2090" s="1"/>
    </row>
    <row r="2091">
      <c r="A2091" s="14"/>
      <c r="B2091" s="1"/>
      <c r="C2091" s="1"/>
      <c r="D2091" s="1"/>
    </row>
    <row r="2092">
      <c r="A2092" s="14"/>
      <c r="B2092" s="1"/>
      <c r="C2092" s="1"/>
      <c r="D2092" s="1"/>
    </row>
    <row r="2093">
      <c r="A2093" s="14"/>
      <c r="B2093" s="1"/>
      <c r="C2093" s="1"/>
      <c r="D2093" s="1"/>
    </row>
    <row r="2094">
      <c r="A2094" s="14"/>
      <c r="B2094" s="1"/>
      <c r="C2094" s="1"/>
      <c r="D2094" s="1"/>
    </row>
    <row r="2095">
      <c r="A2095" s="14"/>
      <c r="B2095" s="1"/>
      <c r="C2095" s="1"/>
      <c r="D2095" s="1"/>
    </row>
    <row r="2096">
      <c r="A2096" s="14"/>
      <c r="B2096" s="1"/>
      <c r="C2096" s="1"/>
      <c r="D2096" s="1"/>
    </row>
    <row r="2097">
      <c r="A2097" s="14"/>
      <c r="B2097" s="1"/>
      <c r="C2097" s="1"/>
      <c r="D2097" s="1"/>
    </row>
    <row r="2098">
      <c r="A2098" s="14"/>
      <c r="B2098" s="1"/>
      <c r="C2098" s="1"/>
      <c r="D2098" s="1"/>
    </row>
    <row r="2099">
      <c r="A2099" s="14"/>
      <c r="B2099" s="1"/>
      <c r="C2099" s="1"/>
      <c r="D2099" s="1"/>
    </row>
    <row r="2100">
      <c r="A2100" s="14"/>
      <c r="B2100" s="1"/>
      <c r="C2100" s="1"/>
      <c r="D2100" s="1"/>
    </row>
    <row r="2101">
      <c r="A2101" s="14"/>
      <c r="B2101" s="1"/>
      <c r="C2101" s="1"/>
      <c r="D2101" s="1"/>
    </row>
    <row r="2102">
      <c r="A2102" s="14"/>
      <c r="B2102" s="1"/>
      <c r="C2102" s="1"/>
      <c r="D2102" s="1"/>
    </row>
    <row r="2103">
      <c r="A2103" s="14"/>
      <c r="B2103" s="1"/>
      <c r="C2103" s="1"/>
      <c r="D2103" s="1"/>
    </row>
    <row r="2104">
      <c r="A2104" s="14"/>
      <c r="B2104" s="1"/>
      <c r="C2104" s="1"/>
      <c r="D2104" s="1"/>
    </row>
    <row r="2105">
      <c r="A2105" s="14"/>
      <c r="B2105" s="1"/>
      <c r="C2105" s="1"/>
      <c r="D2105" s="1"/>
    </row>
    <row r="2106">
      <c r="A2106" s="14"/>
      <c r="B2106" s="1"/>
      <c r="C2106" s="1"/>
      <c r="D2106" s="1"/>
    </row>
    <row r="2107">
      <c r="A2107" s="14"/>
      <c r="B2107" s="1"/>
      <c r="C2107" s="1"/>
      <c r="D2107" s="1"/>
    </row>
    <row r="2108">
      <c r="A2108" s="14"/>
      <c r="B2108" s="1"/>
      <c r="C2108" s="1"/>
      <c r="D2108" s="1"/>
    </row>
    <row r="2109">
      <c r="A2109" s="14"/>
      <c r="B2109" s="1"/>
      <c r="C2109" s="1"/>
      <c r="D2109" s="1"/>
    </row>
    <row r="2110">
      <c r="A2110" s="14"/>
      <c r="B2110" s="1"/>
      <c r="C2110" s="1"/>
      <c r="D2110" s="1"/>
    </row>
    <row r="2111">
      <c r="A2111" s="14"/>
      <c r="B2111" s="1"/>
      <c r="C2111" s="1"/>
      <c r="D2111" s="1"/>
    </row>
    <row r="2112">
      <c r="A2112" s="14"/>
      <c r="B2112" s="1"/>
      <c r="C2112" s="1"/>
      <c r="D2112" s="1"/>
    </row>
    <row r="2113">
      <c r="A2113" s="14"/>
      <c r="B2113" s="1"/>
      <c r="C2113" s="1"/>
      <c r="D2113" s="1"/>
    </row>
    <row r="2114">
      <c r="A2114" s="14"/>
      <c r="B2114" s="1"/>
      <c r="C2114" s="1"/>
      <c r="D2114" s="1"/>
    </row>
    <row r="2115">
      <c r="A2115" s="14"/>
      <c r="B2115" s="1"/>
      <c r="C2115" s="1"/>
      <c r="D2115" s="1"/>
    </row>
    <row r="2116">
      <c r="A2116" s="14"/>
      <c r="B2116" s="1"/>
      <c r="C2116" s="1"/>
      <c r="D2116" s="1"/>
    </row>
    <row r="2117">
      <c r="A2117" s="14"/>
      <c r="B2117" s="1"/>
      <c r="C2117" s="1"/>
      <c r="D2117" s="1"/>
    </row>
    <row r="2118">
      <c r="A2118" s="14"/>
      <c r="B2118" s="1"/>
      <c r="C2118" s="1"/>
      <c r="D2118" s="1"/>
    </row>
    <row r="2119">
      <c r="A2119" s="14"/>
      <c r="B2119" s="1"/>
      <c r="C2119" s="1"/>
      <c r="D2119" s="1"/>
    </row>
    <row r="2120">
      <c r="A2120" s="14"/>
      <c r="B2120" s="1"/>
      <c r="C2120" s="1"/>
      <c r="D2120" s="1"/>
    </row>
    <row r="2121">
      <c r="A2121" s="14"/>
      <c r="B2121" s="1"/>
      <c r="C2121" s="1"/>
      <c r="D2121" s="1"/>
    </row>
    <row r="2122">
      <c r="A2122" s="14"/>
      <c r="B2122" s="1"/>
      <c r="C2122" s="1"/>
      <c r="D2122" s="1"/>
    </row>
    <row r="2123">
      <c r="A2123" s="14"/>
      <c r="B2123" s="1"/>
      <c r="C2123" s="1"/>
      <c r="D2123" s="1"/>
    </row>
    <row r="2124">
      <c r="A2124" s="14"/>
      <c r="B2124" s="1"/>
      <c r="C2124" s="1"/>
      <c r="D2124" s="1"/>
    </row>
    <row r="2125">
      <c r="A2125" s="14"/>
      <c r="B2125" s="1"/>
      <c r="C2125" s="1"/>
      <c r="D2125" s="1"/>
    </row>
    <row r="2126">
      <c r="A2126" s="14"/>
      <c r="B2126" s="1"/>
      <c r="C2126" s="1"/>
      <c r="D2126" s="1"/>
    </row>
    <row r="2127">
      <c r="A2127" s="14"/>
      <c r="B2127" s="1"/>
      <c r="C2127" s="1"/>
      <c r="D2127" s="1"/>
    </row>
    <row r="2128">
      <c r="A2128" s="14"/>
      <c r="B2128" s="1"/>
      <c r="C2128" s="1"/>
      <c r="D2128" s="1"/>
    </row>
    <row r="2129">
      <c r="A2129" s="14"/>
      <c r="B2129" s="1"/>
      <c r="C2129" s="1"/>
      <c r="D2129" s="1"/>
    </row>
    <row r="2130">
      <c r="A2130" s="14"/>
      <c r="B2130" s="1"/>
      <c r="C2130" s="1"/>
      <c r="D2130" s="1"/>
    </row>
    <row r="2131">
      <c r="A2131" s="14"/>
      <c r="B2131" s="1"/>
      <c r="C2131" s="1"/>
      <c r="D2131" s="1"/>
    </row>
    <row r="2132">
      <c r="A2132" s="14"/>
      <c r="B2132" s="1"/>
      <c r="C2132" s="1"/>
      <c r="D2132" s="1"/>
    </row>
    <row r="2133">
      <c r="A2133" s="14"/>
      <c r="B2133" s="1"/>
      <c r="C2133" s="1"/>
      <c r="D2133" s="1"/>
    </row>
    <row r="2134">
      <c r="A2134" s="14"/>
      <c r="B2134" s="1"/>
      <c r="C2134" s="1"/>
      <c r="D2134" s="1"/>
    </row>
    <row r="2135">
      <c r="A2135" s="14"/>
      <c r="B2135" s="1"/>
      <c r="C2135" s="1"/>
      <c r="D2135" s="1"/>
    </row>
    <row r="2136">
      <c r="A2136" s="14"/>
      <c r="B2136" s="1"/>
      <c r="C2136" s="1"/>
      <c r="D2136" s="1"/>
    </row>
    <row r="2137">
      <c r="A2137" s="14"/>
      <c r="B2137" s="1"/>
      <c r="C2137" s="1"/>
      <c r="D2137" s="1"/>
    </row>
    <row r="2138">
      <c r="A2138" s="14"/>
      <c r="B2138" s="1"/>
      <c r="C2138" s="1"/>
      <c r="D2138" s="1"/>
    </row>
    <row r="2139">
      <c r="A2139" s="14"/>
      <c r="B2139" s="1"/>
      <c r="C2139" s="1"/>
      <c r="D2139" s="1"/>
    </row>
    <row r="2140">
      <c r="A2140" s="14"/>
      <c r="B2140" s="1"/>
      <c r="C2140" s="1"/>
      <c r="D2140" s="1"/>
    </row>
    <row r="2141">
      <c r="A2141" s="14"/>
      <c r="B2141" s="1"/>
      <c r="C2141" s="1"/>
      <c r="D2141" s="1"/>
    </row>
    <row r="2142">
      <c r="A2142" s="14"/>
      <c r="B2142" s="1"/>
      <c r="C2142" s="1"/>
      <c r="D2142" s="1"/>
    </row>
    <row r="2143">
      <c r="A2143" s="14"/>
      <c r="B2143" s="1"/>
      <c r="C2143" s="1"/>
      <c r="D2143" s="1"/>
    </row>
    <row r="2144">
      <c r="A2144" s="14"/>
      <c r="B2144" s="1"/>
      <c r="C2144" s="1"/>
      <c r="D2144" s="1"/>
    </row>
    <row r="2145">
      <c r="A2145" s="14"/>
      <c r="B2145" s="1"/>
      <c r="C2145" s="1"/>
      <c r="D2145" s="1"/>
    </row>
    <row r="2146">
      <c r="A2146" s="14"/>
      <c r="B2146" s="1"/>
      <c r="C2146" s="1"/>
      <c r="D2146" s="1"/>
    </row>
    <row r="2147">
      <c r="A2147" s="14"/>
      <c r="B2147" s="1"/>
      <c r="C2147" s="1"/>
      <c r="D2147" s="1"/>
    </row>
    <row r="2148">
      <c r="A2148" s="14"/>
      <c r="B2148" s="1"/>
      <c r="C2148" s="1"/>
      <c r="D2148" s="1"/>
    </row>
    <row r="2149">
      <c r="A2149" s="14"/>
      <c r="B2149" s="1"/>
      <c r="C2149" s="1"/>
      <c r="D2149" s="1"/>
    </row>
    <row r="2150">
      <c r="A2150" s="14"/>
      <c r="B2150" s="1"/>
      <c r="C2150" s="1"/>
      <c r="D2150" s="1"/>
    </row>
    <row r="2151">
      <c r="A2151" s="14"/>
      <c r="B2151" s="1"/>
      <c r="C2151" s="1"/>
      <c r="D2151" s="1"/>
    </row>
    <row r="2152">
      <c r="A2152" s="14"/>
      <c r="B2152" s="1"/>
      <c r="C2152" s="1"/>
      <c r="D2152" s="1"/>
    </row>
    <row r="2153">
      <c r="A2153" s="14"/>
      <c r="B2153" s="1"/>
      <c r="C2153" s="1"/>
      <c r="D2153" s="1"/>
    </row>
    <row r="2154">
      <c r="A2154" s="14"/>
      <c r="B2154" s="1"/>
      <c r="C2154" s="1"/>
      <c r="D2154" s="1"/>
    </row>
    <row r="2155">
      <c r="A2155" s="14"/>
      <c r="B2155" s="1"/>
      <c r="C2155" s="1"/>
      <c r="D2155" s="1"/>
    </row>
    <row r="2156">
      <c r="A2156" s="14"/>
      <c r="B2156" s="1"/>
      <c r="C2156" s="1"/>
      <c r="D2156" s="1"/>
    </row>
    <row r="2157">
      <c r="A2157" s="14"/>
      <c r="B2157" s="1"/>
      <c r="C2157" s="1"/>
      <c r="D2157" s="1"/>
    </row>
    <row r="2158">
      <c r="A2158" s="14"/>
      <c r="B2158" s="1"/>
      <c r="C2158" s="1"/>
      <c r="D2158" s="1"/>
    </row>
    <row r="2159">
      <c r="A2159" s="14"/>
      <c r="B2159" s="1"/>
      <c r="C2159" s="1"/>
      <c r="D2159" s="1"/>
    </row>
    <row r="2160">
      <c r="A2160" s="14"/>
      <c r="B2160" s="1"/>
      <c r="C2160" s="1"/>
      <c r="D2160" s="1"/>
    </row>
    <row r="2161">
      <c r="A2161" s="14"/>
      <c r="B2161" s="1"/>
      <c r="C2161" s="1"/>
      <c r="D2161" s="1"/>
    </row>
    <row r="2162">
      <c r="A2162" s="14"/>
      <c r="B2162" s="1"/>
      <c r="C2162" s="1"/>
      <c r="D2162" s="1"/>
    </row>
    <row r="2163">
      <c r="A2163" s="14"/>
      <c r="B2163" s="1"/>
      <c r="C2163" s="1"/>
      <c r="D2163" s="1"/>
    </row>
    <row r="2164">
      <c r="A2164" s="14"/>
      <c r="B2164" s="1"/>
      <c r="C2164" s="1"/>
      <c r="D2164" s="1"/>
    </row>
    <row r="2165">
      <c r="A2165" s="14"/>
      <c r="B2165" s="1"/>
      <c r="C2165" s="1"/>
      <c r="D2165" s="1"/>
    </row>
    <row r="2166">
      <c r="A2166" s="14"/>
      <c r="B2166" s="1"/>
      <c r="C2166" s="1"/>
      <c r="D2166" s="1"/>
    </row>
    <row r="2167">
      <c r="A2167" s="14"/>
      <c r="B2167" s="1"/>
      <c r="C2167" s="1"/>
      <c r="D2167" s="1"/>
    </row>
    <row r="2168">
      <c r="A2168" s="14"/>
      <c r="B2168" s="1"/>
      <c r="C2168" s="1"/>
      <c r="D2168" s="1"/>
    </row>
    <row r="2169">
      <c r="A2169" s="14"/>
      <c r="B2169" s="1"/>
      <c r="C2169" s="1"/>
      <c r="D2169" s="1"/>
    </row>
    <row r="2170">
      <c r="A2170" s="14"/>
      <c r="B2170" s="1"/>
      <c r="C2170" s="1"/>
      <c r="D2170" s="1"/>
    </row>
    <row r="2171">
      <c r="A2171" s="14"/>
      <c r="B2171" s="1"/>
      <c r="C2171" s="1"/>
      <c r="D2171" s="1"/>
    </row>
    <row r="2172">
      <c r="A2172" s="14"/>
      <c r="B2172" s="1"/>
      <c r="C2172" s="1"/>
      <c r="D2172" s="1"/>
    </row>
    <row r="2173">
      <c r="A2173" s="14"/>
      <c r="B2173" s="1"/>
      <c r="C2173" s="1"/>
      <c r="D2173" s="1"/>
    </row>
    <row r="2174">
      <c r="A2174" s="14"/>
      <c r="B2174" s="1"/>
      <c r="C2174" s="1"/>
      <c r="D2174" s="1"/>
    </row>
    <row r="2175">
      <c r="A2175" s="14"/>
      <c r="B2175" s="1"/>
      <c r="C2175" s="1"/>
      <c r="D2175" s="1"/>
    </row>
    <row r="2176">
      <c r="A2176" s="14"/>
      <c r="B2176" s="1"/>
      <c r="C2176" s="1"/>
      <c r="D2176" s="1"/>
    </row>
    <row r="2177">
      <c r="A2177" s="14"/>
      <c r="B2177" s="1"/>
      <c r="C2177" s="1"/>
      <c r="D2177" s="1"/>
    </row>
    <row r="2178">
      <c r="A2178" s="14"/>
      <c r="B2178" s="1"/>
      <c r="C2178" s="1"/>
      <c r="D2178" s="1"/>
    </row>
    <row r="2179">
      <c r="A2179" s="14"/>
      <c r="B2179" s="1"/>
      <c r="C2179" s="1"/>
      <c r="D2179" s="1"/>
    </row>
    <row r="2180">
      <c r="A2180" s="14"/>
      <c r="B2180" s="1"/>
      <c r="C2180" s="1"/>
      <c r="D2180" s="1"/>
    </row>
    <row r="2181">
      <c r="A2181" s="14"/>
      <c r="B2181" s="1"/>
      <c r="C2181" s="1"/>
      <c r="D2181" s="1"/>
    </row>
    <row r="2182">
      <c r="A2182" s="14"/>
      <c r="B2182" s="1"/>
      <c r="C2182" s="1"/>
      <c r="D2182" s="1"/>
    </row>
    <row r="2183">
      <c r="A2183" s="14"/>
      <c r="B2183" s="1"/>
      <c r="C2183" s="1"/>
      <c r="D2183" s="1"/>
    </row>
    <row r="2184">
      <c r="A2184" s="14"/>
      <c r="B2184" s="1"/>
      <c r="C2184" s="1"/>
      <c r="D2184" s="1"/>
    </row>
    <row r="2185">
      <c r="A2185" s="14"/>
      <c r="B2185" s="1"/>
      <c r="C2185" s="1"/>
      <c r="D2185" s="1"/>
    </row>
    <row r="2186">
      <c r="A2186" s="14"/>
      <c r="B2186" s="1"/>
      <c r="C2186" s="1"/>
      <c r="D2186" s="1"/>
    </row>
    <row r="2187">
      <c r="A2187" s="14"/>
      <c r="B2187" s="1"/>
      <c r="C2187" s="1"/>
      <c r="D2187" s="1"/>
    </row>
    <row r="2188">
      <c r="A2188" s="14"/>
      <c r="B2188" s="1"/>
      <c r="C2188" s="1"/>
      <c r="D2188" s="1"/>
    </row>
    <row r="2189">
      <c r="A2189" s="14"/>
      <c r="B2189" s="1"/>
      <c r="C2189" s="1"/>
      <c r="D2189" s="1"/>
    </row>
    <row r="2190">
      <c r="A2190" s="14"/>
      <c r="B2190" s="1"/>
      <c r="C2190" s="1"/>
      <c r="D2190" s="1"/>
    </row>
    <row r="2191">
      <c r="A2191" s="14"/>
      <c r="B2191" s="1"/>
      <c r="C2191" s="1"/>
      <c r="D2191" s="1"/>
    </row>
    <row r="2192">
      <c r="A2192" s="14"/>
      <c r="B2192" s="1"/>
      <c r="C2192" s="1"/>
      <c r="D2192" s="1"/>
    </row>
    <row r="2193">
      <c r="A2193" s="14"/>
      <c r="B2193" s="1"/>
      <c r="C2193" s="1"/>
      <c r="D2193" s="1"/>
    </row>
    <row r="2194">
      <c r="A2194" s="14"/>
      <c r="B2194" s="1"/>
      <c r="C2194" s="1"/>
      <c r="D2194" s="1"/>
    </row>
    <row r="2195">
      <c r="A2195" s="14"/>
      <c r="B2195" s="1"/>
      <c r="C2195" s="1"/>
      <c r="D2195" s="1"/>
    </row>
    <row r="2196">
      <c r="A2196" s="14"/>
      <c r="B2196" s="1"/>
      <c r="C2196" s="1"/>
      <c r="D2196" s="1"/>
    </row>
    <row r="2197">
      <c r="A2197" s="14"/>
      <c r="B2197" s="1"/>
      <c r="C2197" s="1"/>
      <c r="D2197" s="1"/>
    </row>
    <row r="2198">
      <c r="A2198" s="14"/>
      <c r="B2198" s="1"/>
      <c r="C2198" s="1"/>
      <c r="D2198" s="1"/>
    </row>
    <row r="2199">
      <c r="A2199" s="14"/>
      <c r="B2199" s="1"/>
      <c r="C2199" s="1"/>
      <c r="D2199" s="1"/>
    </row>
    <row r="2200">
      <c r="A2200" s="14"/>
      <c r="B2200" s="1"/>
      <c r="C2200" s="1"/>
      <c r="D2200" s="1"/>
    </row>
    <row r="2201">
      <c r="A2201" s="14"/>
      <c r="B2201" s="1"/>
      <c r="C2201" s="1"/>
      <c r="D2201" s="1"/>
    </row>
    <row r="2202">
      <c r="A2202" s="14"/>
      <c r="B2202" s="1"/>
      <c r="C2202" s="1"/>
      <c r="D2202" s="1"/>
    </row>
    <row r="2203">
      <c r="A2203" s="14"/>
      <c r="B2203" s="1"/>
      <c r="C2203" s="1"/>
      <c r="D2203" s="1"/>
    </row>
    <row r="2204">
      <c r="A2204" s="14"/>
      <c r="B2204" s="1"/>
      <c r="C2204" s="1"/>
      <c r="D2204" s="1"/>
    </row>
    <row r="2205">
      <c r="A2205" s="14"/>
      <c r="B2205" s="1"/>
      <c r="C2205" s="1"/>
      <c r="D2205" s="1"/>
    </row>
    <row r="2206">
      <c r="A2206" s="14"/>
      <c r="B2206" s="1"/>
      <c r="C2206" s="1"/>
      <c r="D2206" s="1"/>
    </row>
    <row r="2207">
      <c r="A2207" s="14"/>
      <c r="B2207" s="1"/>
      <c r="C2207" s="1"/>
      <c r="D2207" s="1"/>
    </row>
    <row r="2208">
      <c r="A2208" s="14"/>
      <c r="B2208" s="1"/>
      <c r="C2208" s="1"/>
      <c r="D2208" s="1"/>
    </row>
    <row r="2209">
      <c r="A2209" s="14"/>
      <c r="B2209" s="1"/>
      <c r="C2209" s="1"/>
      <c r="D2209" s="1"/>
    </row>
    <row r="2210">
      <c r="A2210" s="14"/>
      <c r="B2210" s="1"/>
      <c r="C2210" s="1"/>
      <c r="D2210" s="1"/>
    </row>
    <row r="2211">
      <c r="A2211" s="14"/>
      <c r="B2211" s="1"/>
      <c r="C2211" s="1"/>
      <c r="D2211" s="1"/>
    </row>
    <row r="2212">
      <c r="A2212" s="14"/>
      <c r="B2212" s="1"/>
      <c r="C2212" s="1"/>
      <c r="D2212" s="1"/>
    </row>
    <row r="2213">
      <c r="A2213" s="14"/>
      <c r="B2213" s="1"/>
      <c r="C2213" s="1"/>
      <c r="D2213" s="1"/>
    </row>
    <row r="2214">
      <c r="A2214" s="14"/>
      <c r="B2214" s="1"/>
      <c r="C2214" s="1"/>
      <c r="D2214" s="1"/>
    </row>
    <row r="2215">
      <c r="A2215" s="14"/>
      <c r="B2215" s="1"/>
      <c r="C2215" s="1"/>
      <c r="D2215" s="1"/>
    </row>
    <row r="2216">
      <c r="A2216" s="14"/>
      <c r="B2216" s="1"/>
      <c r="C2216" s="1"/>
      <c r="D2216" s="1"/>
    </row>
    <row r="2217">
      <c r="A2217" s="14"/>
      <c r="B2217" s="1"/>
      <c r="C2217" s="1"/>
      <c r="D2217" s="1"/>
    </row>
    <row r="2218">
      <c r="A2218" s="14"/>
      <c r="B2218" s="1"/>
      <c r="C2218" s="1"/>
      <c r="D2218" s="1"/>
    </row>
    <row r="2219">
      <c r="A2219" s="14"/>
      <c r="B2219" s="1"/>
      <c r="C2219" s="1"/>
      <c r="D2219" s="1"/>
    </row>
    <row r="2220">
      <c r="A2220" s="14"/>
      <c r="B2220" s="1"/>
      <c r="C2220" s="1"/>
      <c r="D2220" s="1"/>
    </row>
    <row r="2221">
      <c r="A2221" s="14"/>
      <c r="B2221" s="1"/>
      <c r="C2221" s="1"/>
      <c r="D2221" s="1"/>
    </row>
    <row r="2222">
      <c r="A2222" s="14"/>
      <c r="B2222" s="1"/>
      <c r="C2222" s="1"/>
      <c r="D2222" s="1"/>
    </row>
    <row r="2223">
      <c r="A2223" s="14"/>
      <c r="B2223" s="1"/>
      <c r="C2223" s="1"/>
      <c r="D2223" s="1"/>
    </row>
    <row r="2224">
      <c r="A2224" s="14"/>
      <c r="B2224" s="1"/>
      <c r="C2224" s="1"/>
      <c r="D2224" s="1"/>
    </row>
    <row r="2225">
      <c r="A2225" s="14"/>
      <c r="B2225" s="1"/>
      <c r="C2225" s="1"/>
      <c r="D2225" s="1"/>
    </row>
    <row r="2226">
      <c r="A2226" s="14"/>
      <c r="B2226" s="1"/>
      <c r="C2226" s="1"/>
      <c r="D2226" s="1"/>
    </row>
    <row r="2227">
      <c r="A2227" s="14"/>
      <c r="B2227" s="1"/>
      <c r="C2227" s="1"/>
      <c r="D2227" s="1"/>
    </row>
    <row r="2228">
      <c r="A2228" s="14"/>
      <c r="B2228" s="1"/>
      <c r="C2228" s="1"/>
      <c r="D2228" s="1"/>
    </row>
    <row r="2229">
      <c r="A2229" s="14"/>
      <c r="B2229" s="1"/>
      <c r="C2229" s="1"/>
      <c r="D2229" s="1"/>
    </row>
    <row r="2230">
      <c r="A2230" s="14"/>
      <c r="B2230" s="1"/>
      <c r="C2230" s="1"/>
      <c r="D2230" s="1"/>
    </row>
    <row r="2231">
      <c r="A2231" s="14"/>
      <c r="B2231" s="1"/>
      <c r="C2231" s="1"/>
      <c r="D2231" s="1"/>
    </row>
    <row r="2232">
      <c r="A2232" s="14"/>
      <c r="B2232" s="1"/>
      <c r="C2232" s="1"/>
      <c r="D2232" s="1"/>
    </row>
    <row r="2233">
      <c r="A2233" s="14"/>
      <c r="B2233" s="1"/>
      <c r="C2233" s="1"/>
      <c r="D2233" s="1"/>
    </row>
    <row r="2234">
      <c r="A2234" s="14"/>
      <c r="B2234" s="1"/>
      <c r="C2234" s="1"/>
      <c r="D2234" s="1"/>
    </row>
    <row r="2235">
      <c r="A2235" s="14"/>
      <c r="B2235" s="1"/>
      <c r="C2235" s="1"/>
      <c r="D2235" s="1"/>
    </row>
    <row r="2236">
      <c r="A2236" s="14"/>
      <c r="B2236" s="1"/>
      <c r="C2236" s="1"/>
      <c r="D2236" s="1"/>
    </row>
    <row r="2237">
      <c r="A2237" s="14"/>
      <c r="B2237" s="1"/>
      <c r="C2237" s="1"/>
      <c r="D2237" s="1"/>
    </row>
    <row r="2238">
      <c r="A2238" s="14"/>
      <c r="B2238" s="1"/>
      <c r="C2238" s="1"/>
      <c r="D2238" s="1"/>
    </row>
    <row r="2239">
      <c r="A2239" s="14"/>
      <c r="B2239" s="1"/>
      <c r="C2239" s="1"/>
      <c r="D2239" s="1"/>
    </row>
    <row r="2240">
      <c r="A2240" s="14"/>
      <c r="B2240" s="1"/>
      <c r="C2240" s="1"/>
      <c r="D2240" s="1"/>
    </row>
    <row r="2241">
      <c r="A2241" s="14"/>
      <c r="B2241" s="1"/>
      <c r="C2241" s="1"/>
      <c r="D2241" s="1"/>
    </row>
    <row r="2242">
      <c r="A2242" s="14"/>
      <c r="B2242" s="1"/>
      <c r="C2242" s="1"/>
      <c r="D2242" s="1"/>
    </row>
    <row r="2243">
      <c r="A2243" s="14"/>
      <c r="B2243" s="1"/>
      <c r="C2243" s="1"/>
      <c r="D2243" s="1"/>
    </row>
    <row r="2244">
      <c r="A2244" s="14"/>
      <c r="B2244" s="1"/>
      <c r="C2244" s="1"/>
      <c r="D2244" s="1"/>
    </row>
    <row r="2245">
      <c r="A2245" s="14"/>
      <c r="B2245" s="1"/>
      <c r="C2245" s="1"/>
      <c r="D2245" s="1"/>
    </row>
    <row r="2246">
      <c r="A2246" s="14"/>
      <c r="B2246" s="1"/>
      <c r="C2246" s="1"/>
      <c r="D2246" s="1"/>
    </row>
    <row r="2247">
      <c r="A2247" s="14"/>
      <c r="B2247" s="1"/>
      <c r="C2247" s="1"/>
      <c r="D2247" s="1"/>
    </row>
    <row r="2248">
      <c r="A2248" s="14"/>
      <c r="B2248" s="1"/>
      <c r="C2248" s="1"/>
      <c r="D2248" s="1"/>
    </row>
    <row r="2249">
      <c r="A2249" s="14"/>
      <c r="B2249" s="1"/>
      <c r="C2249" s="1"/>
      <c r="D2249" s="1"/>
    </row>
    <row r="2250">
      <c r="A2250" s="14"/>
      <c r="B2250" s="1"/>
      <c r="C2250" s="1"/>
      <c r="D2250" s="1"/>
    </row>
    <row r="2251">
      <c r="A2251" s="14"/>
      <c r="B2251" s="1"/>
      <c r="C2251" s="1"/>
      <c r="D2251" s="1"/>
    </row>
    <row r="2252">
      <c r="A2252" s="14"/>
      <c r="B2252" s="1"/>
      <c r="C2252" s="1"/>
      <c r="D2252" s="1"/>
    </row>
    <row r="2253">
      <c r="A2253" s="14"/>
      <c r="B2253" s="1"/>
      <c r="C2253" s="1"/>
      <c r="D2253" s="1"/>
    </row>
    <row r="2254">
      <c r="A2254" s="14"/>
      <c r="B2254" s="1"/>
      <c r="C2254" s="1"/>
      <c r="D2254" s="1"/>
    </row>
    <row r="2255">
      <c r="A2255" s="14"/>
      <c r="B2255" s="1"/>
      <c r="C2255" s="1"/>
      <c r="D2255" s="1"/>
    </row>
    <row r="2256">
      <c r="A2256" s="14"/>
      <c r="B2256" s="1"/>
      <c r="C2256" s="1"/>
      <c r="D2256" s="1"/>
    </row>
    <row r="2257">
      <c r="A2257" s="14"/>
      <c r="B2257" s="1"/>
      <c r="C2257" s="1"/>
      <c r="D2257" s="1"/>
    </row>
    <row r="2258">
      <c r="A2258" s="14"/>
      <c r="B2258" s="1"/>
      <c r="C2258" s="1"/>
      <c r="D2258" s="1"/>
    </row>
    <row r="2259">
      <c r="A2259" s="14"/>
      <c r="B2259" s="1"/>
      <c r="C2259" s="1"/>
      <c r="D2259" s="1"/>
    </row>
    <row r="2260">
      <c r="A2260" s="14"/>
      <c r="B2260" s="1"/>
      <c r="C2260" s="1"/>
      <c r="D2260" s="1"/>
    </row>
    <row r="2261">
      <c r="A2261" s="14"/>
      <c r="B2261" s="1"/>
      <c r="C2261" s="1"/>
      <c r="D2261" s="1"/>
    </row>
    <row r="2262">
      <c r="A2262" s="14"/>
      <c r="B2262" s="1"/>
      <c r="C2262" s="1"/>
      <c r="D2262" s="1"/>
    </row>
    <row r="2263">
      <c r="A2263" s="14"/>
      <c r="B2263" s="1"/>
      <c r="C2263" s="1"/>
      <c r="D2263" s="1"/>
    </row>
    <row r="2264">
      <c r="A2264" s="14"/>
      <c r="B2264" s="1"/>
      <c r="C2264" s="1"/>
      <c r="D2264" s="1"/>
    </row>
    <row r="2265">
      <c r="A2265" s="14"/>
      <c r="B2265" s="1"/>
      <c r="C2265" s="1"/>
      <c r="D2265" s="1"/>
    </row>
    <row r="2266">
      <c r="A2266" s="14"/>
      <c r="B2266" s="1"/>
      <c r="C2266" s="1"/>
      <c r="D2266" s="1"/>
    </row>
    <row r="2267">
      <c r="A2267" s="14"/>
      <c r="B2267" s="1"/>
      <c r="C2267" s="1"/>
      <c r="D2267" s="1"/>
    </row>
    <row r="2268">
      <c r="A2268" s="14"/>
      <c r="B2268" s="1"/>
      <c r="C2268" s="1"/>
      <c r="D2268" s="1"/>
    </row>
    <row r="2269">
      <c r="A2269" s="14"/>
      <c r="B2269" s="1"/>
      <c r="C2269" s="1"/>
      <c r="D2269" s="1"/>
    </row>
    <row r="2270">
      <c r="A2270" s="14"/>
      <c r="B2270" s="1"/>
      <c r="C2270" s="1"/>
      <c r="D2270" s="1"/>
    </row>
    <row r="2271">
      <c r="A2271" s="14"/>
      <c r="B2271" s="1"/>
      <c r="C2271" s="1"/>
      <c r="D2271" s="1"/>
    </row>
    <row r="2272">
      <c r="A2272" s="14"/>
      <c r="B2272" s="1"/>
      <c r="C2272" s="1"/>
      <c r="D2272" s="1"/>
    </row>
    <row r="2273">
      <c r="A2273" s="14"/>
      <c r="B2273" s="1"/>
      <c r="C2273" s="1"/>
      <c r="D2273" s="1"/>
    </row>
    <row r="2274">
      <c r="A2274" s="14"/>
      <c r="B2274" s="1"/>
      <c r="C2274" s="1"/>
      <c r="D2274" s="1"/>
    </row>
    <row r="2275">
      <c r="A2275" s="14"/>
      <c r="B2275" s="1"/>
      <c r="C2275" s="1"/>
      <c r="D2275" s="1"/>
    </row>
    <row r="2276">
      <c r="A2276" s="14"/>
      <c r="B2276" s="1"/>
      <c r="C2276" s="1"/>
      <c r="D2276" s="1"/>
    </row>
    <row r="2277">
      <c r="A2277" s="14"/>
      <c r="B2277" s="1"/>
      <c r="C2277" s="1"/>
      <c r="D2277" s="1"/>
    </row>
    <row r="2278">
      <c r="A2278" s="14"/>
      <c r="B2278" s="1"/>
      <c r="C2278" s="1"/>
      <c r="D2278" s="1"/>
    </row>
    <row r="2279">
      <c r="A2279" s="14"/>
      <c r="B2279" s="1"/>
      <c r="C2279" s="1"/>
      <c r="D2279" s="1"/>
    </row>
    <row r="2280">
      <c r="A2280" s="14"/>
      <c r="B2280" s="1"/>
      <c r="C2280" s="1"/>
      <c r="D2280" s="1"/>
    </row>
    <row r="2281">
      <c r="A2281" s="14"/>
      <c r="B2281" s="1"/>
      <c r="C2281" s="1"/>
      <c r="D2281" s="1"/>
    </row>
    <row r="2282">
      <c r="A2282" s="14"/>
      <c r="B2282" s="1"/>
      <c r="C2282" s="1"/>
      <c r="D2282" s="1"/>
    </row>
    <row r="2283">
      <c r="A2283" s="14"/>
      <c r="B2283" s="1"/>
      <c r="C2283" s="1"/>
      <c r="D2283" s="1"/>
    </row>
    <row r="2284">
      <c r="A2284" s="14"/>
      <c r="B2284" s="1"/>
      <c r="C2284" s="1"/>
      <c r="D2284" s="1"/>
    </row>
    <row r="2285">
      <c r="A2285" s="14"/>
      <c r="B2285" s="1"/>
      <c r="C2285" s="1"/>
      <c r="D2285" s="1"/>
    </row>
    <row r="2286">
      <c r="A2286" s="14"/>
      <c r="B2286" s="1"/>
      <c r="C2286" s="1"/>
      <c r="D2286" s="1"/>
    </row>
    <row r="2287">
      <c r="A2287" s="14"/>
      <c r="B2287" s="1"/>
      <c r="C2287" s="1"/>
      <c r="D2287" s="1"/>
    </row>
    <row r="2288">
      <c r="A2288" s="14"/>
      <c r="B2288" s="1"/>
      <c r="C2288" s="1"/>
      <c r="D2288" s="1"/>
    </row>
    <row r="2289">
      <c r="A2289" s="14"/>
      <c r="B2289" s="1"/>
      <c r="C2289" s="1"/>
      <c r="D2289" s="1"/>
    </row>
    <row r="2290">
      <c r="A2290" s="14"/>
      <c r="B2290" s="1"/>
      <c r="C2290" s="1"/>
      <c r="D2290" s="1"/>
    </row>
    <row r="2291">
      <c r="A2291" s="14"/>
      <c r="B2291" s="1"/>
      <c r="C2291" s="1"/>
      <c r="D2291" s="1"/>
    </row>
    <row r="2292">
      <c r="A2292" s="14"/>
      <c r="B2292" s="1"/>
      <c r="C2292" s="1"/>
      <c r="D2292" s="1"/>
    </row>
    <row r="2293">
      <c r="A2293" s="14"/>
      <c r="B2293" s="1"/>
      <c r="C2293" s="1"/>
      <c r="D2293" s="1"/>
    </row>
    <row r="2294">
      <c r="A2294" s="14"/>
      <c r="B2294" s="1"/>
      <c r="C2294" s="1"/>
      <c r="D2294" s="1"/>
    </row>
    <row r="2295">
      <c r="A2295" s="14"/>
      <c r="B2295" s="1"/>
      <c r="C2295" s="1"/>
      <c r="D2295" s="1"/>
    </row>
    <row r="2296">
      <c r="A2296" s="14"/>
      <c r="B2296" s="1"/>
      <c r="C2296" s="1"/>
      <c r="D2296" s="1"/>
    </row>
    <row r="2297">
      <c r="A2297" s="14"/>
      <c r="B2297" s="1"/>
      <c r="C2297" s="1"/>
      <c r="D2297" s="1"/>
    </row>
    <row r="2298">
      <c r="A2298" s="14"/>
      <c r="B2298" s="1"/>
      <c r="C2298" s="1"/>
      <c r="D2298" s="1"/>
    </row>
    <row r="2299">
      <c r="A2299" s="14"/>
      <c r="B2299" s="1"/>
      <c r="C2299" s="1"/>
      <c r="D2299" s="1"/>
    </row>
    <row r="2300">
      <c r="A2300" s="14"/>
      <c r="B2300" s="1"/>
      <c r="C2300" s="1"/>
      <c r="D2300" s="1"/>
    </row>
    <row r="2301">
      <c r="A2301" s="14"/>
      <c r="B2301" s="1"/>
      <c r="C2301" s="1"/>
      <c r="D2301" s="1"/>
    </row>
    <row r="2302">
      <c r="A2302" s="14"/>
      <c r="B2302" s="1"/>
      <c r="C2302" s="1"/>
      <c r="D2302" s="1"/>
    </row>
    <row r="2303">
      <c r="A2303" s="14"/>
      <c r="B2303" s="1"/>
      <c r="C2303" s="1"/>
      <c r="D2303" s="1"/>
    </row>
    <row r="2304">
      <c r="A2304" s="14"/>
      <c r="B2304" s="1"/>
      <c r="C2304" s="1"/>
      <c r="D2304" s="1"/>
    </row>
    <row r="2305">
      <c r="A2305" s="14"/>
      <c r="B2305" s="1"/>
      <c r="C2305" s="1"/>
      <c r="D2305" s="1"/>
    </row>
    <row r="2306">
      <c r="A2306" s="14"/>
      <c r="B2306" s="1"/>
      <c r="C2306" s="1"/>
      <c r="D2306" s="1"/>
    </row>
    <row r="2307">
      <c r="A2307" s="14"/>
      <c r="B2307" s="1"/>
      <c r="C2307" s="1"/>
      <c r="D2307" s="1"/>
    </row>
    <row r="2308">
      <c r="A2308" s="14"/>
      <c r="B2308" s="1"/>
      <c r="C2308" s="1"/>
      <c r="D2308" s="1"/>
    </row>
    <row r="2309">
      <c r="A2309" s="14"/>
      <c r="B2309" s="1"/>
      <c r="C2309" s="1"/>
      <c r="D2309" s="1"/>
    </row>
    <row r="2310">
      <c r="A2310" s="14"/>
      <c r="B2310" s="1"/>
      <c r="C2310" s="1"/>
      <c r="D2310" s="1"/>
    </row>
    <row r="2311">
      <c r="A2311" s="14"/>
      <c r="B2311" s="1"/>
      <c r="C2311" s="1"/>
      <c r="D2311" s="1"/>
    </row>
    <row r="2312">
      <c r="A2312" s="14"/>
      <c r="B2312" s="1"/>
      <c r="C2312" s="1"/>
      <c r="D2312" s="1"/>
    </row>
    <row r="2313">
      <c r="A2313" s="14"/>
      <c r="B2313" s="1"/>
      <c r="C2313" s="1"/>
      <c r="D2313" s="1"/>
    </row>
    <row r="2314">
      <c r="A2314" s="14"/>
      <c r="B2314" s="1"/>
      <c r="C2314" s="1"/>
      <c r="D2314" s="1"/>
    </row>
    <row r="2315">
      <c r="A2315" s="14"/>
      <c r="B2315" s="1"/>
      <c r="C2315" s="1"/>
      <c r="D2315" s="1"/>
    </row>
    <row r="2316">
      <c r="A2316" s="14"/>
      <c r="B2316" s="1"/>
      <c r="C2316" s="1"/>
      <c r="D2316" s="1"/>
    </row>
    <row r="2317">
      <c r="A2317" s="14"/>
      <c r="B2317" s="1"/>
      <c r="C2317" s="1"/>
      <c r="D2317" s="1"/>
    </row>
    <row r="2318">
      <c r="A2318" s="14"/>
      <c r="B2318" s="1"/>
      <c r="C2318" s="1"/>
      <c r="D2318" s="1"/>
    </row>
    <row r="2319">
      <c r="A2319" s="14"/>
      <c r="B2319" s="1"/>
      <c r="C2319" s="1"/>
      <c r="D2319" s="1"/>
    </row>
    <row r="2320">
      <c r="A2320" s="14"/>
      <c r="B2320" s="1"/>
      <c r="C2320" s="1"/>
      <c r="D2320" s="1"/>
    </row>
    <row r="2321">
      <c r="A2321" s="14"/>
      <c r="B2321" s="1"/>
      <c r="C2321" s="1"/>
      <c r="D2321" s="1"/>
    </row>
    <row r="2322">
      <c r="A2322" s="14"/>
      <c r="B2322" s="1"/>
      <c r="C2322" s="1"/>
      <c r="D2322" s="1"/>
    </row>
    <row r="2323">
      <c r="A2323" s="14"/>
      <c r="B2323" s="1"/>
      <c r="C2323" s="1"/>
      <c r="D2323" s="1"/>
    </row>
    <row r="2324">
      <c r="A2324" s="14"/>
      <c r="B2324" s="1"/>
      <c r="C2324" s="1"/>
      <c r="D2324" s="1"/>
    </row>
    <row r="2325">
      <c r="A2325" s="14"/>
      <c r="B2325" s="1"/>
      <c r="C2325" s="1"/>
      <c r="D2325" s="1"/>
    </row>
    <row r="2326">
      <c r="A2326" s="14"/>
      <c r="B2326" s="1"/>
      <c r="C2326" s="1"/>
      <c r="D2326" s="1"/>
    </row>
    <row r="2327">
      <c r="A2327" s="14"/>
      <c r="B2327" s="1"/>
      <c r="C2327" s="1"/>
      <c r="D2327" s="1"/>
    </row>
    <row r="2328">
      <c r="A2328" s="14"/>
      <c r="B2328" s="1"/>
      <c r="C2328" s="1"/>
      <c r="D2328" s="1"/>
    </row>
    <row r="2329">
      <c r="A2329" s="14"/>
      <c r="B2329" s="1"/>
      <c r="C2329" s="1"/>
      <c r="D2329" s="1"/>
    </row>
    <row r="2330">
      <c r="A2330" s="14"/>
      <c r="B2330" s="1"/>
      <c r="C2330" s="1"/>
      <c r="D2330" s="1"/>
    </row>
    <row r="2331">
      <c r="A2331" s="14"/>
      <c r="B2331" s="1"/>
      <c r="C2331" s="1"/>
      <c r="D2331" s="1"/>
    </row>
    <row r="2332">
      <c r="A2332" s="14"/>
      <c r="B2332" s="1"/>
      <c r="C2332" s="1"/>
      <c r="D2332" s="1"/>
    </row>
    <row r="2333">
      <c r="A2333" s="14"/>
      <c r="B2333" s="1"/>
      <c r="C2333" s="1"/>
      <c r="D2333" s="1"/>
    </row>
    <row r="2334">
      <c r="A2334" s="14"/>
      <c r="B2334" s="1"/>
      <c r="C2334" s="1"/>
      <c r="D2334" s="1"/>
    </row>
    <row r="2335">
      <c r="A2335" s="14"/>
      <c r="B2335" s="1"/>
      <c r="C2335" s="1"/>
      <c r="D2335" s="1"/>
    </row>
    <row r="2336">
      <c r="A2336" s="14"/>
      <c r="B2336" s="1"/>
      <c r="C2336" s="1"/>
      <c r="D2336" s="1"/>
    </row>
    <row r="2337">
      <c r="A2337" s="14"/>
      <c r="B2337" s="1"/>
      <c r="C2337" s="1"/>
      <c r="D2337" s="1"/>
    </row>
    <row r="2338">
      <c r="A2338" s="14"/>
      <c r="B2338" s="1"/>
      <c r="C2338" s="1"/>
      <c r="D2338" s="1"/>
    </row>
    <row r="2339">
      <c r="A2339" s="14"/>
      <c r="B2339" s="1"/>
      <c r="C2339" s="1"/>
      <c r="D2339" s="1"/>
    </row>
    <row r="2340">
      <c r="A2340" s="14"/>
      <c r="B2340" s="1"/>
      <c r="C2340" s="1"/>
      <c r="D2340" s="1"/>
    </row>
    <row r="2341">
      <c r="A2341" s="14"/>
      <c r="B2341" s="1"/>
      <c r="C2341" s="1"/>
      <c r="D2341" s="1"/>
    </row>
    <row r="2342">
      <c r="A2342" s="14"/>
      <c r="B2342" s="1"/>
      <c r="C2342" s="1"/>
      <c r="D2342" s="1"/>
    </row>
    <row r="2343">
      <c r="A2343" s="14"/>
      <c r="B2343" s="1"/>
      <c r="C2343" s="1"/>
      <c r="D2343" s="1"/>
    </row>
    <row r="2344">
      <c r="A2344" s="14"/>
      <c r="B2344" s="1"/>
      <c r="C2344" s="1"/>
      <c r="D2344" s="1"/>
    </row>
    <row r="2345">
      <c r="A2345" s="14"/>
      <c r="B2345" s="1"/>
      <c r="C2345" s="1"/>
      <c r="D2345" s="1"/>
    </row>
    <row r="2346">
      <c r="A2346" s="14"/>
      <c r="B2346" s="1"/>
      <c r="C2346" s="1"/>
      <c r="D2346" s="1"/>
    </row>
    <row r="2347">
      <c r="A2347" s="14"/>
      <c r="B2347" s="1"/>
      <c r="C2347" s="1"/>
      <c r="D2347" s="1"/>
    </row>
    <row r="2348">
      <c r="A2348" s="14"/>
      <c r="B2348" s="1"/>
      <c r="C2348" s="1"/>
      <c r="D2348" s="1"/>
    </row>
    <row r="2349">
      <c r="A2349" s="14"/>
      <c r="B2349" s="1"/>
      <c r="C2349" s="1"/>
      <c r="D2349" s="1"/>
    </row>
    <row r="2350">
      <c r="A2350" s="14"/>
      <c r="B2350" s="1"/>
      <c r="C2350" s="1"/>
      <c r="D2350" s="1"/>
    </row>
    <row r="2351">
      <c r="A2351" s="14"/>
      <c r="B2351" s="1"/>
      <c r="C2351" s="1"/>
      <c r="D2351" s="1"/>
    </row>
    <row r="2352">
      <c r="A2352" s="14"/>
      <c r="B2352" s="1"/>
      <c r="C2352" s="1"/>
      <c r="D2352" s="1"/>
    </row>
    <row r="2353">
      <c r="A2353" s="14"/>
      <c r="B2353" s="1"/>
      <c r="C2353" s="1"/>
      <c r="D2353" s="1"/>
    </row>
    <row r="2354">
      <c r="A2354" s="14"/>
      <c r="B2354" s="1"/>
      <c r="C2354" s="1"/>
      <c r="D2354" s="1"/>
    </row>
    <row r="2355">
      <c r="A2355" s="14"/>
      <c r="B2355" s="1"/>
      <c r="C2355" s="1"/>
      <c r="D2355" s="1"/>
    </row>
    <row r="2356">
      <c r="A2356" s="14"/>
      <c r="B2356" s="1"/>
      <c r="C2356" s="1"/>
      <c r="D2356" s="1"/>
    </row>
    <row r="2357">
      <c r="A2357" s="14"/>
      <c r="B2357" s="1"/>
      <c r="C2357" s="1"/>
      <c r="D2357" s="1"/>
    </row>
    <row r="2358">
      <c r="A2358" s="14"/>
      <c r="B2358" s="1"/>
      <c r="C2358" s="1"/>
      <c r="D2358" s="1"/>
    </row>
    <row r="2359">
      <c r="A2359" s="14"/>
      <c r="B2359" s="1"/>
      <c r="C2359" s="1"/>
      <c r="D2359" s="1"/>
    </row>
    <row r="2360">
      <c r="A2360" s="14"/>
      <c r="B2360" s="1"/>
      <c r="C2360" s="1"/>
      <c r="D2360" s="1"/>
    </row>
    <row r="2361">
      <c r="A2361" s="14"/>
      <c r="B2361" s="1"/>
      <c r="C2361" s="1"/>
      <c r="D2361" s="1"/>
    </row>
    <row r="2362">
      <c r="A2362" s="14"/>
      <c r="B2362" s="1"/>
      <c r="C2362" s="1"/>
      <c r="D2362" s="1"/>
    </row>
    <row r="2363">
      <c r="A2363" s="14"/>
      <c r="B2363" s="1"/>
      <c r="C2363" s="1"/>
      <c r="D2363" s="1"/>
    </row>
    <row r="2364">
      <c r="A2364" s="14"/>
      <c r="B2364" s="1"/>
      <c r="C2364" s="1"/>
      <c r="D2364" s="1"/>
    </row>
    <row r="2365">
      <c r="A2365" s="14"/>
      <c r="B2365" s="1"/>
      <c r="C2365" s="1"/>
      <c r="D2365" s="1"/>
    </row>
    <row r="2366">
      <c r="A2366" s="14"/>
      <c r="B2366" s="1"/>
      <c r="C2366" s="1"/>
      <c r="D2366" s="1"/>
    </row>
    <row r="2367">
      <c r="A2367" s="14"/>
      <c r="B2367" s="1"/>
      <c r="C2367" s="1"/>
      <c r="D2367" s="1"/>
    </row>
    <row r="2368">
      <c r="A2368" s="14"/>
      <c r="B2368" s="1"/>
      <c r="C2368" s="1"/>
      <c r="D2368" s="1"/>
    </row>
    <row r="2369">
      <c r="A2369" s="14"/>
      <c r="B2369" s="1"/>
      <c r="C2369" s="1"/>
      <c r="D2369" s="1"/>
    </row>
    <row r="2370">
      <c r="A2370" s="14"/>
      <c r="B2370" s="1"/>
      <c r="C2370" s="1"/>
      <c r="D2370" s="1"/>
    </row>
    <row r="2371">
      <c r="A2371" s="14"/>
      <c r="B2371" s="1"/>
      <c r="C2371" s="1"/>
      <c r="D2371" s="1"/>
    </row>
    <row r="2372">
      <c r="A2372" s="14"/>
      <c r="B2372" s="1"/>
      <c r="C2372" s="1"/>
      <c r="D2372" s="1"/>
    </row>
    <row r="2373">
      <c r="A2373" s="14"/>
      <c r="B2373" s="1"/>
      <c r="C2373" s="1"/>
      <c r="D2373" s="1"/>
    </row>
    <row r="2374">
      <c r="A2374" s="14"/>
      <c r="B2374" s="1"/>
      <c r="C2374" s="1"/>
      <c r="D2374" s="1"/>
    </row>
    <row r="2375">
      <c r="A2375" s="14"/>
      <c r="B2375" s="1"/>
      <c r="C2375" s="1"/>
      <c r="D2375" s="1"/>
    </row>
    <row r="2376">
      <c r="A2376" s="14"/>
      <c r="B2376" s="1"/>
      <c r="C2376" s="1"/>
      <c r="D2376" s="1"/>
    </row>
    <row r="2377">
      <c r="A2377" s="14"/>
      <c r="B2377" s="1"/>
      <c r="C2377" s="1"/>
      <c r="D2377" s="1"/>
    </row>
    <row r="2378">
      <c r="A2378" s="14"/>
      <c r="B2378" s="1"/>
      <c r="C2378" s="1"/>
      <c r="D2378" s="1"/>
    </row>
    <row r="2379">
      <c r="A2379" s="14"/>
      <c r="B2379" s="1"/>
      <c r="C2379" s="1"/>
      <c r="D2379" s="1"/>
    </row>
    <row r="2380">
      <c r="A2380" s="14"/>
      <c r="B2380" s="1"/>
      <c r="C2380" s="1"/>
      <c r="D2380" s="1"/>
    </row>
    <row r="2381">
      <c r="A2381" s="14"/>
      <c r="B2381" s="1"/>
      <c r="C2381" s="1"/>
      <c r="D2381" s="1"/>
    </row>
    <row r="2382">
      <c r="A2382" s="14"/>
      <c r="B2382" s="1"/>
      <c r="C2382" s="1"/>
      <c r="D2382" s="1"/>
    </row>
    <row r="2383">
      <c r="A2383" s="14"/>
      <c r="B2383" s="1"/>
      <c r="C2383" s="1"/>
      <c r="D2383" s="1"/>
    </row>
    <row r="2384">
      <c r="A2384" s="14"/>
      <c r="B2384" s="1"/>
      <c r="C2384" s="1"/>
      <c r="D2384" s="1"/>
    </row>
    <row r="2385">
      <c r="A2385" s="14"/>
      <c r="B2385" s="1"/>
      <c r="C2385" s="1"/>
      <c r="D2385" s="1"/>
    </row>
    <row r="2386">
      <c r="A2386" s="14"/>
      <c r="B2386" s="1"/>
      <c r="C2386" s="1"/>
      <c r="D2386" s="1"/>
    </row>
    <row r="2387">
      <c r="A2387" s="14"/>
      <c r="B2387" s="1"/>
      <c r="C2387" s="1"/>
      <c r="D2387" s="1"/>
    </row>
    <row r="2388">
      <c r="A2388" s="14"/>
      <c r="B2388" s="1"/>
      <c r="C2388" s="1"/>
      <c r="D2388" s="1"/>
    </row>
    <row r="2389">
      <c r="A2389" s="14"/>
      <c r="B2389" s="1"/>
      <c r="C2389" s="1"/>
      <c r="D2389" s="1"/>
    </row>
    <row r="2390">
      <c r="A2390" s="14"/>
      <c r="B2390" s="1"/>
      <c r="C2390" s="1"/>
      <c r="D2390" s="1"/>
    </row>
    <row r="2391">
      <c r="A2391" s="14"/>
      <c r="B2391" s="1"/>
      <c r="C2391" s="1"/>
      <c r="D2391" s="1"/>
    </row>
    <row r="2392">
      <c r="A2392" s="14"/>
      <c r="B2392" s="1"/>
      <c r="C2392" s="1"/>
      <c r="D2392" s="1"/>
    </row>
    <row r="2393">
      <c r="A2393" s="14"/>
      <c r="B2393" s="1"/>
      <c r="C2393" s="1"/>
      <c r="D2393" s="1"/>
    </row>
    <row r="2394">
      <c r="A2394" s="14"/>
      <c r="B2394" s="1"/>
      <c r="C2394" s="1"/>
      <c r="D2394" s="1"/>
    </row>
    <row r="2395">
      <c r="A2395" s="14"/>
      <c r="B2395" s="1"/>
      <c r="C2395" s="1"/>
      <c r="D2395" s="1"/>
    </row>
    <row r="2396">
      <c r="A2396" s="14"/>
      <c r="B2396" s="1"/>
      <c r="C2396" s="1"/>
      <c r="D2396" s="1"/>
    </row>
    <row r="2397">
      <c r="A2397" s="14"/>
      <c r="B2397" s="1"/>
      <c r="C2397" s="1"/>
      <c r="D2397" s="1"/>
    </row>
    <row r="2398">
      <c r="A2398" s="14"/>
      <c r="B2398" s="1"/>
      <c r="C2398" s="1"/>
      <c r="D2398" s="1"/>
    </row>
    <row r="2399">
      <c r="A2399" s="14"/>
      <c r="B2399" s="1"/>
      <c r="C2399" s="1"/>
      <c r="D2399" s="1"/>
    </row>
    <row r="2400">
      <c r="A2400" s="14"/>
      <c r="B2400" s="1"/>
      <c r="C2400" s="1"/>
      <c r="D2400" s="1"/>
    </row>
    <row r="2401">
      <c r="A2401" s="14"/>
      <c r="B2401" s="1"/>
      <c r="C2401" s="1"/>
      <c r="D2401" s="1"/>
    </row>
    <row r="2402">
      <c r="A2402" s="14"/>
      <c r="B2402" s="1"/>
      <c r="C2402" s="1"/>
      <c r="D2402" s="1"/>
    </row>
    <row r="2403">
      <c r="A2403" s="14"/>
      <c r="B2403" s="1"/>
      <c r="C2403" s="1"/>
      <c r="D2403" s="1"/>
    </row>
    <row r="2404">
      <c r="A2404" s="14"/>
      <c r="B2404" s="1"/>
      <c r="C2404" s="1"/>
      <c r="D2404" s="1"/>
    </row>
    <row r="2405">
      <c r="A2405" s="14"/>
      <c r="B2405" s="1"/>
      <c r="C2405" s="1"/>
      <c r="D2405" s="1"/>
    </row>
    <row r="2406">
      <c r="A2406" s="14"/>
      <c r="B2406" s="1"/>
      <c r="C2406" s="1"/>
      <c r="D2406" s="1"/>
    </row>
    <row r="2407">
      <c r="A2407" s="14"/>
      <c r="B2407" s="1"/>
      <c r="C2407" s="1"/>
      <c r="D2407" s="1"/>
    </row>
    <row r="2408">
      <c r="A2408" s="14"/>
      <c r="B2408" s="1"/>
      <c r="C2408" s="1"/>
      <c r="D2408" s="1"/>
    </row>
    <row r="2409">
      <c r="A2409" s="14"/>
      <c r="B2409" s="1"/>
      <c r="C2409" s="1"/>
      <c r="D2409" s="1"/>
    </row>
    <row r="2410">
      <c r="A2410" s="14"/>
      <c r="B2410" s="1"/>
      <c r="C2410" s="1"/>
      <c r="D2410" s="1"/>
    </row>
    <row r="2411">
      <c r="A2411" s="14"/>
      <c r="B2411" s="1"/>
      <c r="C2411" s="1"/>
      <c r="D2411" s="1"/>
    </row>
    <row r="2412">
      <c r="A2412" s="14"/>
      <c r="B2412" s="1"/>
      <c r="C2412" s="1"/>
      <c r="D2412" s="1"/>
    </row>
    <row r="2413">
      <c r="A2413" s="14"/>
      <c r="B2413" s="1"/>
      <c r="C2413" s="1"/>
      <c r="D2413" s="1"/>
    </row>
    <row r="2414">
      <c r="A2414" s="14"/>
      <c r="B2414" s="1"/>
      <c r="C2414" s="1"/>
      <c r="D2414" s="1"/>
    </row>
    <row r="2415">
      <c r="A2415" s="14"/>
      <c r="B2415" s="1"/>
      <c r="C2415" s="1"/>
      <c r="D2415" s="1"/>
    </row>
    <row r="2416">
      <c r="A2416" s="14"/>
      <c r="B2416" s="1"/>
      <c r="C2416" s="1"/>
      <c r="D2416" s="1"/>
    </row>
    <row r="2417">
      <c r="A2417" s="14"/>
      <c r="B2417" s="1"/>
      <c r="C2417" s="1"/>
      <c r="D2417" s="1"/>
    </row>
    <row r="2418">
      <c r="A2418" s="14"/>
      <c r="B2418" s="1"/>
      <c r="C2418" s="1"/>
      <c r="D2418" s="1"/>
    </row>
    <row r="2419">
      <c r="A2419" s="14"/>
      <c r="B2419" s="1"/>
      <c r="C2419" s="1"/>
      <c r="D2419" s="1"/>
    </row>
    <row r="2420">
      <c r="A2420" s="14"/>
      <c r="B2420" s="1"/>
      <c r="C2420" s="1"/>
      <c r="D2420" s="1"/>
    </row>
    <row r="2421">
      <c r="A2421" s="14"/>
      <c r="B2421" s="1"/>
      <c r="C2421" s="1"/>
      <c r="D2421" s="1"/>
    </row>
    <row r="2422">
      <c r="A2422" s="14"/>
      <c r="B2422" s="1"/>
      <c r="C2422" s="1"/>
      <c r="D2422" s="1"/>
    </row>
    <row r="2423">
      <c r="A2423" s="14"/>
      <c r="B2423" s="1"/>
      <c r="C2423" s="1"/>
      <c r="D2423" s="1"/>
    </row>
    <row r="2424">
      <c r="A2424" s="14"/>
      <c r="B2424" s="1"/>
      <c r="C2424" s="1"/>
      <c r="D2424" s="1"/>
    </row>
    <row r="2425">
      <c r="A2425" s="14"/>
      <c r="B2425" s="1"/>
      <c r="C2425" s="1"/>
      <c r="D2425" s="1"/>
    </row>
    <row r="2426">
      <c r="A2426" s="14"/>
      <c r="B2426" s="1"/>
      <c r="C2426" s="1"/>
      <c r="D2426" s="1"/>
    </row>
    <row r="2427">
      <c r="A2427" s="14"/>
      <c r="B2427" s="1"/>
      <c r="C2427" s="1"/>
      <c r="D2427" s="1"/>
    </row>
    <row r="2428">
      <c r="A2428" s="14"/>
      <c r="B2428" s="1"/>
      <c r="C2428" s="1"/>
      <c r="D2428" s="1"/>
    </row>
    <row r="2429">
      <c r="A2429" s="14"/>
      <c r="B2429" s="1"/>
      <c r="C2429" s="1"/>
      <c r="D2429" s="1"/>
    </row>
    <row r="2430">
      <c r="A2430" s="14"/>
      <c r="B2430" s="1"/>
      <c r="C2430" s="1"/>
      <c r="D2430" s="1"/>
    </row>
    <row r="2431">
      <c r="A2431" s="14"/>
      <c r="B2431" s="1"/>
      <c r="C2431" s="1"/>
      <c r="D2431" s="1"/>
    </row>
    <row r="2432">
      <c r="A2432" s="14"/>
      <c r="B2432" s="1"/>
      <c r="C2432" s="1"/>
      <c r="D2432" s="1"/>
    </row>
    <row r="2433">
      <c r="A2433" s="14"/>
      <c r="B2433" s="1"/>
      <c r="C2433" s="1"/>
      <c r="D2433" s="1"/>
    </row>
    <row r="2434">
      <c r="A2434" s="14"/>
      <c r="B2434" s="1"/>
      <c r="C2434" s="1"/>
      <c r="D2434" s="1"/>
    </row>
    <row r="2435">
      <c r="A2435" s="14"/>
      <c r="B2435" s="1"/>
      <c r="C2435" s="1"/>
      <c r="D2435" s="1"/>
    </row>
    <row r="2436">
      <c r="A2436" s="14"/>
      <c r="B2436" s="1"/>
      <c r="C2436" s="1"/>
      <c r="D2436" s="1"/>
    </row>
    <row r="2437">
      <c r="A2437" s="14"/>
      <c r="B2437" s="1"/>
      <c r="C2437" s="1"/>
      <c r="D2437" s="1"/>
    </row>
    <row r="2438">
      <c r="A2438" s="14"/>
      <c r="B2438" s="1"/>
      <c r="C2438" s="1"/>
      <c r="D2438" s="1"/>
    </row>
    <row r="2439">
      <c r="A2439" s="14"/>
      <c r="B2439" s="1"/>
      <c r="C2439" s="1"/>
      <c r="D2439" s="1"/>
    </row>
    <row r="2440">
      <c r="A2440" s="14"/>
      <c r="B2440" s="1"/>
      <c r="C2440" s="1"/>
      <c r="D2440" s="1"/>
    </row>
    <row r="2441">
      <c r="A2441" s="14"/>
      <c r="B2441" s="1"/>
      <c r="C2441" s="1"/>
      <c r="D2441" s="1"/>
    </row>
    <row r="2442">
      <c r="A2442" s="14"/>
      <c r="B2442" s="1"/>
      <c r="C2442" s="1"/>
      <c r="D2442" s="1"/>
    </row>
    <row r="2443">
      <c r="A2443" s="14"/>
      <c r="B2443" s="1"/>
      <c r="C2443" s="1"/>
      <c r="D2443" s="1"/>
    </row>
    <row r="2444">
      <c r="A2444" s="14"/>
      <c r="B2444" s="1"/>
      <c r="C2444" s="1"/>
      <c r="D2444" s="1"/>
    </row>
    <row r="2445">
      <c r="A2445" s="14"/>
      <c r="B2445" s="1"/>
      <c r="C2445" s="1"/>
      <c r="D2445" s="1"/>
    </row>
    <row r="2446">
      <c r="A2446" s="14"/>
      <c r="B2446" s="1"/>
      <c r="C2446" s="1"/>
      <c r="D2446" s="1"/>
    </row>
    <row r="2447">
      <c r="A2447" s="14"/>
      <c r="B2447" s="1"/>
      <c r="C2447" s="1"/>
      <c r="D2447" s="1"/>
    </row>
    <row r="2448">
      <c r="A2448" s="14"/>
      <c r="B2448" s="1"/>
      <c r="C2448" s="1"/>
      <c r="D2448" s="1"/>
    </row>
    <row r="2449">
      <c r="A2449" s="14"/>
      <c r="B2449" s="1"/>
      <c r="C2449" s="1"/>
      <c r="D2449" s="1"/>
    </row>
    <row r="2450">
      <c r="A2450" s="14"/>
      <c r="B2450" s="1"/>
      <c r="C2450" s="1"/>
      <c r="D2450" s="1"/>
    </row>
    <row r="2451">
      <c r="A2451" s="14"/>
      <c r="B2451" s="1"/>
      <c r="C2451" s="1"/>
      <c r="D2451" s="1"/>
    </row>
    <row r="2452">
      <c r="A2452" s="14"/>
      <c r="B2452" s="1"/>
      <c r="C2452" s="1"/>
      <c r="D2452" s="1"/>
    </row>
    <row r="2453">
      <c r="A2453" s="14"/>
      <c r="B2453" s="1"/>
      <c r="C2453" s="1"/>
      <c r="D2453" s="1"/>
    </row>
    <row r="2454">
      <c r="A2454" s="14"/>
      <c r="B2454" s="1"/>
      <c r="C2454" s="1"/>
      <c r="D2454" s="1"/>
    </row>
    <row r="2455">
      <c r="A2455" s="14"/>
      <c r="B2455" s="1"/>
      <c r="C2455" s="1"/>
      <c r="D2455" s="1"/>
    </row>
    <row r="2456">
      <c r="A2456" s="14"/>
      <c r="B2456" s="1"/>
      <c r="C2456" s="1"/>
      <c r="D2456" s="1"/>
    </row>
    <row r="2457">
      <c r="A2457" s="14"/>
      <c r="B2457" s="1"/>
      <c r="C2457" s="1"/>
      <c r="D2457" s="1"/>
    </row>
    <row r="2458">
      <c r="A2458" s="14"/>
      <c r="B2458" s="1"/>
      <c r="C2458" s="1"/>
      <c r="D2458" s="1"/>
    </row>
    <row r="2459">
      <c r="A2459" s="14"/>
      <c r="B2459" s="1"/>
      <c r="C2459" s="1"/>
      <c r="D2459" s="1"/>
    </row>
    <row r="2460">
      <c r="A2460" s="14"/>
      <c r="B2460" s="1"/>
      <c r="C2460" s="1"/>
      <c r="D2460" s="1"/>
    </row>
    <row r="2461">
      <c r="A2461" s="14"/>
      <c r="B2461" s="1"/>
      <c r="C2461" s="1"/>
      <c r="D2461" s="1"/>
    </row>
    <row r="2462">
      <c r="A2462" s="14"/>
      <c r="B2462" s="1"/>
      <c r="C2462" s="1"/>
      <c r="D2462" s="1"/>
    </row>
    <row r="2463">
      <c r="A2463" s="14"/>
      <c r="B2463" s="1"/>
      <c r="C2463" s="1"/>
      <c r="D2463" s="1"/>
    </row>
    <row r="2464">
      <c r="A2464" s="14"/>
      <c r="B2464" s="1"/>
      <c r="C2464" s="1"/>
      <c r="D2464" s="1"/>
    </row>
    <row r="2465">
      <c r="A2465" s="14"/>
      <c r="B2465" s="1"/>
      <c r="C2465" s="1"/>
      <c r="D2465" s="1"/>
    </row>
    <row r="2466">
      <c r="A2466" s="14"/>
      <c r="B2466" s="1"/>
      <c r="C2466" s="1"/>
      <c r="D2466" s="1"/>
    </row>
    <row r="2467">
      <c r="A2467" s="14"/>
      <c r="B2467" s="1"/>
      <c r="C2467" s="1"/>
      <c r="D2467" s="1"/>
    </row>
    <row r="2468">
      <c r="A2468" s="14"/>
      <c r="B2468" s="1"/>
      <c r="C2468" s="1"/>
      <c r="D2468" s="1"/>
    </row>
    <row r="2469">
      <c r="A2469" s="14"/>
      <c r="B2469" s="1"/>
      <c r="C2469" s="1"/>
      <c r="D2469" s="1"/>
    </row>
    <row r="2470">
      <c r="A2470" s="14"/>
      <c r="B2470" s="1"/>
      <c r="C2470" s="1"/>
      <c r="D2470" s="1"/>
    </row>
    <row r="2471">
      <c r="A2471" s="14"/>
      <c r="B2471" s="1"/>
      <c r="C2471" s="1"/>
      <c r="D2471" s="1"/>
    </row>
    <row r="2472">
      <c r="A2472" s="14"/>
      <c r="B2472" s="1"/>
      <c r="C2472" s="1"/>
      <c r="D2472" s="1"/>
    </row>
    <row r="2473">
      <c r="A2473" s="14"/>
      <c r="B2473" s="1"/>
      <c r="C2473" s="1"/>
      <c r="D2473" s="1"/>
    </row>
    <row r="2474">
      <c r="A2474" s="14"/>
      <c r="B2474" s="1"/>
      <c r="C2474" s="1"/>
      <c r="D2474" s="1"/>
    </row>
    <row r="2475">
      <c r="A2475" s="14"/>
      <c r="B2475" s="1"/>
      <c r="C2475" s="1"/>
      <c r="D2475" s="1"/>
    </row>
    <row r="2476">
      <c r="A2476" s="14"/>
      <c r="B2476" s="1"/>
      <c r="C2476" s="1"/>
      <c r="D2476" s="1"/>
    </row>
    <row r="2477">
      <c r="A2477" s="14"/>
      <c r="B2477" s="1"/>
      <c r="C2477" s="1"/>
      <c r="D2477" s="1"/>
    </row>
    <row r="2478">
      <c r="A2478" s="14"/>
      <c r="B2478" s="1"/>
      <c r="C2478" s="1"/>
      <c r="D2478" s="1"/>
    </row>
    <row r="2479">
      <c r="A2479" s="14"/>
      <c r="B2479" s="1"/>
      <c r="C2479" s="1"/>
      <c r="D2479" s="1"/>
    </row>
    <row r="2480">
      <c r="A2480" s="14"/>
      <c r="B2480" s="1"/>
      <c r="C2480" s="1"/>
      <c r="D2480" s="1"/>
    </row>
    <row r="2481">
      <c r="A2481" s="14"/>
      <c r="B2481" s="1"/>
      <c r="C2481" s="1"/>
      <c r="D2481" s="1"/>
    </row>
    <row r="2482">
      <c r="A2482" s="14"/>
      <c r="B2482" s="1"/>
      <c r="C2482" s="1"/>
      <c r="D2482" s="1"/>
    </row>
    <row r="2483">
      <c r="A2483" s="14"/>
      <c r="B2483" s="1"/>
      <c r="C2483" s="1"/>
      <c r="D2483" s="1"/>
    </row>
    <row r="2484">
      <c r="A2484" s="14"/>
      <c r="B2484" s="1"/>
      <c r="C2484" s="1"/>
      <c r="D2484" s="1"/>
    </row>
    <row r="2485">
      <c r="A2485" s="14"/>
      <c r="B2485" s="1"/>
      <c r="C2485" s="1"/>
      <c r="D2485" s="1"/>
    </row>
    <row r="2486">
      <c r="A2486" s="14"/>
      <c r="B2486" s="1"/>
      <c r="C2486" s="1"/>
      <c r="D2486" s="1"/>
    </row>
    <row r="2487">
      <c r="A2487" s="14"/>
      <c r="B2487" s="1"/>
      <c r="C2487" s="1"/>
      <c r="D2487" s="1"/>
    </row>
    <row r="2488">
      <c r="A2488" s="14"/>
      <c r="B2488" s="1"/>
      <c r="C2488" s="1"/>
      <c r="D2488" s="1"/>
    </row>
    <row r="2489">
      <c r="A2489" s="14"/>
      <c r="B2489" s="1"/>
      <c r="C2489" s="1"/>
      <c r="D2489" s="1"/>
    </row>
    <row r="2490">
      <c r="A2490" s="14"/>
      <c r="B2490" s="1"/>
      <c r="C2490" s="1"/>
      <c r="D2490" s="1"/>
    </row>
    <row r="2491">
      <c r="A2491" s="14"/>
      <c r="B2491" s="1"/>
      <c r="C2491" s="1"/>
      <c r="D2491" s="1"/>
    </row>
    <row r="2492">
      <c r="A2492" s="14"/>
      <c r="B2492" s="1"/>
      <c r="C2492" s="1"/>
      <c r="D2492" s="1"/>
    </row>
    <row r="2493">
      <c r="A2493" s="14"/>
      <c r="B2493" s="1"/>
      <c r="C2493" s="1"/>
      <c r="D2493" s="1"/>
    </row>
    <row r="2494">
      <c r="A2494" s="14"/>
      <c r="B2494" s="1"/>
      <c r="C2494" s="1"/>
      <c r="D2494" s="1"/>
    </row>
    <row r="2495">
      <c r="A2495" s="14"/>
      <c r="B2495" s="1"/>
      <c r="C2495" s="1"/>
      <c r="D2495" s="1"/>
    </row>
    <row r="2496">
      <c r="A2496" s="14"/>
      <c r="B2496" s="1"/>
      <c r="C2496" s="1"/>
      <c r="D2496" s="1"/>
    </row>
    <row r="2497">
      <c r="A2497" s="14"/>
      <c r="B2497" s="1"/>
      <c r="C2497" s="1"/>
      <c r="D2497" s="1"/>
    </row>
    <row r="2498">
      <c r="A2498" s="14"/>
      <c r="B2498" s="1"/>
      <c r="C2498" s="1"/>
      <c r="D2498" s="1"/>
    </row>
    <row r="2499">
      <c r="A2499" s="14"/>
      <c r="B2499" s="1"/>
      <c r="C2499" s="1"/>
      <c r="D2499" s="1"/>
    </row>
    <row r="2500">
      <c r="A2500" s="14"/>
      <c r="B2500" s="1"/>
      <c r="C2500" s="1"/>
      <c r="D2500" s="1"/>
    </row>
    <row r="2501">
      <c r="A2501" s="14"/>
      <c r="B2501" s="1"/>
      <c r="C2501" s="1"/>
      <c r="D2501" s="1"/>
    </row>
    <row r="2502">
      <c r="A2502" s="14"/>
      <c r="B2502" s="1"/>
      <c r="C2502" s="1"/>
      <c r="D2502" s="1"/>
    </row>
    <row r="2503">
      <c r="A2503" s="14"/>
      <c r="B2503" s="1"/>
      <c r="C2503" s="1"/>
      <c r="D2503" s="1"/>
    </row>
    <row r="2504">
      <c r="A2504" s="14"/>
      <c r="B2504" s="1"/>
      <c r="C2504" s="1"/>
      <c r="D2504" s="1"/>
    </row>
    <row r="2505">
      <c r="A2505" s="14"/>
      <c r="B2505" s="1"/>
      <c r="C2505" s="1"/>
      <c r="D2505" s="1"/>
    </row>
    <row r="2506">
      <c r="A2506" s="14"/>
      <c r="B2506" s="1"/>
      <c r="C2506" s="1"/>
      <c r="D2506" s="1"/>
    </row>
    <row r="2507">
      <c r="A2507" s="14"/>
      <c r="B2507" s="1"/>
      <c r="C2507" s="1"/>
      <c r="D2507" s="1"/>
    </row>
    <row r="2508">
      <c r="A2508" s="14"/>
      <c r="B2508" s="1"/>
      <c r="C2508" s="1"/>
      <c r="D2508" s="1"/>
    </row>
    <row r="2509">
      <c r="A2509" s="14"/>
      <c r="B2509" s="1"/>
      <c r="C2509" s="1"/>
      <c r="D2509" s="1"/>
    </row>
    <row r="2510">
      <c r="A2510" s="14"/>
      <c r="B2510" s="1"/>
      <c r="C2510" s="1"/>
      <c r="D2510" s="1"/>
    </row>
    <row r="2511">
      <c r="A2511" s="14"/>
      <c r="B2511" s="1"/>
      <c r="C2511" s="1"/>
      <c r="D2511" s="1"/>
    </row>
    <row r="2512">
      <c r="A2512" s="14"/>
      <c r="B2512" s="1"/>
      <c r="C2512" s="1"/>
      <c r="D2512" s="1"/>
    </row>
    <row r="2513">
      <c r="A2513" s="14"/>
      <c r="B2513" s="1"/>
      <c r="C2513" s="1"/>
      <c r="D2513" s="1"/>
    </row>
    <row r="2514">
      <c r="A2514" s="14"/>
      <c r="B2514" s="1"/>
      <c r="C2514" s="1"/>
      <c r="D2514" s="1"/>
    </row>
    <row r="2515">
      <c r="A2515" s="14"/>
      <c r="B2515" s="1"/>
      <c r="C2515" s="1"/>
      <c r="D2515" s="1"/>
    </row>
    <row r="2516">
      <c r="A2516" s="14"/>
      <c r="B2516" s="1"/>
      <c r="C2516" s="1"/>
      <c r="D2516" s="1"/>
    </row>
    <row r="2517">
      <c r="A2517" s="14"/>
      <c r="B2517" s="1"/>
      <c r="C2517" s="1"/>
      <c r="D2517" s="1"/>
    </row>
    <row r="2518">
      <c r="A2518" s="14"/>
      <c r="B2518" s="1"/>
      <c r="C2518" s="1"/>
      <c r="D2518" s="1"/>
    </row>
    <row r="2519">
      <c r="A2519" s="14"/>
      <c r="B2519" s="1"/>
      <c r="C2519" s="1"/>
      <c r="D2519" s="1"/>
    </row>
    <row r="2520">
      <c r="A2520" s="14"/>
      <c r="B2520" s="1"/>
      <c r="C2520" s="1"/>
      <c r="D2520" s="1"/>
    </row>
    <row r="2521">
      <c r="A2521" s="14"/>
      <c r="B2521" s="1"/>
      <c r="C2521" s="1"/>
      <c r="D2521" s="1"/>
    </row>
    <row r="2522">
      <c r="A2522" s="14"/>
      <c r="B2522" s="1"/>
      <c r="C2522" s="1"/>
      <c r="D2522" s="1"/>
    </row>
    <row r="2523">
      <c r="A2523" s="14"/>
      <c r="B2523" s="1"/>
      <c r="C2523" s="1"/>
      <c r="D2523" s="1"/>
    </row>
    <row r="2524">
      <c r="A2524" s="14"/>
      <c r="B2524" s="1"/>
      <c r="C2524" s="1"/>
      <c r="D2524" s="1"/>
    </row>
    <row r="2525">
      <c r="A2525" s="14"/>
      <c r="B2525" s="1"/>
      <c r="C2525" s="1"/>
      <c r="D2525" s="1"/>
    </row>
    <row r="2526">
      <c r="A2526" s="14"/>
      <c r="B2526" s="1"/>
      <c r="C2526" s="1"/>
      <c r="D2526" s="1"/>
    </row>
    <row r="2527">
      <c r="A2527" s="14"/>
      <c r="B2527" s="1"/>
      <c r="C2527" s="1"/>
      <c r="D2527" s="1"/>
    </row>
    <row r="2528">
      <c r="A2528" s="14"/>
      <c r="B2528" s="1"/>
      <c r="C2528" s="1"/>
      <c r="D2528" s="1"/>
    </row>
    <row r="2529">
      <c r="A2529" s="14"/>
      <c r="B2529" s="1"/>
      <c r="C2529" s="1"/>
      <c r="D2529" s="1"/>
    </row>
    <row r="2530">
      <c r="A2530" s="14"/>
      <c r="B2530" s="1"/>
      <c r="C2530" s="1"/>
      <c r="D2530" s="1"/>
    </row>
    <row r="2531">
      <c r="A2531" s="14"/>
      <c r="B2531" s="1"/>
      <c r="C2531" s="1"/>
      <c r="D2531" s="1"/>
    </row>
    <row r="2532">
      <c r="A2532" s="14"/>
      <c r="B2532" s="1"/>
      <c r="C2532" s="1"/>
      <c r="D2532" s="1"/>
    </row>
    <row r="2533">
      <c r="A2533" s="14"/>
      <c r="B2533" s="1"/>
      <c r="C2533" s="1"/>
      <c r="D2533" s="1"/>
    </row>
    <row r="2534">
      <c r="A2534" s="14"/>
      <c r="B2534" s="1"/>
      <c r="C2534" s="1"/>
      <c r="D2534" s="1"/>
    </row>
    <row r="2535">
      <c r="A2535" s="14"/>
      <c r="B2535" s="1"/>
      <c r="C2535" s="1"/>
      <c r="D2535" s="1"/>
    </row>
    <row r="2536">
      <c r="A2536" s="14"/>
      <c r="B2536" s="1"/>
      <c r="C2536" s="1"/>
      <c r="D2536" s="1"/>
    </row>
    <row r="2537">
      <c r="A2537" s="14"/>
      <c r="B2537" s="1"/>
      <c r="C2537" s="1"/>
      <c r="D2537" s="1"/>
    </row>
    <row r="2538">
      <c r="A2538" s="14"/>
      <c r="B2538" s="1"/>
      <c r="C2538" s="1"/>
      <c r="D2538" s="1"/>
    </row>
    <row r="2539">
      <c r="A2539" s="14"/>
      <c r="B2539" s="1"/>
      <c r="C2539" s="1"/>
      <c r="D2539" s="1"/>
    </row>
    <row r="2540">
      <c r="A2540" s="14"/>
      <c r="B2540" s="1"/>
      <c r="C2540" s="1"/>
      <c r="D2540" s="1"/>
    </row>
    <row r="2541">
      <c r="A2541" s="14"/>
      <c r="B2541" s="1"/>
      <c r="C2541" s="1"/>
      <c r="D2541" s="1"/>
    </row>
    <row r="2542">
      <c r="A2542" s="14"/>
      <c r="B2542" s="1"/>
      <c r="C2542" s="1"/>
      <c r="D2542" s="1"/>
    </row>
    <row r="2543">
      <c r="A2543" s="14"/>
      <c r="B2543" s="1"/>
      <c r="C2543" s="1"/>
      <c r="D2543" s="1"/>
    </row>
    <row r="2544">
      <c r="A2544" s="14"/>
      <c r="B2544" s="1"/>
      <c r="C2544" s="1"/>
      <c r="D2544" s="1"/>
    </row>
    <row r="2545">
      <c r="A2545" s="14"/>
      <c r="B2545" s="1"/>
      <c r="C2545" s="1"/>
      <c r="D2545" s="1"/>
    </row>
    <row r="2546">
      <c r="A2546" s="14"/>
      <c r="B2546" s="1"/>
      <c r="C2546" s="1"/>
      <c r="D2546" s="1"/>
    </row>
    <row r="2547">
      <c r="A2547" s="14"/>
      <c r="B2547" s="1"/>
      <c r="C2547" s="1"/>
      <c r="D2547" s="1"/>
    </row>
    <row r="2548">
      <c r="A2548" s="14"/>
      <c r="B2548" s="1"/>
      <c r="C2548" s="1"/>
      <c r="D2548" s="1"/>
    </row>
    <row r="2549">
      <c r="A2549" s="14"/>
      <c r="B2549" s="1"/>
      <c r="C2549" s="1"/>
      <c r="D2549" s="1"/>
    </row>
    <row r="2550">
      <c r="A2550" s="14"/>
      <c r="B2550" s="1"/>
      <c r="C2550" s="1"/>
      <c r="D2550" s="1"/>
    </row>
    <row r="2551">
      <c r="A2551" s="14"/>
      <c r="B2551" s="1"/>
      <c r="C2551" s="1"/>
      <c r="D2551" s="1"/>
    </row>
    <row r="2552">
      <c r="A2552" s="14"/>
      <c r="B2552" s="1"/>
      <c r="C2552" s="1"/>
      <c r="D2552" s="1"/>
    </row>
    <row r="2553">
      <c r="A2553" s="14"/>
      <c r="B2553" s="1"/>
      <c r="C2553" s="1"/>
      <c r="D2553" s="1"/>
    </row>
    <row r="2554">
      <c r="A2554" s="14"/>
      <c r="B2554" s="1"/>
      <c r="C2554" s="1"/>
      <c r="D2554" s="1"/>
    </row>
    <row r="2555">
      <c r="A2555" s="14"/>
      <c r="B2555" s="1"/>
      <c r="C2555" s="1"/>
      <c r="D2555" s="1"/>
    </row>
    <row r="2556">
      <c r="A2556" s="14"/>
      <c r="B2556" s="1"/>
      <c r="C2556" s="1"/>
      <c r="D2556" s="1"/>
    </row>
    <row r="2557">
      <c r="A2557" s="14"/>
      <c r="B2557" s="1"/>
      <c r="C2557" s="1"/>
      <c r="D2557" s="1"/>
    </row>
    <row r="2558">
      <c r="A2558" s="14"/>
      <c r="B2558" s="1"/>
      <c r="C2558" s="1"/>
      <c r="D2558" s="1"/>
    </row>
    <row r="2559">
      <c r="A2559" s="14"/>
      <c r="B2559" s="1"/>
      <c r="C2559" s="1"/>
      <c r="D2559" s="1"/>
    </row>
    <row r="2560">
      <c r="A2560" s="14"/>
      <c r="B2560" s="1"/>
      <c r="C2560" s="1"/>
      <c r="D2560" s="1"/>
    </row>
    <row r="2561">
      <c r="A2561" s="14"/>
      <c r="B2561" s="1"/>
      <c r="C2561" s="1"/>
      <c r="D2561" s="1"/>
    </row>
    <row r="2562">
      <c r="A2562" s="14"/>
      <c r="B2562" s="1"/>
      <c r="C2562" s="1"/>
      <c r="D2562" s="1"/>
    </row>
    <row r="2563">
      <c r="A2563" s="14"/>
      <c r="B2563" s="1"/>
      <c r="C2563" s="1"/>
      <c r="D2563" s="1"/>
    </row>
    <row r="2564">
      <c r="A2564" s="14"/>
      <c r="B2564" s="1"/>
      <c r="C2564" s="1"/>
      <c r="D2564" s="1"/>
    </row>
    <row r="2565">
      <c r="A2565" s="14"/>
      <c r="B2565" s="1"/>
      <c r="C2565" s="1"/>
      <c r="D2565" s="1"/>
    </row>
    <row r="2566">
      <c r="A2566" s="14"/>
      <c r="B2566" s="1"/>
      <c r="C2566" s="1"/>
      <c r="D2566" s="1"/>
    </row>
    <row r="2567">
      <c r="A2567" s="14"/>
      <c r="B2567" s="1"/>
      <c r="C2567" s="1"/>
      <c r="D2567" s="1"/>
    </row>
    <row r="2568">
      <c r="A2568" s="14"/>
      <c r="B2568" s="1"/>
      <c r="C2568" s="1"/>
      <c r="D2568" s="1"/>
    </row>
    <row r="2569">
      <c r="A2569" s="14"/>
      <c r="B2569" s="1"/>
      <c r="C2569" s="1"/>
      <c r="D2569" s="1"/>
    </row>
    <row r="2570">
      <c r="A2570" s="14"/>
      <c r="B2570" s="1"/>
      <c r="C2570" s="1"/>
      <c r="D2570" s="1"/>
    </row>
    <row r="2571">
      <c r="A2571" s="14"/>
      <c r="B2571" s="1"/>
      <c r="C2571" s="1"/>
      <c r="D2571" s="1"/>
    </row>
    <row r="2572">
      <c r="A2572" s="14"/>
      <c r="B2572" s="1"/>
      <c r="C2572" s="1"/>
      <c r="D2572" s="1"/>
    </row>
    <row r="2573">
      <c r="A2573" s="14"/>
      <c r="B2573" s="1"/>
      <c r="C2573" s="1"/>
      <c r="D2573" s="1"/>
    </row>
    <row r="2574">
      <c r="A2574" s="14"/>
      <c r="B2574" s="1"/>
      <c r="C2574" s="1"/>
      <c r="D2574" s="1"/>
    </row>
    <row r="2575">
      <c r="A2575" s="14"/>
      <c r="B2575" s="1"/>
      <c r="C2575" s="1"/>
      <c r="D2575" s="1"/>
    </row>
    <row r="2576">
      <c r="A2576" s="14"/>
      <c r="B2576" s="1"/>
      <c r="C2576" s="1"/>
      <c r="D2576" s="1"/>
    </row>
    <row r="2577">
      <c r="A2577" s="14"/>
      <c r="B2577" s="1"/>
      <c r="C2577" s="1"/>
      <c r="D2577" s="1"/>
    </row>
    <row r="2578">
      <c r="A2578" s="14"/>
      <c r="B2578" s="1"/>
      <c r="C2578" s="1"/>
      <c r="D2578" s="1"/>
    </row>
    <row r="2579">
      <c r="A2579" s="14"/>
      <c r="B2579" s="1"/>
      <c r="C2579" s="1"/>
      <c r="D2579" s="1"/>
    </row>
    <row r="2580">
      <c r="A2580" s="14"/>
      <c r="B2580" s="1"/>
      <c r="C2580" s="1"/>
      <c r="D2580" s="1"/>
    </row>
    <row r="2581">
      <c r="A2581" s="14"/>
      <c r="B2581" s="1"/>
      <c r="C2581" s="1"/>
      <c r="D2581" s="1"/>
    </row>
    <row r="2582">
      <c r="A2582" s="14"/>
      <c r="B2582" s="1"/>
      <c r="C2582" s="1"/>
      <c r="D2582" s="1"/>
    </row>
    <row r="2583">
      <c r="A2583" s="14"/>
      <c r="B2583" s="1"/>
      <c r="C2583" s="1"/>
      <c r="D2583" s="1"/>
    </row>
    <row r="2584">
      <c r="A2584" s="14"/>
      <c r="B2584" s="1"/>
      <c r="C2584" s="1"/>
      <c r="D2584" s="1"/>
    </row>
    <row r="2585">
      <c r="A2585" s="14"/>
      <c r="B2585" s="1"/>
      <c r="C2585" s="1"/>
      <c r="D2585" s="1"/>
    </row>
    <row r="2586">
      <c r="A2586" s="14"/>
      <c r="B2586" s="1"/>
      <c r="C2586" s="1"/>
      <c r="D2586" s="1"/>
    </row>
    <row r="2587">
      <c r="A2587" s="14"/>
      <c r="B2587" s="1"/>
      <c r="C2587" s="1"/>
      <c r="D2587" s="1"/>
    </row>
    <row r="2588">
      <c r="A2588" s="14"/>
      <c r="B2588" s="1"/>
      <c r="C2588" s="1"/>
      <c r="D2588" s="1"/>
    </row>
    <row r="2589">
      <c r="A2589" s="14"/>
      <c r="B2589" s="1"/>
      <c r="C2589" s="1"/>
      <c r="D2589" s="1"/>
    </row>
    <row r="2590">
      <c r="A2590" s="14"/>
      <c r="B2590" s="1"/>
      <c r="C2590" s="1"/>
      <c r="D2590" s="1"/>
    </row>
    <row r="2591">
      <c r="A2591" s="14"/>
      <c r="B2591" s="1"/>
      <c r="C2591" s="1"/>
      <c r="D2591" s="1"/>
    </row>
    <row r="2592">
      <c r="A2592" s="14"/>
      <c r="B2592" s="1"/>
      <c r="C2592" s="1"/>
      <c r="D2592" s="1"/>
    </row>
    <row r="2593">
      <c r="A2593" s="14"/>
      <c r="B2593" s="1"/>
      <c r="C2593" s="1"/>
      <c r="D2593" s="1"/>
    </row>
    <row r="2594">
      <c r="A2594" s="14"/>
      <c r="B2594" s="1"/>
      <c r="C2594" s="1"/>
      <c r="D2594" s="1"/>
    </row>
    <row r="2595">
      <c r="A2595" s="14"/>
      <c r="B2595" s="1"/>
      <c r="C2595" s="1"/>
      <c r="D2595" s="1"/>
    </row>
    <row r="2596">
      <c r="A2596" s="14"/>
      <c r="B2596" s="1"/>
      <c r="C2596" s="1"/>
      <c r="D2596" s="1"/>
    </row>
    <row r="2597">
      <c r="A2597" s="14"/>
      <c r="B2597" s="1"/>
      <c r="C2597" s="1"/>
      <c r="D2597" s="1"/>
    </row>
    <row r="2598">
      <c r="A2598" s="14"/>
      <c r="B2598" s="1"/>
      <c r="C2598" s="1"/>
      <c r="D2598" s="1"/>
    </row>
    <row r="2599">
      <c r="A2599" s="14"/>
      <c r="B2599" s="1"/>
      <c r="C2599" s="1"/>
      <c r="D2599" s="1"/>
    </row>
    <row r="2600">
      <c r="A2600" s="14"/>
      <c r="B2600" s="1"/>
      <c r="C2600" s="1"/>
      <c r="D2600" s="1"/>
    </row>
    <row r="2601">
      <c r="A2601" s="14"/>
      <c r="B2601" s="1"/>
      <c r="C2601" s="1"/>
      <c r="D2601" s="1"/>
    </row>
    <row r="2602">
      <c r="A2602" s="14"/>
      <c r="B2602" s="1"/>
      <c r="C2602" s="1"/>
      <c r="D2602" s="1"/>
    </row>
    <row r="2603">
      <c r="A2603" s="14"/>
      <c r="B2603" s="1"/>
      <c r="C2603" s="1"/>
      <c r="D2603" s="1"/>
    </row>
    <row r="2604">
      <c r="A2604" s="14"/>
      <c r="B2604" s="1"/>
      <c r="C2604" s="1"/>
      <c r="D2604" s="1"/>
    </row>
    <row r="2605">
      <c r="A2605" s="14"/>
      <c r="B2605" s="1"/>
      <c r="C2605" s="1"/>
      <c r="D2605" s="1"/>
    </row>
    <row r="2606">
      <c r="A2606" s="14"/>
      <c r="B2606" s="1"/>
      <c r="C2606" s="1"/>
      <c r="D2606" s="1"/>
    </row>
    <row r="2607">
      <c r="A2607" s="14"/>
      <c r="B2607" s="1"/>
      <c r="C2607" s="1"/>
      <c r="D2607" s="1"/>
    </row>
    <row r="2608">
      <c r="A2608" s="14"/>
      <c r="B2608" s="1"/>
      <c r="C2608" s="1"/>
      <c r="D2608" s="1"/>
    </row>
    <row r="2609">
      <c r="A2609" s="14"/>
      <c r="B2609" s="1"/>
      <c r="C2609" s="1"/>
      <c r="D2609" s="1"/>
    </row>
    <row r="2610">
      <c r="A2610" s="14"/>
      <c r="B2610" s="1"/>
      <c r="C2610" s="1"/>
      <c r="D2610" s="1"/>
    </row>
    <row r="2611">
      <c r="A2611" s="14"/>
      <c r="B2611" s="1"/>
      <c r="C2611" s="1"/>
      <c r="D2611" s="1"/>
    </row>
    <row r="2612">
      <c r="A2612" s="14"/>
      <c r="B2612" s="1"/>
      <c r="C2612" s="1"/>
      <c r="D2612" s="1"/>
    </row>
    <row r="2613">
      <c r="A2613" s="14"/>
      <c r="B2613" s="1"/>
      <c r="C2613" s="1"/>
      <c r="D2613" s="1"/>
    </row>
    <row r="2614">
      <c r="A2614" s="14"/>
      <c r="B2614" s="1"/>
      <c r="C2614" s="1"/>
      <c r="D2614" s="1"/>
    </row>
    <row r="2615">
      <c r="A2615" s="14"/>
      <c r="B2615" s="1"/>
      <c r="C2615" s="1"/>
      <c r="D2615" s="1"/>
    </row>
    <row r="2616">
      <c r="A2616" s="14"/>
      <c r="B2616" s="1"/>
      <c r="C2616" s="1"/>
      <c r="D2616" s="1"/>
    </row>
    <row r="2617">
      <c r="A2617" s="14"/>
      <c r="B2617" s="1"/>
      <c r="C2617" s="1"/>
      <c r="D2617" s="1"/>
    </row>
    <row r="2618">
      <c r="A2618" s="14"/>
      <c r="B2618" s="1"/>
      <c r="C2618" s="1"/>
      <c r="D2618" s="1"/>
    </row>
    <row r="2619">
      <c r="A2619" s="14"/>
      <c r="B2619" s="1"/>
      <c r="C2619" s="1"/>
      <c r="D2619" s="1"/>
    </row>
    <row r="2620">
      <c r="A2620" s="14"/>
      <c r="B2620" s="1"/>
      <c r="C2620" s="1"/>
      <c r="D2620" s="1"/>
    </row>
    <row r="2621">
      <c r="A2621" s="14"/>
      <c r="B2621" s="1"/>
      <c r="C2621" s="1"/>
      <c r="D2621" s="1"/>
    </row>
    <row r="2622">
      <c r="A2622" s="14"/>
      <c r="B2622" s="1"/>
      <c r="C2622" s="1"/>
      <c r="D2622" s="1"/>
    </row>
    <row r="2623">
      <c r="A2623" s="14"/>
      <c r="B2623" s="1"/>
      <c r="C2623" s="1"/>
      <c r="D2623" s="1"/>
    </row>
    <row r="2624">
      <c r="A2624" s="14"/>
      <c r="B2624" s="1"/>
      <c r="C2624" s="1"/>
      <c r="D2624" s="1"/>
    </row>
    <row r="2625">
      <c r="A2625" s="14"/>
      <c r="B2625" s="1"/>
      <c r="C2625" s="1"/>
      <c r="D2625" s="1"/>
    </row>
    <row r="2626">
      <c r="A2626" s="14"/>
      <c r="B2626" s="1"/>
      <c r="C2626" s="1"/>
      <c r="D2626" s="1"/>
    </row>
    <row r="2627">
      <c r="A2627" s="14"/>
      <c r="B2627" s="1"/>
      <c r="C2627" s="1"/>
      <c r="D2627" s="1"/>
    </row>
    <row r="2628">
      <c r="A2628" s="14"/>
      <c r="B2628" s="1"/>
      <c r="C2628" s="1"/>
      <c r="D2628" s="1"/>
    </row>
    <row r="2629">
      <c r="A2629" s="14"/>
      <c r="B2629" s="1"/>
      <c r="C2629" s="1"/>
      <c r="D2629" s="1"/>
    </row>
    <row r="2630">
      <c r="A2630" s="14"/>
      <c r="B2630" s="1"/>
      <c r="C2630" s="1"/>
      <c r="D2630" s="1"/>
    </row>
    <row r="2631">
      <c r="A2631" s="14"/>
      <c r="B2631" s="1"/>
      <c r="C2631" s="1"/>
      <c r="D2631" s="1"/>
    </row>
    <row r="2632">
      <c r="A2632" s="14"/>
      <c r="B2632" s="1"/>
      <c r="C2632" s="1"/>
      <c r="D2632" s="1"/>
    </row>
    <row r="2633">
      <c r="A2633" s="14"/>
      <c r="B2633" s="1"/>
      <c r="C2633" s="1"/>
      <c r="D2633" s="1"/>
    </row>
    <row r="2634">
      <c r="A2634" s="14"/>
      <c r="B2634" s="1"/>
      <c r="C2634" s="1"/>
      <c r="D2634" s="1"/>
    </row>
    <row r="2635">
      <c r="A2635" s="14"/>
      <c r="B2635" s="1"/>
      <c r="C2635" s="1"/>
      <c r="D2635" s="1"/>
    </row>
    <row r="2636">
      <c r="A2636" s="14"/>
      <c r="B2636" s="1"/>
      <c r="C2636" s="1"/>
      <c r="D2636" s="1"/>
    </row>
    <row r="2637">
      <c r="A2637" s="14"/>
      <c r="B2637" s="1"/>
      <c r="C2637" s="1"/>
      <c r="D2637" s="1"/>
    </row>
    <row r="2638">
      <c r="A2638" s="14"/>
      <c r="B2638" s="1"/>
      <c r="C2638" s="1"/>
      <c r="D2638" s="1"/>
    </row>
    <row r="2639">
      <c r="A2639" s="14"/>
      <c r="B2639" s="1"/>
      <c r="C2639" s="1"/>
      <c r="D2639" s="1"/>
    </row>
    <row r="2640">
      <c r="A2640" s="14"/>
      <c r="B2640" s="1"/>
      <c r="C2640" s="1"/>
      <c r="D2640" s="1"/>
    </row>
    <row r="2641">
      <c r="A2641" s="14"/>
      <c r="B2641" s="1"/>
      <c r="C2641" s="1"/>
      <c r="D2641" s="1"/>
    </row>
    <row r="2642">
      <c r="A2642" s="14"/>
      <c r="B2642" s="1"/>
      <c r="C2642" s="1"/>
      <c r="D2642" s="1"/>
    </row>
    <row r="2643">
      <c r="A2643" s="14"/>
      <c r="B2643" s="1"/>
      <c r="C2643" s="1"/>
      <c r="D2643" s="1"/>
    </row>
    <row r="2644">
      <c r="A2644" s="14"/>
      <c r="B2644" s="1"/>
      <c r="C2644" s="1"/>
      <c r="D2644" s="1"/>
    </row>
    <row r="2645">
      <c r="A2645" s="14"/>
      <c r="B2645" s="1"/>
      <c r="C2645" s="1"/>
      <c r="D2645" s="1"/>
    </row>
    <row r="2646">
      <c r="A2646" s="14"/>
      <c r="B2646" s="1"/>
      <c r="C2646" s="1"/>
      <c r="D2646" s="1"/>
    </row>
    <row r="2647">
      <c r="A2647" s="14"/>
      <c r="B2647" s="1"/>
      <c r="C2647" s="1"/>
      <c r="D2647" s="1"/>
    </row>
    <row r="2648">
      <c r="A2648" s="14"/>
      <c r="B2648" s="1"/>
      <c r="C2648" s="1"/>
      <c r="D2648" s="1"/>
    </row>
    <row r="2649">
      <c r="A2649" s="14"/>
      <c r="B2649" s="1"/>
      <c r="C2649" s="1"/>
      <c r="D2649" s="1"/>
    </row>
    <row r="2650">
      <c r="A2650" s="14"/>
      <c r="B2650" s="1"/>
      <c r="C2650" s="1"/>
      <c r="D2650" s="1"/>
    </row>
    <row r="2651">
      <c r="A2651" s="14"/>
      <c r="B2651" s="1"/>
      <c r="C2651" s="1"/>
      <c r="D2651" s="1"/>
    </row>
    <row r="2652">
      <c r="A2652" s="14"/>
      <c r="B2652" s="1"/>
      <c r="C2652" s="1"/>
      <c r="D2652" s="1"/>
    </row>
    <row r="2653">
      <c r="A2653" s="14"/>
      <c r="B2653" s="1"/>
      <c r="C2653" s="1"/>
      <c r="D2653" s="1"/>
    </row>
    <row r="2654">
      <c r="A2654" s="14"/>
      <c r="B2654" s="1"/>
      <c r="C2654" s="1"/>
      <c r="D2654" s="1"/>
    </row>
    <row r="2655">
      <c r="A2655" s="14"/>
      <c r="B2655" s="1"/>
      <c r="C2655" s="1"/>
      <c r="D2655" s="1"/>
    </row>
    <row r="2656">
      <c r="A2656" s="14"/>
      <c r="B2656" s="1"/>
      <c r="C2656" s="1"/>
      <c r="D2656" s="1"/>
    </row>
    <row r="2657">
      <c r="A2657" s="14"/>
      <c r="B2657" s="1"/>
      <c r="C2657" s="1"/>
      <c r="D2657" s="1"/>
    </row>
    <row r="2658">
      <c r="A2658" s="14"/>
      <c r="B2658" s="1"/>
      <c r="C2658" s="1"/>
      <c r="D2658" s="1"/>
    </row>
    <row r="2659">
      <c r="A2659" s="14"/>
      <c r="B2659" s="1"/>
      <c r="C2659" s="1"/>
      <c r="D2659" s="1"/>
    </row>
    <row r="2660">
      <c r="A2660" s="14"/>
      <c r="B2660" s="1"/>
      <c r="C2660" s="1"/>
      <c r="D2660" s="1"/>
    </row>
    <row r="2661">
      <c r="A2661" s="14"/>
      <c r="B2661" s="1"/>
      <c r="C2661" s="1"/>
      <c r="D2661" s="1"/>
    </row>
    <row r="2662">
      <c r="A2662" s="14"/>
      <c r="B2662" s="1"/>
      <c r="C2662" s="1"/>
      <c r="D2662" s="1"/>
    </row>
    <row r="2663">
      <c r="A2663" s="14"/>
      <c r="B2663" s="1"/>
      <c r="C2663" s="1"/>
      <c r="D2663" s="1"/>
    </row>
    <row r="2664">
      <c r="A2664" s="14"/>
      <c r="B2664" s="1"/>
      <c r="C2664" s="1"/>
      <c r="D2664" s="1"/>
    </row>
    <row r="2665">
      <c r="A2665" s="14"/>
      <c r="B2665" s="1"/>
      <c r="C2665" s="1"/>
      <c r="D2665" s="1"/>
    </row>
    <row r="2666">
      <c r="A2666" s="14"/>
      <c r="B2666" s="1"/>
      <c r="C2666" s="1"/>
      <c r="D2666" s="1"/>
    </row>
    <row r="2667">
      <c r="A2667" s="14"/>
      <c r="B2667" s="1"/>
      <c r="C2667" s="1"/>
      <c r="D2667" s="1"/>
    </row>
    <row r="2668">
      <c r="A2668" s="14"/>
      <c r="B2668" s="1"/>
      <c r="C2668" s="1"/>
      <c r="D2668" s="1"/>
    </row>
    <row r="2669">
      <c r="A2669" s="14"/>
      <c r="B2669" s="1"/>
      <c r="C2669" s="1"/>
      <c r="D2669" s="1"/>
    </row>
    <row r="2670">
      <c r="A2670" s="14"/>
      <c r="B2670" s="1"/>
      <c r="C2670" s="1"/>
      <c r="D2670" s="1"/>
    </row>
    <row r="2671">
      <c r="A2671" s="14"/>
      <c r="B2671" s="1"/>
      <c r="C2671" s="1"/>
      <c r="D2671" s="1"/>
    </row>
    <row r="2672">
      <c r="A2672" s="14"/>
      <c r="B2672" s="1"/>
      <c r="C2672" s="1"/>
      <c r="D2672" s="1"/>
    </row>
    <row r="2673">
      <c r="A2673" s="14"/>
      <c r="B2673" s="1"/>
      <c r="C2673" s="1"/>
      <c r="D2673" s="1"/>
    </row>
    <row r="2674">
      <c r="A2674" s="14"/>
      <c r="B2674" s="1"/>
      <c r="C2674" s="1"/>
      <c r="D2674" s="1"/>
    </row>
    <row r="2675">
      <c r="A2675" s="14"/>
      <c r="B2675" s="1"/>
      <c r="C2675" s="1"/>
      <c r="D2675" s="1"/>
    </row>
    <row r="2676">
      <c r="A2676" s="14"/>
      <c r="B2676" s="1"/>
      <c r="C2676" s="1"/>
      <c r="D2676" s="1"/>
    </row>
    <row r="2677">
      <c r="A2677" s="14"/>
      <c r="B2677" s="1"/>
      <c r="C2677" s="1"/>
      <c r="D2677" s="1"/>
    </row>
    <row r="2678">
      <c r="A2678" s="14"/>
      <c r="B2678" s="1"/>
      <c r="C2678" s="1"/>
      <c r="D2678" s="1"/>
    </row>
    <row r="2679">
      <c r="A2679" s="14"/>
      <c r="B2679" s="1"/>
      <c r="C2679" s="1"/>
      <c r="D2679" s="1"/>
    </row>
    <row r="2680">
      <c r="A2680" s="14"/>
      <c r="B2680" s="1"/>
      <c r="C2680" s="1"/>
      <c r="D2680" s="1"/>
    </row>
    <row r="2681">
      <c r="A2681" s="14"/>
      <c r="B2681" s="1"/>
      <c r="C2681" s="1"/>
      <c r="D2681" s="1"/>
    </row>
    <row r="2682">
      <c r="A2682" s="14"/>
      <c r="B2682" s="1"/>
      <c r="C2682" s="1"/>
      <c r="D2682" s="1"/>
    </row>
    <row r="2683">
      <c r="A2683" s="14"/>
      <c r="B2683" s="1"/>
      <c r="C2683" s="1"/>
      <c r="D2683" s="1"/>
    </row>
    <row r="2684">
      <c r="A2684" s="14"/>
      <c r="B2684" s="1"/>
      <c r="C2684" s="1"/>
      <c r="D2684" s="1"/>
    </row>
    <row r="2685">
      <c r="A2685" s="14"/>
      <c r="B2685" s="1"/>
      <c r="C2685" s="1"/>
      <c r="D2685" s="1"/>
    </row>
    <row r="2686">
      <c r="A2686" s="14"/>
      <c r="B2686" s="1"/>
      <c r="C2686" s="1"/>
      <c r="D2686" s="1"/>
    </row>
    <row r="2687">
      <c r="A2687" s="14"/>
      <c r="B2687" s="1"/>
      <c r="C2687" s="1"/>
      <c r="D2687" s="1"/>
    </row>
    <row r="2688">
      <c r="A2688" s="14"/>
      <c r="B2688" s="1"/>
      <c r="C2688" s="1"/>
      <c r="D2688" s="1"/>
    </row>
    <row r="2689">
      <c r="A2689" s="14"/>
      <c r="B2689" s="1"/>
      <c r="C2689" s="1"/>
      <c r="D2689" s="1"/>
    </row>
    <row r="2690">
      <c r="A2690" s="14"/>
      <c r="B2690" s="1"/>
      <c r="C2690" s="1"/>
      <c r="D2690" s="1"/>
    </row>
    <row r="2691">
      <c r="A2691" s="14"/>
      <c r="B2691" s="1"/>
      <c r="C2691" s="1"/>
      <c r="D2691" s="1"/>
    </row>
    <row r="2692">
      <c r="A2692" s="14"/>
      <c r="B2692" s="1"/>
      <c r="C2692" s="1"/>
      <c r="D2692" s="1"/>
    </row>
    <row r="2693">
      <c r="A2693" s="14"/>
      <c r="B2693" s="1"/>
      <c r="C2693" s="1"/>
      <c r="D2693" s="1"/>
    </row>
    <row r="2694">
      <c r="A2694" s="14"/>
      <c r="B2694" s="1"/>
      <c r="C2694" s="1"/>
      <c r="D2694" s="1"/>
    </row>
    <row r="2695">
      <c r="A2695" s="14"/>
      <c r="B2695" s="1"/>
      <c r="C2695" s="1"/>
      <c r="D2695" s="1"/>
    </row>
    <row r="2696">
      <c r="A2696" s="14"/>
      <c r="B2696" s="1"/>
      <c r="C2696" s="1"/>
      <c r="D2696" s="1"/>
    </row>
    <row r="2697">
      <c r="A2697" s="14"/>
      <c r="B2697" s="1"/>
      <c r="C2697" s="1"/>
      <c r="D2697" s="1"/>
    </row>
    <row r="2698">
      <c r="A2698" s="14"/>
      <c r="B2698" s="1"/>
      <c r="C2698" s="1"/>
      <c r="D2698" s="1"/>
    </row>
    <row r="2699">
      <c r="A2699" s="14"/>
      <c r="B2699" s="1"/>
      <c r="C2699" s="1"/>
      <c r="D2699" s="1"/>
    </row>
    <row r="2700">
      <c r="A2700" s="14"/>
      <c r="B2700" s="1"/>
      <c r="C2700" s="1"/>
      <c r="D2700" s="1"/>
    </row>
    <row r="2701">
      <c r="A2701" s="14"/>
      <c r="B2701" s="1"/>
      <c r="C2701" s="1"/>
      <c r="D2701" s="1"/>
    </row>
    <row r="2702">
      <c r="A2702" s="14"/>
      <c r="B2702" s="1"/>
      <c r="C2702" s="1"/>
      <c r="D2702" s="1"/>
    </row>
    <row r="2703">
      <c r="A2703" s="14"/>
      <c r="B2703" s="1"/>
      <c r="C2703" s="1"/>
      <c r="D2703" s="1"/>
    </row>
    <row r="2704">
      <c r="A2704" s="14"/>
      <c r="B2704" s="1"/>
      <c r="C2704" s="1"/>
      <c r="D2704" s="1"/>
    </row>
    <row r="2705">
      <c r="A2705" s="14"/>
      <c r="B2705" s="1"/>
      <c r="C2705" s="1"/>
      <c r="D2705" s="1"/>
    </row>
    <row r="2706">
      <c r="A2706" s="14"/>
      <c r="B2706" s="1"/>
      <c r="C2706" s="1"/>
      <c r="D2706" s="1"/>
    </row>
    <row r="2707">
      <c r="A2707" s="14"/>
      <c r="B2707" s="1"/>
      <c r="C2707" s="1"/>
      <c r="D2707" s="1"/>
    </row>
    <row r="2708">
      <c r="A2708" s="14"/>
      <c r="B2708" s="1"/>
      <c r="C2708" s="1"/>
      <c r="D2708" s="1"/>
    </row>
    <row r="2709">
      <c r="A2709" s="14"/>
      <c r="B2709" s="1"/>
      <c r="C2709" s="1"/>
      <c r="D2709" s="1"/>
    </row>
    <row r="2710">
      <c r="A2710" s="14"/>
      <c r="B2710" s="1"/>
      <c r="C2710" s="1"/>
      <c r="D2710" s="1"/>
    </row>
    <row r="2711">
      <c r="A2711" s="14"/>
      <c r="B2711" s="1"/>
      <c r="C2711" s="1"/>
      <c r="D2711" s="1"/>
    </row>
    <row r="2712">
      <c r="A2712" s="14"/>
      <c r="B2712" s="1"/>
      <c r="C2712" s="1"/>
      <c r="D2712" s="1"/>
    </row>
    <row r="2713">
      <c r="A2713" s="14"/>
      <c r="B2713" s="1"/>
      <c r="C2713" s="1"/>
      <c r="D2713" s="1"/>
    </row>
    <row r="2714">
      <c r="A2714" s="14"/>
      <c r="B2714" s="1"/>
      <c r="C2714" s="1"/>
      <c r="D2714" s="1"/>
    </row>
    <row r="2715">
      <c r="A2715" s="14"/>
      <c r="B2715" s="1"/>
      <c r="C2715" s="1"/>
      <c r="D2715" s="1"/>
    </row>
    <row r="2716">
      <c r="A2716" s="14"/>
      <c r="B2716" s="1"/>
      <c r="C2716" s="1"/>
      <c r="D2716" s="1"/>
    </row>
    <row r="2717">
      <c r="A2717" s="14"/>
      <c r="B2717" s="1"/>
      <c r="C2717" s="1"/>
      <c r="D2717" s="1"/>
    </row>
    <row r="2718">
      <c r="A2718" s="14"/>
      <c r="B2718" s="1"/>
      <c r="C2718" s="1"/>
      <c r="D2718" s="1"/>
    </row>
    <row r="2719">
      <c r="A2719" s="14"/>
      <c r="B2719" s="1"/>
      <c r="C2719" s="1"/>
      <c r="D2719" s="1"/>
    </row>
    <row r="2720">
      <c r="A2720" s="14"/>
      <c r="B2720" s="1"/>
      <c r="C2720" s="1"/>
      <c r="D2720" s="1"/>
    </row>
    <row r="2721">
      <c r="A2721" s="14"/>
      <c r="B2721" s="1"/>
      <c r="C2721" s="1"/>
      <c r="D2721" s="1"/>
    </row>
    <row r="2722">
      <c r="A2722" s="14"/>
      <c r="B2722" s="1"/>
      <c r="C2722" s="1"/>
      <c r="D2722" s="1"/>
    </row>
    <row r="2723">
      <c r="A2723" s="14"/>
      <c r="B2723" s="1"/>
      <c r="C2723" s="1"/>
      <c r="D2723" s="1"/>
    </row>
    <row r="2724">
      <c r="A2724" s="14"/>
      <c r="B2724" s="1"/>
      <c r="C2724" s="1"/>
      <c r="D2724" s="1"/>
    </row>
    <row r="2725">
      <c r="A2725" s="14"/>
      <c r="B2725" s="1"/>
      <c r="C2725" s="1"/>
      <c r="D2725" s="1"/>
    </row>
    <row r="2726">
      <c r="A2726" s="14"/>
      <c r="B2726" s="1"/>
      <c r="C2726" s="1"/>
      <c r="D2726" s="1"/>
    </row>
    <row r="2727">
      <c r="A2727" s="14"/>
      <c r="B2727" s="1"/>
      <c r="C2727" s="1"/>
      <c r="D2727" s="1"/>
    </row>
    <row r="2728">
      <c r="A2728" s="14"/>
      <c r="B2728" s="1"/>
      <c r="C2728" s="1"/>
      <c r="D2728" s="1"/>
    </row>
    <row r="2729">
      <c r="A2729" s="14"/>
      <c r="B2729" s="1"/>
      <c r="C2729" s="1"/>
      <c r="D2729" s="1"/>
    </row>
    <row r="2730">
      <c r="A2730" s="14"/>
      <c r="B2730" s="1"/>
      <c r="C2730" s="1"/>
      <c r="D2730" s="1"/>
    </row>
    <row r="2731">
      <c r="A2731" s="14"/>
      <c r="B2731" s="1"/>
      <c r="C2731" s="1"/>
      <c r="D2731" s="1"/>
    </row>
    <row r="2732">
      <c r="A2732" s="14"/>
      <c r="B2732" s="1"/>
      <c r="C2732" s="1"/>
      <c r="D2732" s="1"/>
    </row>
    <row r="2733">
      <c r="A2733" s="14"/>
      <c r="B2733" s="1"/>
      <c r="C2733" s="1"/>
      <c r="D2733" s="1"/>
    </row>
    <row r="2734">
      <c r="A2734" s="14"/>
      <c r="B2734" s="1"/>
      <c r="C2734" s="1"/>
      <c r="D2734" s="1"/>
    </row>
    <row r="2735">
      <c r="A2735" s="14"/>
      <c r="B2735" s="1"/>
      <c r="C2735" s="1"/>
      <c r="D2735" s="1"/>
    </row>
    <row r="2736">
      <c r="A2736" s="14"/>
      <c r="B2736" s="1"/>
      <c r="C2736" s="1"/>
      <c r="D2736" s="1"/>
    </row>
    <row r="2737">
      <c r="A2737" s="14"/>
      <c r="B2737" s="1"/>
      <c r="C2737" s="1"/>
      <c r="D2737" s="1"/>
    </row>
    <row r="2738">
      <c r="A2738" s="14"/>
      <c r="B2738" s="1"/>
      <c r="C2738" s="1"/>
      <c r="D2738" s="1"/>
    </row>
    <row r="2739">
      <c r="A2739" s="14"/>
      <c r="B2739" s="1"/>
      <c r="C2739" s="1"/>
      <c r="D2739" s="1"/>
    </row>
    <row r="2740">
      <c r="A2740" s="14"/>
      <c r="B2740" s="1"/>
      <c r="C2740" s="1"/>
      <c r="D2740" s="1"/>
    </row>
    <row r="2741">
      <c r="A2741" s="14"/>
      <c r="B2741" s="1"/>
      <c r="C2741" s="1"/>
      <c r="D2741" s="1"/>
    </row>
    <row r="2742">
      <c r="A2742" s="14"/>
      <c r="B2742" s="1"/>
      <c r="C2742" s="1"/>
      <c r="D2742" s="1"/>
    </row>
    <row r="2743">
      <c r="A2743" s="14"/>
      <c r="B2743" s="1"/>
      <c r="C2743" s="1"/>
      <c r="D2743" s="1"/>
    </row>
    <row r="2744">
      <c r="A2744" s="14"/>
      <c r="B2744" s="1"/>
      <c r="C2744" s="1"/>
      <c r="D2744" s="1"/>
    </row>
    <row r="2745">
      <c r="A2745" s="14"/>
      <c r="B2745" s="1"/>
      <c r="C2745" s="1"/>
      <c r="D2745" s="1"/>
    </row>
    <row r="2746">
      <c r="A2746" s="14"/>
      <c r="B2746" s="1"/>
      <c r="C2746" s="1"/>
      <c r="D2746" s="1"/>
    </row>
    <row r="2747">
      <c r="A2747" s="14"/>
      <c r="B2747" s="1"/>
      <c r="C2747" s="1"/>
      <c r="D2747" s="1"/>
    </row>
    <row r="2748">
      <c r="A2748" s="14"/>
      <c r="B2748" s="1"/>
      <c r="C2748" s="1"/>
      <c r="D2748" s="1"/>
    </row>
    <row r="2749">
      <c r="A2749" s="14"/>
      <c r="B2749" s="1"/>
      <c r="C2749" s="1"/>
      <c r="D2749" s="1"/>
    </row>
    <row r="2750">
      <c r="A2750" s="14"/>
      <c r="B2750" s="1"/>
      <c r="C2750" s="1"/>
      <c r="D2750" s="1"/>
    </row>
    <row r="2751">
      <c r="A2751" s="14"/>
      <c r="B2751" s="1"/>
      <c r="C2751" s="1"/>
      <c r="D2751" s="1"/>
    </row>
    <row r="2752">
      <c r="A2752" s="14"/>
      <c r="B2752" s="1"/>
      <c r="C2752" s="1"/>
      <c r="D2752" s="1"/>
    </row>
    <row r="2753">
      <c r="A2753" s="14"/>
      <c r="B2753" s="1"/>
      <c r="C2753" s="1"/>
      <c r="D2753" s="1"/>
    </row>
    <row r="2754">
      <c r="A2754" s="14"/>
      <c r="B2754" s="1"/>
      <c r="C2754" s="1"/>
      <c r="D2754" s="1"/>
    </row>
    <row r="2755">
      <c r="A2755" s="14"/>
      <c r="B2755" s="1"/>
      <c r="C2755" s="1"/>
      <c r="D2755" s="1"/>
    </row>
    <row r="2756">
      <c r="A2756" s="14"/>
      <c r="B2756" s="1"/>
      <c r="C2756" s="1"/>
      <c r="D2756" s="1"/>
    </row>
    <row r="2757">
      <c r="A2757" s="14"/>
      <c r="B2757" s="1"/>
      <c r="C2757" s="1"/>
      <c r="D2757" s="1"/>
    </row>
    <row r="2758">
      <c r="A2758" s="14"/>
      <c r="B2758" s="1"/>
      <c r="C2758" s="1"/>
      <c r="D2758" s="1"/>
    </row>
    <row r="2759">
      <c r="A2759" s="14"/>
      <c r="B2759" s="1"/>
      <c r="C2759" s="1"/>
      <c r="D2759" s="1"/>
    </row>
    <row r="2760">
      <c r="A2760" s="14"/>
      <c r="B2760" s="1"/>
      <c r="C2760" s="1"/>
      <c r="D2760" s="1"/>
    </row>
    <row r="2761">
      <c r="A2761" s="14"/>
      <c r="B2761" s="1"/>
      <c r="C2761" s="1"/>
      <c r="D2761" s="1"/>
    </row>
    <row r="2762">
      <c r="A2762" s="14"/>
      <c r="B2762" s="1"/>
      <c r="C2762" s="1"/>
      <c r="D2762" s="1"/>
    </row>
    <row r="2763">
      <c r="A2763" s="14"/>
      <c r="B2763" s="1"/>
      <c r="C2763" s="1"/>
      <c r="D2763" s="1"/>
    </row>
    <row r="2764">
      <c r="A2764" s="14"/>
      <c r="B2764" s="1"/>
      <c r="C2764" s="1"/>
      <c r="D2764" s="1"/>
    </row>
    <row r="2765">
      <c r="A2765" s="14"/>
      <c r="B2765" s="1"/>
      <c r="C2765" s="1"/>
      <c r="D2765" s="1"/>
    </row>
    <row r="2766">
      <c r="A2766" s="14"/>
      <c r="B2766" s="1"/>
      <c r="C2766" s="1"/>
      <c r="D2766" s="1"/>
    </row>
    <row r="2767">
      <c r="A2767" s="14"/>
      <c r="B2767" s="1"/>
      <c r="C2767" s="1"/>
      <c r="D2767" s="1"/>
    </row>
    <row r="2768">
      <c r="A2768" s="14"/>
      <c r="B2768" s="1"/>
      <c r="C2768" s="1"/>
      <c r="D2768" s="1"/>
    </row>
    <row r="2769">
      <c r="A2769" s="14"/>
      <c r="B2769" s="1"/>
      <c r="C2769" s="1"/>
      <c r="D2769" s="1"/>
    </row>
    <row r="2770">
      <c r="A2770" s="14"/>
      <c r="B2770" s="1"/>
      <c r="C2770" s="1"/>
      <c r="D2770" s="1"/>
    </row>
    <row r="2771">
      <c r="A2771" s="14"/>
      <c r="B2771" s="1"/>
      <c r="C2771" s="1"/>
      <c r="D2771" s="1"/>
    </row>
    <row r="2772">
      <c r="A2772" s="14"/>
      <c r="B2772" s="1"/>
      <c r="C2772" s="1"/>
      <c r="D2772" s="1"/>
    </row>
    <row r="2773">
      <c r="A2773" s="14"/>
      <c r="B2773" s="1"/>
      <c r="C2773" s="1"/>
      <c r="D2773" s="1"/>
    </row>
    <row r="2774">
      <c r="A2774" s="14"/>
      <c r="B2774" s="1"/>
      <c r="C2774" s="1"/>
      <c r="D2774" s="1"/>
    </row>
    <row r="2775">
      <c r="A2775" s="14"/>
      <c r="B2775" s="1"/>
      <c r="C2775" s="1"/>
      <c r="D2775" s="1"/>
    </row>
    <row r="2776">
      <c r="A2776" s="14"/>
      <c r="B2776" s="1"/>
      <c r="C2776" s="1"/>
      <c r="D2776" s="1"/>
    </row>
    <row r="2777">
      <c r="A2777" s="14"/>
      <c r="B2777" s="1"/>
      <c r="C2777" s="1"/>
      <c r="D2777" s="1"/>
    </row>
    <row r="2778">
      <c r="A2778" s="14"/>
      <c r="B2778" s="1"/>
      <c r="C2778" s="1"/>
      <c r="D2778" s="1"/>
    </row>
    <row r="2779">
      <c r="A2779" s="14"/>
      <c r="B2779" s="1"/>
      <c r="C2779" s="1"/>
      <c r="D2779" s="1"/>
    </row>
    <row r="2780">
      <c r="A2780" s="14"/>
      <c r="B2780" s="1"/>
      <c r="C2780" s="1"/>
      <c r="D2780" s="1"/>
    </row>
    <row r="2781">
      <c r="A2781" s="14"/>
      <c r="B2781" s="1"/>
      <c r="C2781" s="1"/>
      <c r="D2781" s="1"/>
    </row>
    <row r="2782">
      <c r="A2782" s="14"/>
      <c r="B2782" s="1"/>
      <c r="C2782" s="1"/>
      <c r="D2782" s="1"/>
    </row>
    <row r="2783">
      <c r="A2783" s="14"/>
      <c r="B2783" s="1"/>
      <c r="C2783" s="1"/>
      <c r="D2783" s="1"/>
    </row>
    <row r="2784">
      <c r="A2784" s="14"/>
      <c r="B2784" s="1"/>
      <c r="C2784" s="1"/>
      <c r="D2784" s="1"/>
    </row>
    <row r="2785">
      <c r="A2785" s="14"/>
      <c r="B2785" s="1"/>
      <c r="C2785" s="1"/>
      <c r="D2785" s="1"/>
    </row>
    <row r="2786">
      <c r="A2786" s="14"/>
      <c r="B2786" s="1"/>
      <c r="C2786" s="1"/>
      <c r="D2786" s="1"/>
    </row>
    <row r="2787">
      <c r="A2787" s="14"/>
      <c r="B2787" s="1"/>
      <c r="C2787" s="1"/>
      <c r="D2787" s="1"/>
    </row>
    <row r="2788">
      <c r="A2788" s="14"/>
      <c r="B2788" s="1"/>
      <c r="C2788" s="1"/>
      <c r="D2788" s="1"/>
    </row>
    <row r="2789">
      <c r="A2789" s="14"/>
      <c r="B2789" s="1"/>
      <c r="C2789" s="1"/>
      <c r="D2789" s="1"/>
    </row>
    <row r="2790">
      <c r="A2790" s="14"/>
      <c r="B2790" s="1"/>
      <c r="C2790" s="1"/>
      <c r="D2790" s="1"/>
    </row>
    <row r="2791">
      <c r="A2791" s="14"/>
      <c r="B2791" s="1"/>
      <c r="C2791" s="1"/>
      <c r="D2791" s="1"/>
    </row>
    <row r="2792">
      <c r="A2792" s="14"/>
      <c r="B2792" s="1"/>
      <c r="C2792" s="1"/>
      <c r="D2792" s="1"/>
    </row>
    <row r="2793">
      <c r="A2793" s="14"/>
      <c r="B2793" s="1"/>
      <c r="C2793" s="1"/>
      <c r="D2793" s="1"/>
    </row>
    <row r="2794">
      <c r="A2794" s="14"/>
      <c r="B2794" s="1"/>
      <c r="C2794" s="1"/>
      <c r="D2794" s="1"/>
    </row>
    <row r="2795">
      <c r="A2795" s="14"/>
      <c r="B2795" s="1"/>
      <c r="C2795" s="1"/>
      <c r="D2795" s="1"/>
    </row>
    <row r="2796">
      <c r="A2796" s="14"/>
      <c r="B2796" s="1"/>
      <c r="C2796" s="1"/>
      <c r="D2796" s="1"/>
    </row>
    <row r="2797">
      <c r="A2797" s="14"/>
      <c r="B2797" s="1"/>
      <c r="C2797" s="1"/>
      <c r="D2797" s="1"/>
    </row>
    <row r="2798">
      <c r="A2798" s="14"/>
      <c r="B2798" s="1"/>
      <c r="C2798" s="1"/>
      <c r="D2798" s="1"/>
    </row>
    <row r="2799">
      <c r="A2799" s="14"/>
      <c r="B2799" s="1"/>
      <c r="C2799" s="1"/>
      <c r="D2799" s="1"/>
    </row>
    <row r="2800">
      <c r="A2800" s="14"/>
      <c r="B2800" s="1"/>
      <c r="C2800" s="1"/>
      <c r="D2800" s="1"/>
    </row>
    <row r="2801">
      <c r="A2801" s="14"/>
      <c r="B2801" s="1"/>
      <c r="C2801" s="1"/>
      <c r="D2801" s="1"/>
    </row>
    <row r="2802">
      <c r="A2802" s="14"/>
      <c r="B2802" s="1"/>
      <c r="C2802" s="1"/>
      <c r="D2802" s="1"/>
    </row>
    <row r="2803">
      <c r="A2803" s="14"/>
      <c r="B2803" s="1"/>
      <c r="C2803" s="1"/>
      <c r="D2803" s="1"/>
    </row>
    <row r="2804">
      <c r="A2804" s="14"/>
      <c r="B2804" s="1"/>
      <c r="C2804" s="1"/>
      <c r="D2804" s="1"/>
    </row>
    <row r="2805">
      <c r="A2805" s="14"/>
      <c r="B2805" s="1"/>
      <c r="C2805" s="1"/>
      <c r="D2805" s="1"/>
    </row>
    <row r="2806">
      <c r="A2806" s="14"/>
      <c r="B2806" s="1"/>
      <c r="C2806" s="1"/>
      <c r="D2806" s="1"/>
    </row>
    <row r="2807">
      <c r="A2807" s="14"/>
      <c r="B2807" s="1"/>
      <c r="C2807" s="1"/>
      <c r="D2807" s="1"/>
    </row>
    <row r="2808">
      <c r="A2808" s="14"/>
      <c r="B2808" s="1"/>
      <c r="C2808" s="1"/>
      <c r="D2808" s="1"/>
    </row>
    <row r="2809">
      <c r="A2809" s="14"/>
      <c r="B2809" s="1"/>
      <c r="C2809" s="1"/>
      <c r="D2809" s="1"/>
    </row>
    <row r="2810">
      <c r="A2810" s="14"/>
      <c r="B2810" s="1"/>
      <c r="C2810" s="1"/>
      <c r="D2810" s="1"/>
    </row>
    <row r="2811">
      <c r="A2811" s="14"/>
      <c r="B2811" s="1"/>
      <c r="C2811" s="1"/>
      <c r="D2811" s="1"/>
    </row>
    <row r="2812">
      <c r="A2812" s="14"/>
      <c r="B2812" s="1"/>
      <c r="C2812" s="1"/>
      <c r="D2812" s="1"/>
    </row>
    <row r="2813">
      <c r="A2813" s="14"/>
      <c r="B2813" s="1"/>
      <c r="C2813" s="1"/>
      <c r="D2813" s="1"/>
    </row>
    <row r="2814">
      <c r="A2814" s="14"/>
      <c r="B2814" s="1"/>
      <c r="C2814" s="1"/>
      <c r="D2814" s="1"/>
    </row>
    <row r="2815">
      <c r="A2815" s="14"/>
      <c r="B2815" s="1"/>
      <c r="C2815" s="1"/>
      <c r="D2815" s="1"/>
    </row>
    <row r="2816">
      <c r="A2816" s="14"/>
      <c r="B2816" s="1"/>
      <c r="C2816" s="1"/>
      <c r="D2816" s="1"/>
    </row>
    <row r="2817">
      <c r="A2817" s="14"/>
      <c r="B2817" s="1"/>
      <c r="C2817" s="1"/>
      <c r="D2817" s="1"/>
    </row>
    <row r="2818">
      <c r="A2818" s="14"/>
      <c r="B2818" s="1"/>
      <c r="C2818" s="1"/>
      <c r="D2818" s="1"/>
    </row>
    <row r="2819">
      <c r="A2819" s="14"/>
      <c r="B2819" s="1"/>
      <c r="C2819" s="1"/>
      <c r="D2819" s="1"/>
    </row>
    <row r="2820">
      <c r="A2820" s="14"/>
      <c r="B2820" s="1"/>
      <c r="C2820" s="1"/>
      <c r="D2820" s="1"/>
    </row>
    <row r="2821">
      <c r="A2821" s="14"/>
      <c r="B2821" s="1"/>
      <c r="C2821" s="1"/>
      <c r="D2821" s="1"/>
    </row>
    <row r="2822">
      <c r="A2822" s="14"/>
      <c r="B2822" s="1"/>
      <c r="C2822" s="1"/>
      <c r="D2822" s="1"/>
    </row>
    <row r="2823">
      <c r="A2823" s="14"/>
      <c r="B2823" s="1"/>
      <c r="C2823" s="1"/>
      <c r="D2823" s="1"/>
    </row>
    <row r="2824">
      <c r="A2824" s="14"/>
      <c r="B2824" s="1"/>
      <c r="C2824" s="1"/>
      <c r="D2824" s="1"/>
    </row>
    <row r="2825">
      <c r="A2825" s="14"/>
      <c r="B2825" s="1"/>
      <c r="C2825" s="1"/>
      <c r="D2825" s="1"/>
    </row>
    <row r="2826">
      <c r="A2826" s="14"/>
      <c r="B2826" s="1"/>
      <c r="C2826" s="1"/>
      <c r="D2826" s="1"/>
    </row>
    <row r="2827">
      <c r="A2827" s="14"/>
      <c r="B2827" s="1"/>
      <c r="C2827" s="1"/>
      <c r="D2827" s="1"/>
    </row>
    <row r="2828">
      <c r="A2828" s="14"/>
      <c r="B2828" s="1"/>
      <c r="C2828" s="1"/>
      <c r="D2828" s="1"/>
    </row>
    <row r="2829">
      <c r="A2829" s="14"/>
      <c r="B2829" s="1"/>
      <c r="C2829" s="1"/>
      <c r="D2829" s="1"/>
    </row>
    <row r="2830">
      <c r="A2830" s="14"/>
      <c r="B2830" s="1"/>
      <c r="C2830" s="1"/>
      <c r="D2830" s="1"/>
    </row>
    <row r="2831">
      <c r="A2831" s="14"/>
      <c r="B2831" s="1"/>
      <c r="C2831" s="1"/>
      <c r="D2831" s="1"/>
    </row>
    <row r="2832">
      <c r="A2832" s="14"/>
      <c r="B2832" s="1"/>
      <c r="C2832" s="1"/>
      <c r="D2832" s="1"/>
    </row>
    <row r="2833">
      <c r="A2833" s="14"/>
      <c r="B2833" s="1"/>
      <c r="C2833" s="1"/>
      <c r="D2833" s="1"/>
    </row>
    <row r="2834">
      <c r="A2834" s="14"/>
      <c r="B2834" s="1"/>
      <c r="C2834" s="1"/>
      <c r="D2834" s="1"/>
    </row>
    <row r="2835">
      <c r="A2835" s="14"/>
      <c r="B2835" s="1"/>
      <c r="C2835" s="1"/>
      <c r="D2835" s="1"/>
    </row>
    <row r="2836">
      <c r="A2836" s="14"/>
      <c r="B2836" s="1"/>
      <c r="C2836" s="1"/>
      <c r="D2836" s="1"/>
    </row>
    <row r="2837">
      <c r="A2837" s="14"/>
      <c r="B2837" s="1"/>
      <c r="C2837" s="1"/>
      <c r="D2837" s="1"/>
    </row>
    <row r="2838">
      <c r="A2838" s="14"/>
      <c r="B2838" s="1"/>
      <c r="C2838" s="1"/>
      <c r="D2838" s="1"/>
    </row>
    <row r="2839">
      <c r="A2839" s="14"/>
      <c r="B2839" s="1"/>
      <c r="C2839" s="1"/>
      <c r="D2839" s="1"/>
    </row>
    <row r="2840">
      <c r="A2840" s="14"/>
      <c r="B2840" s="1"/>
      <c r="C2840" s="1"/>
      <c r="D2840" s="1"/>
    </row>
    <row r="2841">
      <c r="A2841" s="14"/>
      <c r="B2841" s="1"/>
      <c r="C2841" s="1"/>
      <c r="D2841" s="1"/>
    </row>
    <row r="2842">
      <c r="A2842" s="14"/>
      <c r="B2842" s="1"/>
      <c r="C2842" s="1"/>
      <c r="D2842" s="1"/>
    </row>
    <row r="2843">
      <c r="A2843" s="14"/>
      <c r="B2843" s="1"/>
      <c r="C2843" s="1"/>
      <c r="D2843" s="1"/>
    </row>
    <row r="2844">
      <c r="A2844" s="14"/>
      <c r="B2844" s="1"/>
      <c r="C2844" s="1"/>
      <c r="D2844" s="1"/>
    </row>
    <row r="2845">
      <c r="A2845" s="14"/>
      <c r="B2845" s="1"/>
      <c r="C2845" s="1"/>
      <c r="D2845" s="1"/>
    </row>
    <row r="2846">
      <c r="A2846" s="14"/>
      <c r="B2846" s="1"/>
      <c r="C2846" s="1"/>
      <c r="D2846" s="1"/>
    </row>
    <row r="2847">
      <c r="A2847" s="14"/>
      <c r="B2847" s="1"/>
      <c r="C2847" s="1"/>
      <c r="D2847" s="1"/>
    </row>
    <row r="2848">
      <c r="A2848" s="14"/>
      <c r="B2848" s="1"/>
      <c r="C2848" s="1"/>
      <c r="D2848" s="1"/>
    </row>
    <row r="2849">
      <c r="A2849" s="14"/>
      <c r="B2849" s="1"/>
      <c r="C2849" s="1"/>
      <c r="D2849" s="1"/>
    </row>
    <row r="2850">
      <c r="A2850" s="14"/>
      <c r="B2850" s="1"/>
      <c r="C2850" s="1"/>
      <c r="D2850" s="1"/>
    </row>
    <row r="2851">
      <c r="A2851" s="14"/>
      <c r="B2851" s="1"/>
      <c r="C2851" s="1"/>
      <c r="D2851" s="1"/>
    </row>
    <row r="2852">
      <c r="A2852" s="14"/>
      <c r="B2852" s="1"/>
      <c r="C2852" s="1"/>
      <c r="D2852" s="1"/>
    </row>
    <row r="2853">
      <c r="A2853" s="14"/>
      <c r="B2853" s="1"/>
      <c r="C2853" s="1"/>
      <c r="D2853" s="1"/>
    </row>
    <row r="2854">
      <c r="A2854" s="14"/>
      <c r="B2854" s="1"/>
      <c r="C2854" s="1"/>
      <c r="D2854" s="1"/>
    </row>
    <row r="2855">
      <c r="A2855" s="14"/>
      <c r="B2855" s="1"/>
      <c r="C2855" s="1"/>
      <c r="D2855" s="1"/>
    </row>
    <row r="2856">
      <c r="A2856" s="14"/>
      <c r="B2856" s="1"/>
      <c r="C2856" s="1"/>
      <c r="D2856" s="1"/>
    </row>
    <row r="2857">
      <c r="A2857" s="14"/>
      <c r="B2857" s="1"/>
      <c r="C2857" s="1"/>
      <c r="D2857" s="1"/>
    </row>
    <row r="2858">
      <c r="A2858" s="14"/>
      <c r="B2858" s="1"/>
      <c r="C2858" s="1"/>
      <c r="D2858" s="1"/>
    </row>
    <row r="2859">
      <c r="A2859" s="14"/>
      <c r="B2859" s="1"/>
      <c r="C2859" s="1"/>
      <c r="D2859" s="1"/>
    </row>
    <row r="2860">
      <c r="A2860" s="14"/>
      <c r="B2860" s="1"/>
      <c r="C2860" s="1"/>
      <c r="D2860" s="1"/>
    </row>
    <row r="2861">
      <c r="A2861" s="14"/>
      <c r="B2861" s="1"/>
      <c r="C2861" s="1"/>
      <c r="D2861" s="1"/>
    </row>
    <row r="2862">
      <c r="A2862" s="14"/>
      <c r="B2862" s="1"/>
      <c r="C2862" s="1"/>
      <c r="D2862" s="1"/>
    </row>
    <row r="2863">
      <c r="A2863" s="14"/>
      <c r="B2863" s="1"/>
      <c r="C2863" s="1"/>
      <c r="D2863" s="1"/>
    </row>
    <row r="2864">
      <c r="A2864" s="14"/>
      <c r="B2864" s="1"/>
      <c r="C2864" s="1"/>
      <c r="D2864" s="1"/>
    </row>
    <row r="2865">
      <c r="A2865" s="14"/>
      <c r="B2865" s="1"/>
      <c r="C2865" s="1"/>
      <c r="D2865" s="1"/>
    </row>
    <row r="2866">
      <c r="A2866" s="14"/>
      <c r="B2866" s="1"/>
      <c r="C2866" s="1"/>
      <c r="D2866" s="1"/>
    </row>
    <row r="2867">
      <c r="A2867" s="14"/>
      <c r="B2867" s="1"/>
      <c r="C2867" s="1"/>
      <c r="D2867" s="1"/>
    </row>
    <row r="2868">
      <c r="A2868" s="14"/>
      <c r="B2868" s="1"/>
      <c r="C2868" s="1"/>
      <c r="D2868" s="1"/>
    </row>
    <row r="2869">
      <c r="A2869" s="14"/>
      <c r="B2869" s="1"/>
      <c r="C2869" s="1"/>
      <c r="D2869" s="1"/>
    </row>
    <row r="2870">
      <c r="A2870" s="14"/>
      <c r="B2870" s="1"/>
      <c r="C2870" s="1"/>
      <c r="D2870" s="1"/>
    </row>
    <row r="2871">
      <c r="A2871" s="14"/>
      <c r="B2871" s="1"/>
      <c r="C2871" s="1"/>
      <c r="D2871" s="1"/>
    </row>
    <row r="2872">
      <c r="A2872" s="14"/>
      <c r="B2872" s="1"/>
      <c r="C2872" s="1"/>
      <c r="D2872" s="1"/>
    </row>
    <row r="2873">
      <c r="A2873" s="14"/>
      <c r="B2873" s="1"/>
      <c r="C2873" s="1"/>
      <c r="D2873" s="1"/>
    </row>
    <row r="2874">
      <c r="A2874" s="14"/>
      <c r="B2874" s="1"/>
      <c r="C2874" s="1"/>
      <c r="D2874" s="1"/>
    </row>
    <row r="2875">
      <c r="A2875" s="14"/>
      <c r="B2875" s="1"/>
      <c r="C2875" s="1"/>
      <c r="D2875" s="1"/>
    </row>
    <row r="2876">
      <c r="A2876" s="14"/>
      <c r="B2876" s="1"/>
      <c r="C2876" s="1"/>
      <c r="D2876" s="1"/>
    </row>
    <row r="2877">
      <c r="A2877" s="14"/>
      <c r="B2877" s="1"/>
      <c r="C2877" s="1"/>
      <c r="D2877" s="1"/>
    </row>
    <row r="2878">
      <c r="A2878" s="14"/>
      <c r="B2878" s="1"/>
      <c r="C2878" s="1"/>
      <c r="D2878" s="1"/>
    </row>
    <row r="2879">
      <c r="A2879" s="14"/>
      <c r="B2879" s="1"/>
      <c r="C2879" s="1"/>
      <c r="D2879" s="1"/>
    </row>
    <row r="2880">
      <c r="A2880" s="14"/>
      <c r="B2880" s="1"/>
      <c r="C2880" s="1"/>
      <c r="D2880" s="1"/>
    </row>
    <row r="2881">
      <c r="A2881" s="14"/>
      <c r="B2881" s="1"/>
      <c r="C2881" s="1"/>
      <c r="D2881" s="1"/>
    </row>
    <row r="2882">
      <c r="A2882" s="14"/>
      <c r="B2882" s="1"/>
      <c r="C2882" s="1"/>
      <c r="D2882" s="1"/>
    </row>
    <row r="2883">
      <c r="A2883" s="14"/>
      <c r="B2883" s="1"/>
      <c r="C2883" s="1"/>
      <c r="D2883" s="1"/>
    </row>
    <row r="2884">
      <c r="A2884" s="14"/>
      <c r="B2884" s="1"/>
      <c r="C2884" s="1"/>
      <c r="D2884" s="1"/>
    </row>
    <row r="2885">
      <c r="A2885" s="14"/>
      <c r="B2885" s="1"/>
      <c r="C2885" s="1"/>
      <c r="D2885" s="1"/>
    </row>
    <row r="2886">
      <c r="A2886" s="14"/>
      <c r="B2886" s="1"/>
      <c r="C2886" s="1"/>
      <c r="D2886" s="1"/>
    </row>
    <row r="2887">
      <c r="A2887" s="14"/>
      <c r="B2887" s="1"/>
      <c r="C2887" s="1"/>
      <c r="D2887" s="1"/>
    </row>
    <row r="2888">
      <c r="A2888" s="14"/>
      <c r="B2888" s="1"/>
      <c r="C2888" s="1"/>
      <c r="D2888" s="1"/>
    </row>
    <row r="2889">
      <c r="A2889" s="14"/>
      <c r="B2889" s="1"/>
      <c r="C2889" s="1"/>
      <c r="D2889" s="1"/>
    </row>
    <row r="2890">
      <c r="A2890" s="14"/>
      <c r="B2890" s="1"/>
      <c r="C2890" s="1"/>
      <c r="D2890" s="1"/>
    </row>
    <row r="2891">
      <c r="A2891" s="14"/>
      <c r="B2891" s="1"/>
      <c r="C2891" s="1"/>
      <c r="D2891" s="1"/>
    </row>
    <row r="2892">
      <c r="A2892" s="14"/>
      <c r="B2892" s="1"/>
      <c r="C2892" s="1"/>
      <c r="D2892" s="1"/>
    </row>
    <row r="2893">
      <c r="A2893" s="14"/>
      <c r="B2893" s="1"/>
      <c r="C2893" s="1"/>
      <c r="D2893" s="1"/>
    </row>
    <row r="2894">
      <c r="A2894" s="14"/>
      <c r="B2894" s="1"/>
      <c r="C2894" s="1"/>
      <c r="D2894" s="1"/>
    </row>
    <row r="2895">
      <c r="A2895" s="14"/>
      <c r="B2895" s="1"/>
      <c r="C2895" s="1"/>
      <c r="D2895" s="1"/>
    </row>
    <row r="2896">
      <c r="A2896" s="14"/>
      <c r="B2896" s="1"/>
      <c r="C2896" s="1"/>
      <c r="D2896" s="1"/>
    </row>
    <row r="2897">
      <c r="A2897" s="14"/>
      <c r="B2897" s="1"/>
      <c r="C2897" s="1"/>
      <c r="D2897" s="1"/>
    </row>
    <row r="2898">
      <c r="A2898" s="14"/>
      <c r="B2898" s="1"/>
      <c r="C2898" s="1"/>
      <c r="D2898" s="1"/>
    </row>
    <row r="2899">
      <c r="A2899" s="14"/>
      <c r="B2899" s="1"/>
      <c r="C2899" s="1"/>
      <c r="D2899" s="1"/>
    </row>
    <row r="2900">
      <c r="A2900" s="14"/>
      <c r="B2900" s="1"/>
      <c r="C2900" s="1"/>
      <c r="D2900" s="1"/>
    </row>
    <row r="2901">
      <c r="A2901" s="14"/>
      <c r="B2901" s="1"/>
      <c r="C2901" s="1"/>
      <c r="D2901" s="1"/>
    </row>
    <row r="2902">
      <c r="A2902" s="14"/>
      <c r="B2902" s="1"/>
      <c r="C2902" s="1"/>
      <c r="D2902" s="1"/>
    </row>
    <row r="2903">
      <c r="A2903" s="14"/>
      <c r="B2903" s="1"/>
      <c r="C2903" s="1"/>
      <c r="D2903" s="1"/>
    </row>
    <row r="2904">
      <c r="A2904" s="14"/>
      <c r="B2904" s="1"/>
      <c r="C2904" s="1"/>
      <c r="D2904" s="1"/>
    </row>
    <row r="2905">
      <c r="A2905" s="14"/>
      <c r="B2905" s="1"/>
      <c r="C2905" s="1"/>
      <c r="D2905" s="1"/>
    </row>
    <row r="2906">
      <c r="A2906" s="14"/>
      <c r="B2906" s="1"/>
      <c r="C2906" s="1"/>
      <c r="D2906" s="1"/>
    </row>
    <row r="2907">
      <c r="A2907" s="14"/>
      <c r="B2907" s="1"/>
      <c r="C2907" s="1"/>
      <c r="D2907" s="1"/>
    </row>
    <row r="2908">
      <c r="A2908" s="14"/>
      <c r="B2908" s="1"/>
      <c r="C2908" s="1"/>
      <c r="D2908" s="1"/>
    </row>
    <row r="2909">
      <c r="A2909" s="14"/>
      <c r="B2909" s="1"/>
      <c r="C2909" s="1"/>
      <c r="D2909" s="1"/>
    </row>
    <row r="2910">
      <c r="A2910" s="14"/>
      <c r="B2910" s="1"/>
      <c r="C2910" s="1"/>
      <c r="D2910" s="1"/>
    </row>
    <row r="2911">
      <c r="A2911" s="14"/>
      <c r="B2911" s="1"/>
      <c r="C2911" s="1"/>
      <c r="D2911" s="1"/>
    </row>
    <row r="2912">
      <c r="A2912" s="14"/>
      <c r="B2912" s="1"/>
      <c r="C2912" s="1"/>
      <c r="D2912" s="1"/>
    </row>
    <row r="2913">
      <c r="A2913" s="14"/>
      <c r="B2913" s="1"/>
      <c r="C2913" s="1"/>
      <c r="D2913" s="1"/>
    </row>
    <row r="2914">
      <c r="A2914" s="14"/>
      <c r="B2914" s="1"/>
      <c r="C2914" s="1"/>
      <c r="D2914" s="1"/>
    </row>
    <row r="2915">
      <c r="A2915" s="14"/>
      <c r="B2915" s="1"/>
      <c r="C2915" s="1"/>
      <c r="D2915" s="1"/>
    </row>
    <row r="2916">
      <c r="A2916" s="14"/>
      <c r="B2916" s="1"/>
      <c r="C2916" s="1"/>
      <c r="D2916" s="1"/>
    </row>
    <row r="2917">
      <c r="A2917" s="14"/>
      <c r="B2917" s="1"/>
      <c r="C2917" s="1"/>
      <c r="D2917" s="1"/>
    </row>
    <row r="2918">
      <c r="A2918" s="14"/>
      <c r="B2918" s="1"/>
      <c r="C2918" s="1"/>
      <c r="D2918" s="1"/>
    </row>
    <row r="2919">
      <c r="A2919" s="14"/>
      <c r="B2919" s="1"/>
      <c r="C2919" s="1"/>
      <c r="D2919" s="1"/>
    </row>
    <row r="2920">
      <c r="A2920" s="14"/>
      <c r="B2920" s="1"/>
      <c r="C2920" s="1"/>
      <c r="D2920" s="1"/>
    </row>
    <row r="2921">
      <c r="A2921" s="14"/>
      <c r="B2921" s="1"/>
      <c r="C2921" s="1"/>
      <c r="D2921" s="1"/>
    </row>
    <row r="2922">
      <c r="A2922" s="14"/>
      <c r="B2922" s="1"/>
      <c r="C2922" s="1"/>
      <c r="D2922" s="1"/>
    </row>
    <row r="2923">
      <c r="A2923" s="14"/>
      <c r="B2923" s="1"/>
      <c r="C2923" s="1"/>
      <c r="D2923" s="1"/>
    </row>
    <row r="2924">
      <c r="A2924" s="14"/>
      <c r="B2924" s="1"/>
      <c r="C2924" s="1"/>
      <c r="D2924" s="1"/>
    </row>
    <row r="2925">
      <c r="A2925" s="14"/>
      <c r="B2925" s="1"/>
      <c r="C2925" s="1"/>
      <c r="D2925" s="1"/>
    </row>
    <row r="2926">
      <c r="A2926" s="14"/>
      <c r="B2926" s="1"/>
      <c r="C2926" s="1"/>
      <c r="D2926" s="1"/>
    </row>
    <row r="2927">
      <c r="A2927" s="14"/>
      <c r="B2927" s="1"/>
      <c r="C2927" s="1"/>
      <c r="D2927" s="1"/>
    </row>
    <row r="2928">
      <c r="A2928" s="14"/>
      <c r="B2928" s="1"/>
      <c r="C2928" s="1"/>
      <c r="D2928" s="1"/>
    </row>
    <row r="2929">
      <c r="A2929" s="14"/>
      <c r="B2929" s="1"/>
      <c r="C2929" s="1"/>
      <c r="D2929" s="1"/>
    </row>
    <row r="2930">
      <c r="A2930" s="14"/>
      <c r="B2930" s="1"/>
      <c r="C2930" s="1"/>
      <c r="D2930" s="1"/>
    </row>
    <row r="2931">
      <c r="A2931" s="14"/>
      <c r="B2931" s="1"/>
      <c r="C2931" s="1"/>
      <c r="D2931" s="1"/>
    </row>
    <row r="2932">
      <c r="A2932" s="14"/>
      <c r="B2932" s="1"/>
      <c r="C2932" s="1"/>
      <c r="D2932" s="1"/>
    </row>
    <row r="2933">
      <c r="A2933" s="14"/>
      <c r="B2933" s="1"/>
      <c r="C2933" s="1"/>
      <c r="D2933" s="1"/>
    </row>
    <row r="2934">
      <c r="A2934" s="14"/>
      <c r="B2934" s="1"/>
      <c r="C2934" s="1"/>
      <c r="D2934" s="1"/>
    </row>
    <row r="2935">
      <c r="A2935" s="14"/>
      <c r="B2935" s="1"/>
      <c r="C2935" s="1"/>
      <c r="D2935" s="1"/>
    </row>
    <row r="2936">
      <c r="A2936" s="14"/>
      <c r="B2936" s="1"/>
      <c r="C2936" s="1"/>
      <c r="D2936" s="1"/>
    </row>
    <row r="2937">
      <c r="A2937" s="14"/>
      <c r="B2937" s="1"/>
      <c r="C2937" s="1"/>
      <c r="D2937" s="1"/>
    </row>
    <row r="2938">
      <c r="A2938" s="14"/>
      <c r="B2938" s="1"/>
      <c r="C2938" s="1"/>
      <c r="D2938" s="1"/>
    </row>
    <row r="2939">
      <c r="A2939" s="14"/>
      <c r="B2939" s="1"/>
      <c r="C2939" s="1"/>
      <c r="D2939" s="1"/>
    </row>
    <row r="2940">
      <c r="A2940" s="14"/>
      <c r="B2940" s="1"/>
      <c r="C2940" s="1"/>
      <c r="D2940" s="1"/>
    </row>
    <row r="2941">
      <c r="A2941" s="14"/>
      <c r="B2941" s="1"/>
      <c r="C2941" s="1"/>
      <c r="D2941" s="1"/>
    </row>
    <row r="2942">
      <c r="A2942" s="14"/>
      <c r="B2942" s="1"/>
      <c r="C2942" s="1"/>
      <c r="D2942" s="1"/>
    </row>
    <row r="2943">
      <c r="A2943" s="14"/>
      <c r="B2943" s="1"/>
      <c r="C2943" s="1"/>
      <c r="D2943" s="1"/>
    </row>
    <row r="2944">
      <c r="A2944" s="14"/>
      <c r="B2944" s="1"/>
      <c r="C2944" s="1"/>
      <c r="D2944" s="1"/>
    </row>
    <row r="2945">
      <c r="A2945" s="14"/>
      <c r="B2945" s="1"/>
      <c r="C2945" s="1"/>
      <c r="D2945" s="1"/>
    </row>
    <row r="2946">
      <c r="A2946" s="14"/>
      <c r="B2946" s="1"/>
      <c r="C2946" s="1"/>
      <c r="D2946" s="1"/>
    </row>
    <row r="2947">
      <c r="A2947" s="14"/>
      <c r="B2947" s="1"/>
      <c r="C2947" s="1"/>
      <c r="D2947" s="1"/>
    </row>
    <row r="2948">
      <c r="A2948" s="14"/>
      <c r="B2948" s="1"/>
      <c r="C2948" s="1"/>
      <c r="D2948" s="1"/>
    </row>
    <row r="2949">
      <c r="A2949" s="14"/>
      <c r="B2949" s="1"/>
      <c r="C2949" s="1"/>
      <c r="D2949" s="1"/>
    </row>
    <row r="2950">
      <c r="A2950" s="14"/>
      <c r="B2950" s="1"/>
      <c r="C2950" s="1"/>
      <c r="D2950" s="1"/>
    </row>
    <row r="2951">
      <c r="A2951" s="14"/>
      <c r="B2951" s="1"/>
      <c r="C2951" s="1"/>
      <c r="D2951" s="1"/>
    </row>
    <row r="2952">
      <c r="A2952" s="14"/>
      <c r="B2952" s="1"/>
      <c r="C2952" s="1"/>
      <c r="D2952" s="1"/>
    </row>
    <row r="2953">
      <c r="A2953" s="14"/>
      <c r="B2953" s="1"/>
      <c r="C2953" s="1"/>
      <c r="D2953" s="1"/>
    </row>
    <row r="2954">
      <c r="A2954" s="14"/>
      <c r="B2954" s="1"/>
      <c r="C2954" s="1"/>
      <c r="D2954" s="1"/>
    </row>
    <row r="2955">
      <c r="A2955" s="14"/>
      <c r="B2955" s="1"/>
      <c r="C2955" s="1"/>
      <c r="D2955" s="1"/>
    </row>
    <row r="2956">
      <c r="A2956" s="14"/>
      <c r="B2956" s="1"/>
      <c r="C2956" s="1"/>
      <c r="D2956" s="1"/>
    </row>
    <row r="2957">
      <c r="A2957" s="14"/>
      <c r="B2957" s="1"/>
      <c r="C2957" s="1"/>
      <c r="D2957" s="1"/>
    </row>
    <row r="2958">
      <c r="A2958" s="14"/>
      <c r="B2958" s="1"/>
      <c r="C2958" s="1"/>
      <c r="D2958" s="1"/>
    </row>
    <row r="2959">
      <c r="A2959" s="14"/>
      <c r="B2959" s="1"/>
      <c r="C2959" s="1"/>
      <c r="D2959" s="1"/>
    </row>
    <row r="2960">
      <c r="A2960" s="14"/>
      <c r="B2960" s="1"/>
      <c r="C2960" s="1"/>
      <c r="D2960" s="1"/>
    </row>
    <row r="2961">
      <c r="A2961" s="14"/>
      <c r="B2961" s="1"/>
      <c r="C2961" s="1"/>
      <c r="D2961" s="1"/>
    </row>
    <row r="2962">
      <c r="A2962" s="14"/>
      <c r="B2962" s="1"/>
      <c r="C2962" s="1"/>
      <c r="D2962" s="1"/>
    </row>
    <row r="2963">
      <c r="A2963" s="14"/>
      <c r="B2963" s="1"/>
      <c r="C2963" s="1"/>
      <c r="D2963" s="1"/>
    </row>
    <row r="2964">
      <c r="A2964" s="14"/>
      <c r="B2964" s="1"/>
      <c r="C2964" s="1"/>
      <c r="D2964" s="1"/>
    </row>
    <row r="2965">
      <c r="A2965" s="14"/>
      <c r="B2965" s="1"/>
      <c r="C2965" s="1"/>
      <c r="D2965" s="1"/>
    </row>
    <row r="2966">
      <c r="A2966" s="14"/>
      <c r="B2966" s="1"/>
      <c r="C2966" s="1"/>
      <c r="D2966" s="1"/>
    </row>
    <row r="2967">
      <c r="A2967" s="14"/>
      <c r="B2967" s="1"/>
      <c r="C2967" s="1"/>
      <c r="D2967" s="1"/>
    </row>
    <row r="2968">
      <c r="A2968" s="14"/>
      <c r="B2968" s="1"/>
      <c r="C2968" s="1"/>
      <c r="D2968" s="1"/>
    </row>
    <row r="2969">
      <c r="A2969" s="14"/>
      <c r="B2969" s="1"/>
      <c r="C2969" s="1"/>
      <c r="D2969" s="1"/>
    </row>
    <row r="2970">
      <c r="A2970" s="14"/>
      <c r="B2970" s="1"/>
      <c r="C2970" s="1"/>
      <c r="D2970" s="1"/>
    </row>
    <row r="2971">
      <c r="A2971" s="14"/>
      <c r="B2971" s="1"/>
      <c r="C2971" s="1"/>
      <c r="D2971" s="1"/>
    </row>
    <row r="2972">
      <c r="A2972" s="14"/>
      <c r="B2972" s="1"/>
      <c r="C2972" s="1"/>
      <c r="D2972" s="1"/>
    </row>
    <row r="2973">
      <c r="A2973" s="14"/>
      <c r="B2973" s="1"/>
      <c r="C2973" s="1"/>
      <c r="D2973" s="1"/>
    </row>
    <row r="2974">
      <c r="A2974" s="14"/>
      <c r="B2974" s="1"/>
      <c r="C2974" s="1"/>
      <c r="D2974" s="1"/>
    </row>
    <row r="2975">
      <c r="A2975" s="14"/>
      <c r="B2975" s="1"/>
      <c r="C2975" s="1"/>
      <c r="D2975" s="1"/>
    </row>
    <row r="2976">
      <c r="A2976" s="14"/>
      <c r="B2976" s="1"/>
      <c r="C2976" s="1"/>
      <c r="D2976" s="1"/>
    </row>
    <row r="2977">
      <c r="A2977" s="14"/>
      <c r="B2977" s="1"/>
      <c r="C2977" s="1"/>
      <c r="D2977" s="1"/>
    </row>
    <row r="2978">
      <c r="A2978" s="14"/>
      <c r="B2978" s="1"/>
      <c r="C2978" s="1"/>
      <c r="D2978" s="1"/>
    </row>
    <row r="2979">
      <c r="A2979" s="14"/>
      <c r="B2979" s="1"/>
      <c r="C2979" s="1"/>
      <c r="D297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</cols>
  <sheetData>
    <row r="1">
      <c r="A1" s="5" t="s">
        <v>52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>
      <c r="A2" s="5">
        <v>46010.531327627315</v>
      </c>
      <c r="D2" s="1" t="s">
        <v>76</v>
      </c>
      <c r="E2" s="1" t="s">
        <v>77</v>
      </c>
      <c r="F2" s="1" t="s">
        <v>78</v>
      </c>
      <c r="G2" s="1" t="s">
        <v>79</v>
      </c>
      <c r="K2" s="1" t="s">
        <v>80</v>
      </c>
      <c r="L2" s="8">
        <f t="array" ref="L2:L684">IF(A2:A684="","",INT(A2:A684))
</f>
        <v>46010</v>
      </c>
    </row>
    <row r="3">
      <c r="A3" s="5">
        <v>46010.53133081019</v>
      </c>
      <c r="B3" s="1" t="s">
        <v>45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I3" s="1" t="s">
        <v>86</v>
      </c>
      <c r="K3" s="1" t="s">
        <v>87</v>
      </c>
      <c r="L3" s="8">
        <v>46010.0</v>
      </c>
    </row>
    <row r="4">
      <c r="A4" s="5">
        <v>46010.53133745371</v>
      </c>
      <c r="C4" s="1" t="s">
        <v>76</v>
      </c>
      <c r="D4" s="1" t="s">
        <v>76</v>
      </c>
      <c r="E4" s="1" t="s">
        <v>88</v>
      </c>
      <c r="F4" s="1" t="s">
        <v>89</v>
      </c>
      <c r="G4" s="1" t="s">
        <v>89</v>
      </c>
      <c r="J4" s="15">
        <v>565.0</v>
      </c>
      <c r="K4" s="1" t="s">
        <v>87</v>
      </c>
      <c r="L4" s="8">
        <v>46010.0</v>
      </c>
    </row>
    <row r="5">
      <c r="A5" s="5">
        <v>46010.531340625</v>
      </c>
      <c r="C5" s="1" t="s">
        <v>76</v>
      </c>
      <c r="D5" s="1" t="s">
        <v>76</v>
      </c>
      <c r="E5" s="1" t="s">
        <v>88</v>
      </c>
      <c r="F5" s="1" t="s">
        <v>78</v>
      </c>
      <c r="G5" s="1" t="s">
        <v>78</v>
      </c>
      <c r="J5" s="15">
        <v>1362.0</v>
      </c>
      <c r="K5" s="1" t="s">
        <v>90</v>
      </c>
      <c r="L5" s="8">
        <v>46010.0</v>
      </c>
    </row>
    <row r="6">
      <c r="A6" s="5">
        <v>46010.531422326385</v>
      </c>
      <c r="D6" s="1" t="s">
        <v>76</v>
      </c>
      <c r="E6" s="1" t="s">
        <v>77</v>
      </c>
      <c r="F6" s="1" t="s">
        <v>78</v>
      </c>
      <c r="G6" s="1" t="s">
        <v>79</v>
      </c>
      <c r="K6" s="1" t="s">
        <v>80</v>
      </c>
      <c r="L6" s="8">
        <v>46010.0</v>
      </c>
    </row>
    <row r="7">
      <c r="A7" s="5">
        <v>46010.531426180554</v>
      </c>
      <c r="B7" s="1" t="s">
        <v>45</v>
      </c>
      <c r="C7" s="1" t="s">
        <v>81</v>
      </c>
      <c r="D7" s="1" t="s">
        <v>82</v>
      </c>
      <c r="E7" s="1" t="s">
        <v>91</v>
      </c>
      <c r="F7" s="1" t="s">
        <v>84</v>
      </c>
      <c r="G7" s="1" t="s">
        <v>85</v>
      </c>
      <c r="I7" s="1" t="s">
        <v>92</v>
      </c>
      <c r="K7" s="1" t="s">
        <v>93</v>
      </c>
      <c r="L7" s="8">
        <v>46010.0</v>
      </c>
    </row>
    <row r="8">
      <c r="A8" s="5">
        <v>46010.531433275464</v>
      </c>
      <c r="C8" s="1" t="s">
        <v>76</v>
      </c>
      <c r="D8" s="1" t="s">
        <v>76</v>
      </c>
      <c r="E8" s="1" t="s">
        <v>88</v>
      </c>
      <c r="F8" s="1" t="s">
        <v>89</v>
      </c>
      <c r="G8" s="1" t="s">
        <v>89</v>
      </c>
      <c r="J8" s="15">
        <v>605.0</v>
      </c>
      <c r="K8" s="1" t="s">
        <v>93</v>
      </c>
      <c r="L8" s="8">
        <v>46010.0</v>
      </c>
    </row>
    <row r="9">
      <c r="A9" s="5">
        <v>46010.531437025464</v>
      </c>
      <c r="C9" s="1" t="s">
        <v>76</v>
      </c>
      <c r="D9" s="1" t="s">
        <v>76</v>
      </c>
      <c r="E9" s="1" t="s">
        <v>88</v>
      </c>
      <c r="F9" s="1" t="s">
        <v>78</v>
      </c>
      <c r="G9" s="1" t="s">
        <v>78</v>
      </c>
      <c r="J9" s="15">
        <v>1364.0</v>
      </c>
      <c r="K9" s="1" t="s">
        <v>90</v>
      </c>
      <c r="L9" s="8">
        <v>46010.0</v>
      </c>
    </row>
    <row r="10">
      <c r="A10" s="5">
        <v>46010.5314769213</v>
      </c>
      <c r="D10" s="1" t="s">
        <v>76</v>
      </c>
      <c r="E10" s="1" t="s">
        <v>77</v>
      </c>
      <c r="F10" s="1" t="s">
        <v>78</v>
      </c>
      <c r="G10" s="1" t="s">
        <v>79</v>
      </c>
      <c r="K10" s="1" t="s">
        <v>80</v>
      </c>
      <c r="L10" s="8">
        <v>46010.0</v>
      </c>
    </row>
    <row r="11">
      <c r="A11" s="5">
        <v>46010.53148091435</v>
      </c>
      <c r="B11" s="1" t="s">
        <v>45</v>
      </c>
      <c r="C11" s="1" t="s">
        <v>81</v>
      </c>
      <c r="D11" s="1" t="s">
        <v>82</v>
      </c>
      <c r="E11" s="1" t="s">
        <v>94</v>
      </c>
      <c r="F11" s="1" t="s">
        <v>84</v>
      </c>
      <c r="G11" s="1" t="s">
        <v>85</v>
      </c>
      <c r="I11" s="1" t="s">
        <v>95</v>
      </c>
      <c r="K11" s="1" t="s">
        <v>96</v>
      </c>
      <c r="L11" s="8">
        <v>46010.0</v>
      </c>
    </row>
    <row r="12">
      <c r="A12" s="5">
        <v>46010.53156413195</v>
      </c>
      <c r="C12" s="1" t="s">
        <v>76</v>
      </c>
      <c r="D12" s="1" t="s">
        <v>76</v>
      </c>
      <c r="E12" s="1" t="s">
        <v>88</v>
      </c>
      <c r="F12" s="1" t="s">
        <v>89</v>
      </c>
      <c r="G12" s="1" t="s">
        <v>89</v>
      </c>
      <c r="J12" s="15">
        <v>7122.0</v>
      </c>
      <c r="K12" s="1" t="s">
        <v>97</v>
      </c>
      <c r="L12" s="8">
        <v>46010.0</v>
      </c>
    </row>
    <row r="13">
      <c r="A13" s="5">
        <v>46010.531568136576</v>
      </c>
      <c r="C13" s="1" t="s">
        <v>76</v>
      </c>
      <c r="D13" s="1" t="s">
        <v>76</v>
      </c>
      <c r="E13" s="1" t="s">
        <v>88</v>
      </c>
      <c r="F13" s="1" t="s">
        <v>78</v>
      </c>
      <c r="G13" s="1" t="s">
        <v>78</v>
      </c>
      <c r="J13" s="15">
        <v>7987.0</v>
      </c>
      <c r="K13" s="1" t="s">
        <v>90</v>
      </c>
      <c r="L13" s="8">
        <v>46010.0</v>
      </c>
    </row>
    <row r="14">
      <c r="A14" s="5">
        <v>46010.53287572917</v>
      </c>
      <c r="D14" s="1" t="s">
        <v>76</v>
      </c>
      <c r="E14" s="1" t="s">
        <v>77</v>
      </c>
      <c r="F14" s="1" t="s">
        <v>78</v>
      </c>
      <c r="G14" s="1" t="s">
        <v>79</v>
      </c>
      <c r="K14" s="1" t="s">
        <v>80</v>
      </c>
      <c r="L14" s="8">
        <v>46010.0</v>
      </c>
    </row>
    <row r="15">
      <c r="A15" s="5">
        <v>46010.53287924769</v>
      </c>
      <c r="B15" s="1" t="s">
        <v>98</v>
      </c>
      <c r="C15" s="1" t="s">
        <v>81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103</v>
      </c>
      <c r="L15" s="8">
        <v>46010.0</v>
      </c>
    </row>
    <row r="16">
      <c r="A16" s="5">
        <v>46010.532883391206</v>
      </c>
      <c r="C16" s="1" t="s">
        <v>76</v>
      </c>
      <c r="D16" s="1" t="s">
        <v>76</v>
      </c>
      <c r="E16" s="1" t="s">
        <v>88</v>
      </c>
      <c r="F16" s="1" t="s">
        <v>104</v>
      </c>
      <c r="G16" s="1" t="s">
        <v>104</v>
      </c>
      <c r="J16" s="15">
        <v>299.0</v>
      </c>
      <c r="K16" s="1" t="s">
        <v>105</v>
      </c>
      <c r="L16" s="8">
        <v>46010.0</v>
      </c>
    </row>
    <row r="17">
      <c r="A17" s="5">
        <v>46010.532886562505</v>
      </c>
      <c r="C17" s="1" t="s">
        <v>76</v>
      </c>
      <c r="D17" s="1" t="s">
        <v>76</v>
      </c>
      <c r="E17" s="1" t="s">
        <v>88</v>
      </c>
      <c r="F17" s="1" t="s">
        <v>78</v>
      </c>
      <c r="G17" s="1" t="s">
        <v>78</v>
      </c>
      <c r="J17" s="15">
        <v>1088.0</v>
      </c>
      <c r="K17" s="1" t="s">
        <v>90</v>
      </c>
      <c r="L17" s="8">
        <v>46010.0</v>
      </c>
    </row>
    <row r="18">
      <c r="A18" s="5">
        <v>46010.719025706014</v>
      </c>
      <c r="D18" s="1" t="s">
        <v>76</v>
      </c>
      <c r="E18" s="1" t="s">
        <v>77</v>
      </c>
      <c r="F18" s="1" t="s">
        <v>78</v>
      </c>
      <c r="G18" s="1" t="s">
        <v>79</v>
      </c>
      <c r="K18" s="1" t="s">
        <v>80</v>
      </c>
      <c r="L18" s="8">
        <v>46010.0</v>
      </c>
    </row>
    <row r="19">
      <c r="A19" s="5">
        <v>46010.71903064815</v>
      </c>
      <c r="B19" s="1" t="s">
        <v>106</v>
      </c>
      <c r="C19" s="1" t="s">
        <v>81</v>
      </c>
      <c r="D19" s="1" t="s">
        <v>99</v>
      </c>
      <c r="E19" s="1" t="s">
        <v>107</v>
      </c>
      <c r="F19" s="1" t="s">
        <v>108</v>
      </c>
      <c r="G19" s="1" t="s">
        <v>109</v>
      </c>
      <c r="H19" s="1" t="s">
        <v>110</v>
      </c>
      <c r="L19" s="8">
        <v>46010.0</v>
      </c>
    </row>
    <row r="20">
      <c r="A20" s="5">
        <v>46010.71904744213</v>
      </c>
      <c r="C20" s="1" t="s">
        <v>76</v>
      </c>
      <c r="D20" s="1" t="s">
        <v>76</v>
      </c>
      <c r="E20" s="1" t="s">
        <v>88</v>
      </c>
      <c r="F20" s="1" t="s">
        <v>104</v>
      </c>
      <c r="G20" s="1" t="s">
        <v>104</v>
      </c>
      <c r="J20" s="15">
        <v>1354.0</v>
      </c>
      <c r="K20" s="1" t="s">
        <v>111</v>
      </c>
      <c r="L20" s="8">
        <v>46010.0</v>
      </c>
    </row>
    <row r="21">
      <c r="A21" s="5">
        <v>46010.719054444446</v>
      </c>
      <c r="C21" s="1" t="s">
        <v>76</v>
      </c>
      <c r="D21" s="1" t="s">
        <v>76</v>
      </c>
      <c r="E21" s="1" t="s">
        <v>88</v>
      </c>
      <c r="F21" s="1" t="s">
        <v>78</v>
      </c>
      <c r="G21" s="1" t="s">
        <v>78</v>
      </c>
      <c r="J21" s="15">
        <v>2945.0</v>
      </c>
      <c r="K21" s="1" t="s">
        <v>90</v>
      </c>
      <c r="L21" s="8">
        <v>46010.0</v>
      </c>
    </row>
    <row r="22">
      <c r="A22" s="5">
        <v>46010.719185462964</v>
      </c>
      <c r="D22" s="1" t="s">
        <v>76</v>
      </c>
      <c r="E22" s="1" t="s">
        <v>77</v>
      </c>
      <c r="F22" s="1" t="s">
        <v>78</v>
      </c>
      <c r="G22" s="1" t="s">
        <v>79</v>
      </c>
      <c r="K22" s="1" t="s">
        <v>80</v>
      </c>
      <c r="L22" s="8">
        <v>46010.0</v>
      </c>
    </row>
    <row r="23">
      <c r="A23" s="5">
        <v>46010.71918914352</v>
      </c>
      <c r="B23" s="1" t="s">
        <v>106</v>
      </c>
      <c r="C23" s="1" t="s">
        <v>81</v>
      </c>
      <c r="D23" s="1" t="s">
        <v>82</v>
      </c>
      <c r="E23" s="1" t="s">
        <v>112</v>
      </c>
      <c r="F23" s="1" t="s">
        <v>84</v>
      </c>
      <c r="G23" s="1" t="s">
        <v>85</v>
      </c>
      <c r="I23" s="1" t="s">
        <v>113</v>
      </c>
      <c r="K23" s="1" t="s">
        <v>114</v>
      </c>
      <c r="L23" s="8">
        <v>46010.0</v>
      </c>
    </row>
    <row r="24">
      <c r="A24" s="5">
        <v>46010.7191928588</v>
      </c>
      <c r="B24" s="1" t="s">
        <v>106</v>
      </c>
      <c r="C24" s="1" t="s">
        <v>81</v>
      </c>
      <c r="D24" s="1" t="s">
        <v>82</v>
      </c>
      <c r="E24" s="1" t="s">
        <v>112</v>
      </c>
      <c r="F24" s="1" t="s">
        <v>108</v>
      </c>
      <c r="G24" s="1" t="s">
        <v>115</v>
      </c>
      <c r="I24" s="1" t="s">
        <v>113</v>
      </c>
      <c r="K24" s="1" t="s">
        <v>114</v>
      </c>
      <c r="L24" s="8">
        <v>46010.0</v>
      </c>
    </row>
    <row r="25">
      <c r="A25" s="5">
        <v>46010.71920533565</v>
      </c>
      <c r="C25" s="1" t="s">
        <v>76</v>
      </c>
      <c r="D25" s="1" t="s">
        <v>76</v>
      </c>
      <c r="E25" s="1" t="s">
        <v>88</v>
      </c>
      <c r="F25" s="1" t="s">
        <v>89</v>
      </c>
      <c r="G25" s="1" t="s">
        <v>89</v>
      </c>
      <c r="J25" s="15">
        <v>975.0</v>
      </c>
      <c r="K25" s="1" t="s">
        <v>116</v>
      </c>
      <c r="L25" s="8">
        <v>46010.0</v>
      </c>
    </row>
    <row r="26">
      <c r="A26" s="5">
        <v>46010.719208587965</v>
      </c>
      <c r="C26" s="1" t="s">
        <v>76</v>
      </c>
      <c r="D26" s="1" t="s">
        <v>76</v>
      </c>
      <c r="E26" s="1" t="s">
        <v>88</v>
      </c>
      <c r="F26" s="1" t="s">
        <v>78</v>
      </c>
      <c r="G26" s="1" t="s">
        <v>78</v>
      </c>
      <c r="J26" s="15">
        <v>2150.0</v>
      </c>
      <c r="K26" s="1" t="s">
        <v>90</v>
      </c>
      <c r="L26" s="8">
        <v>46010.0</v>
      </c>
    </row>
    <row r="27">
      <c r="A27" s="5">
        <v>46010.71927612268</v>
      </c>
      <c r="D27" s="1" t="s">
        <v>76</v>
      </c>
      <c r="E27" s="1" t="s">
        <v>77</v>
      </c>
      <c r="F27" s="1" t="s">
        <v>78</v>
      </c>
      <c r="G27" s="1" t="s">
        <v>79</v>
      </c>
      <c r="K27" s="1" t="s">
        <v>80</v>
      </c>
      <c r="L27" s="8">
        <v>46010.0</v>
      </c>
    </row>
    <row r="28">
      <c r="A28" s="5">
        <v>46010.71928071759</v>
      </c>
      <c r="B28" s="1" t="s">
        <v>106</v>
      </c>
      <c r="C28" s="1" t="s">
        <v>81</v>
      </c>
      <c r="D28" s="1" t="s">
        <v>82</v>
      </c>
      <c r="E28" s="1" t="s">
        <v>117</v>
      </c>
      <c r="F28" s="1" t="s">
        <v>84</v>
      </c>
      <c r="G28" s="1" t="s">
        <v>85</v>
      </c>
      <c r="I28" s="1" t="s">
        <v>118</v>
      </c>
      <c r="K28" s="1" t="s">
        <v>119</v>
      </c>
      <c r="L28" s="8">
        <v>46010.0</v>
      </c>
    </row>
    <row r="29">
      <c r="A29" s="5">
        <v>46010.719287685184</v>
      </c>
      <c r="C29" s="1" t="s">
        <v>76</v>
      </c>
      <c r="D29" s="1" t="s">
        <v>76</v>
      </c>
      <c r="E29" s="1" t="s">
        <v>88</v>
      </c>
      <c r="F29" s="1" t="s">
        <v>89</v>
      </c>
      <c r="G29" s="1" t="s">
        <v>89</v>
      </c>
      <c r="J29" s="15">
        <v>742.0</v>
      </c>
      <c r="K29" s="1" t="s">
        <v>120</v>
      </c>
      <c r="L29" s="8">
        <v>46010.0</v>
      </c>
    </row>
    <row r="30">
      <c r="A30" s="5">
        <v>46010.719290532405</v>
      </c>
      <c r="C30" s="1" t="s">
        <v>76</v>
      </c>
      <c r="D30" s="1" t="s">
        <v>76</v>
      </c>
      <c r="E30" s="1" t="s">
        <v>88</v>
      </c>
      <c r="F30" s="1" t="s">
        <v>78</v>
      </c>
      <c r="G30" s="1" t="s">
        <v>78</v>
      </c>
      <c r="J30" s="15">
        <v>1312.0</v>
      </c>
      <c r="K30" s="1" t="s">
        <v>90</v>
      </c>
      <c r="L30" s="8">
        <v>46010.0</v>
      </c>
    </row>
    <row r="31">
      <c r="A31" s="5">
        <v>46010.71935525463</v>
      </c>
      <c r="D31" s="1" t="s">
        <v>76</v>
      </c>
      <c r="E31" s="1" t="s">
        <v>77</v>
      </c>
      <c r="F31" s="1" t="s">
        <v>78</v>
      </c>
      <c r="G31" s="1" t="s">
        <v>79</v>
      </c>
      <c r="K31" s="1" t="s">
        <v>80</v>
      </c>
      <c r="L31" s="8">
        <v>46010.0</v>
      </c>
    </row>
    <row r="32">
      <c r="A32" s="5">
        <v>46010.71935959491</v>
      </c>
      <c r="B32" s="1" t="s">
        <v>106</v>
      </c>
      <c r="C32" s="1" t="s">
        <v>81</v>
      </c>
      <c r="D32" s="1" t="s">
        <v>82</v>
      </c>
      <c r="E32" s="1" t="s">
        <v>94</v>
      </c>
      <c r="F32" s="1" t="s">
        <v>84</v>
      </c>
      <c r="G32" s="1" t="s">
        <v>85</v>
      </c>
      <c r="I32" s="1" t="s">
        <v>121</v>
      </c>
      <c r="K32" s="1" t="s">
        <v>122</v>
      </c>
      <c r="L32" s="8">
        <v>46010.0</v>
      </c>
    </row>
    <row r="33">
      <c r="A33" s="5">
        <v>46010.71942952546</v>
      </c>
      <c r="C33" s="1" t="s">
        <v>76</v>
      </c>
      <c r="D33" s="1" t="s">
        <v>76</v>
      </c>
      <c r="E33" s="1" t="s">
        <v>88</v>
      </c>
      <c r="F33" s="1" t="s">
        <v>89</v>
      </c>
      <c r="G33" s="1" t="s">
        <v>89</v>
      </c>
      <c r="J33" s="15">
        <v>5875.0</v>
      </c>
      <c r="K33" s="1" t="s">
        <v>97</v>
      </c>
      <c r="L33" s="8">
        <v>46010.0</v>
      </c>
    </row>
    <row r="34">
      <c r="A34" s="5">
        <v>46010.719432812504</v>
      </c>
      <c r="C34" s="1" t="s">
        <v>76</v>
      </c>
      <c r="D34" s="1" t="s">
        <v>76</v>
      </c>
      <c r="E34" s="1" t="s">
        <v>88</v>
      </c>
      <c r="F34" s="1" t="s">
        <v>78</v>
      </c>
      <c r="G34" s="1" t="s">
        <v>78</v>
      </c>
      <c r="J34" s="15">
        <v>7222.0</v>
      </c>
      <c r="K34" s="1" t="s">
        <v>90</v>
      </c>
      <c r="L34" s="8">
        <v>46010.0</v>
      </c>
    </row>
    <row r="35">
      <c r="A35" s="5">
        <v>46011.63548252315</v>
      </c>
      <c r="D35" s="1" t="s">
        <v>76</v>
      </c>
      <c r="E35" s="1" t="s">
        <v>77</v>
      </c>
      <c r="F35" s="1" t="s">
        <v>78</v>
      </c>
      <c r="G35" s="1" t="s">
        <v>79</v>
      </c>
      <c r="K35" s="1" t="s">
        <v>80</v>
      </c>
      <c r="L35" s="8">
        <v>46011.0</v>
      </c>
    </row>
    <row r="36">
      <c r="A36" s="5">
        <v>46011.635488368054</v>
      </c>
      <c r="B36" s="1" t="s">
        <v>123</v>
      </c>
      <c r="C36" s="1" t="s">
        <v>81</v>
      </c>
      <c r="D36" s="1" t="s">
        <v>99</v>
      </c>
      <c r="E36" s="1" t="s">
        <v>107</v>
      </c>
      <c r="F36" s="1" t="s">
        <v>108</v>
      </c>
      <c r="G36" s="1" t="s">
        <v>109</v>
      </c>
      <c r="H36" s="1" t="s">
        <v>110</v>
      </c>
      <c r="L36" s="8">
        <v>46011.0</v>
      </c>
    </row>
    <row r="37">
      <c r="A37" s="5">
        <v>46011.63549800926</v>
      </c>
      <c r="C37" s="1" t="s">
        <v>76</v>
      </c>
      <c r="D37" s="1" t="s">
        <v>76</v>
      </c>
      <c r="E37" s="1" t="s">
        <v>88</v>
      </c>
      <c r="F37" s="1" t="s">
        <v>104</v>
      </c>
      <c r="G37" s="1" t="s">
        <v>104</v>
      </c>
      <c r="J37" s="15">
        <v>862.0</v>
      </c>
      <c r="K37" s="1" t="s">
        <v>111</v>
      </c>
      <c r="L37" s="8">
        <v>46011.0</v>
      </c>
    </row>
    <row r="38">
      <c r="A38" s="5">
        <v>46011.63550420139</v>
      </c>
      <c r="C38" s="1" t="s">
        <v>76</v>
      </c>
      <c r="D38" s="1" t="s">
        <v>76</v>
      </c>
      <c r="E38" s="1" t="s">
        <v>88</v>
      </c>
      <c r="F38" s="1" t="s">
        <v>78</v>
      </c>
      <c r="G38" s="1" t="s">
        <v>78</v>
      </c>
      <c r="J38" s="15">
        <v>2632.0</v>
      </c>
      <c r="K38" s="1" t="s">
        <v>90</v>
      </c>
      <c r="L38" s="8">
        <v>46011.0</v>
      </c>
    </row>
    <row r="39">
      <c r="A39" s="5">
        <v>46011.63569265047</v>
      </c>
      <c r="D39" s="1" t="s">
        <v>76</v>
      </c>
      <c r="E39" s="1" t="s">
        <v>77</v>
      </c>
      <c r="F39" s="1" t="s">
        <v>78</v>
      </c>
      <c r="G39" s="1" t="s">
        <v>79</v>
      </c>
      <c r="K39" s="1" t="s">
        <v>80</v>
      </c>
      <c r="L39" s="8">
        <v>46011.0</v>
      </c>
    </row>
    <row r="40">
      <c r="A40" s="5">
        <v>46011.63569578704</v>
      </c>
      <c r="B40" s="1" t="s">
        <v>123</v>
      </c>
      <c r="C40" s="1" t="s">
        <v>81</v>
      </c>
      <c r="D40" s="1" t="s">
        <v>82</v>
      </c>
      <c r="E40" s="1" t="s">
        <v>112</v>
      </c>
      <c r="F40" s="1" t="s">
        <v>84</v>
      </c>
      <c r="G40" s="1" t="s">
        <v>85</v>
      </c>
      <c r="I40" s="1" t="s">
        <v>113</v>
      </c>
      <c r="K40" s="1" t="s">
        <v>114</v>
      </c>
      <c r="L40" s="8">
        <v>46011.0</v>
      </c>
    </row>
    <row r="41">
      <c r="A41" s="5">
        <v>46011.63569944444</v>
      </c>
      <c r="B41" s="1" t="s">
        <v>123</v>
      </c>
      <c r="C41" s="1" t="s">
        <v>81</v>
      </c>
      <c r="D41" s="1" t="s">
        <v>82</v>
      </c>
      <c r="E41" s="1" t="s">
        <v>112</v>
      </c>
      <c r="F41" s="1" t="s">
        <v>108</v>
      </c>
      <c r="G41" s="1" t="s">
        <v>115</v>
      </c>
      <c r="I41" s="1" t="s">
        <v>113</v>
      </c>
      <c r="K41" s="1" t="s">
        <v>114</v>
      </c>
      <c r="L41" s="8">
        <v>46011.0</v>
      </c>
    </row>
    <row r="42">
      <c r="A42" s="5">
        <v>46011.6357058912</v>
      </c>
      <c r="C42" s="1" t="s">
        <v>76</v>
      </c>
      <c r="D42" s="1" t="s">
        <v>76</v>
      </c>
      <c r="E42" s="1" t="s">
        <v>88</v>
      </c>
      <c r="F42" s="1" t="s">
        <v>89</v>
      </c>
      <c r="G42" s="1" t="s">
        <v>89</v>
      </c>
      <c r="J42" s="15">
        <v>866.0</v>
      </c>
      <c r="K42" s="1" t="s">
        <v>116</v>
      </c>
      <c r="L42" s="8">
        <v>46011.0</v>
      </c>
    </row>
    <row r="43">
      <c r="A43" s="5">
        <v>46011.63570949074</v>
      </c>
      <c r="C43" s="1" t="s">
        <v>76</v>
      </c>
      <c r="D43" s="1" t="s">
        <v>76</v>
      </c>
      <c r="E43" s="1" t="s">
        <v>88</v>
      </c>
      <c r="F43" s="1" t="s">
        <v>78</v>
      </c>
      <c r="G43" s="1" t="s">
        <v>78</v>
      </c>
      <c r="J43" s="15">
        <v>1499.0</v>
      </c>
      <c r="K43" s="1" t="s">
        <v>90</v>
      </c>
      <c r="L43" s="8">
        <v>46011.0</v>
      </c>
    </row>
    <row r="44">
      <c r="A44" s="5">
        <v>46011.635809837964</v>
      </c>
      <c r="D44" s="1" t="s">
        <v>76</v>
      </c>
      <c r="E44" s="1" t="s">
        <v>77</v>
      </c>
      <c r="F44" s="1" t="s">
        <v>78</v>
      </c>
      <c r="G44" s="1" t="s">
        <v>79</v>
      </c>
      <c r="K44" s="1" t="s">
        <v>80</v>
      </c>
      <c r="L44" s="8">
        <v>46011.0</v>
      </c>
    </row>
    <row r="45">
      <c r="A45" s="5">
        <v>46011.6358144213</v>
      </c>
      <c r="B45" s="1" t="s">
        <v>123</v>
      </c>
      <c r="C45" s="1" t="s">
        <v>81</v>
      </c>
      <c r="D45" s="1" t="s">
        <v>82</v>
      </c>
      <c r="E45" s="1" t="s">
        <v>117</v>
      </c>
      <c r="F45" s="1" t="s">
        <v>84</v>
      </c>
      <c r="G45" s="1" t="s">
        <v>85</v>
      </c>
      <c r="I45" s="1" t="s">
        <v>118</v>
      </c>
      <c r="K45" s="1" t="s">
        <v>119</v>
      </c>
      <c r="L45" s="8">
        <v>46011.0</v>
      </c>
    </row>
    <row r="46">
      <c r="A46" s="5">
        <v>46011.63582563658</v>
      </c>
      <c r="C46" s="1" t="s">
        <v>76</v>
      </c>
      <c r="D46" s="1" t="s">
        <v>76</v>
      </c>
      <c r="E46" s="1" t="s">
        <v>88</v>
      </c>
      <c r="F46" s="1" t="s">
        <v>89</v>
      </c>
      <c r="G46" s="1" t="s">
        <v>89</v>
      </c>
      <c r="J46" s="15">
        <v>990.0</v>
      </c>
      <c r="K46" s="1" t="s">
        <v>120</v>
      </c>
      <c r="L46" s="8">
        <v>46011.0</v>
      </c>
    </row>
    <row r="47">
      <c r="A47" s="5">
        <v>46011.63582974537</v>
      </c>
      <c r="C47" s="1" t="s">
        <v>76</v>
      </c>
      <c r="D47" s="1" t="s">
        <v>76</v>
      </c>
      <c r="E47" s="1" t="s">
        <v>88</v>
      </c>
      <c r="F47" s="1" t="s">
        <v>78</v>
      </c>
      <c r="G47" s="1" t="s">
        <v>78</v>
      </c>
      <c r="J47" s="15">
        <v>1902.0</v>
      </c>
      <c r="K47" s="1" t="s">
        <v>90</v>
      </c>
      <c r="L47" s="8">
        <v>46011.0</v>
      </c>
    </row>
    <row r="48">
      <c r="A48" s="5">
        <v>46011.63589276621</v>
      </c>
      <c r="D48" s="1" t="s">
        <v>76</v>
      </c>
      <c r="E48" s="1" t="s">
        <v>77</v>
      </c>
      <c r="F48" s="1" t="s">
        <v>78</v>
      </c>
      <c r="G48" s="1" t="s">
        <v>79</v>
      </c>
      <c r="K48" s="1" t="s">
        <v>80</v>
      </c>
      <c r="L48" s="8">
        <v>46011.0</v>
      </c>
    </row>
    <row r="49">
      <c r="A49" s="5">
        <v>46011.63589547454</v>
      </c>
      <c r="B49" s="1" t="s">
        <v>123</v>
      </c>
      <c r="C49" s="1" t="s">
        <v>81</v>
      </c>
      <c r="D49" s="1" t="s">
        <v>82</v>
      </c>
      <c r="E49" s="1" t="s">
        <v>94</v>
      </c>
      <c r="F49" s="1" t="s">
        <v>84</v>
      </c>
      <c r="G49" s="1" t="s">
        <v>85</v>
      </c>
      <c r="I49" s="1" t="s">
        <v>124</v>
      </c>
      <c r="K49" s="1" t="s">
        <v>125</v>
      </c>
      <c r="L49" s="8">
        <v>46011.0</v>
      </c>
    </row>
    <row r="50">
      <c r="A50" s="5">
        <v>46011.63596510417</v>
      </c>
      <c r="C50" s="1" t="s">
        <v>76</v>
      </c>
      <c r="D50" s="1" t="s">
        <v>76</v>
      </c>
      <c r="E50" s="1" t="s">
        <v>88</v>
      </c>
      <c r="F50" s="1" t="s">
        <v>89</v>
      </c>
      <c r="G50" s="1" t="s">
        <v>89</v>
      </c>
      <c r="J50" s="15">
        <v>5976.0</v>
      </c>
      <c r="K50" s="1" t="s">
        <v>97</v>
      </c>
      <c r="L50" s="8">
        <v>46011.0</v>
      </c>
    </row>
    <row r="51">
      <c r="A51" s="5">
        <v>46011.63596802083</v>
      </c>
      <c r="C51" s="1" t="s">
        <v>76</v>
      </c>
      <c r="D51" s="1" t="s">
        <v>76</v>
      </c>
      <c r="E51" s="1" t="s">
        <v>88</v>
      </c>
      <c r="F51" s="1" t="s">
        <v>78</v>
      </c>
      <c r="G51" s="1" t="s">
        <v>78</v>
      </c>
      <c r="J51" s="15">
        <v>6568.0</v>
      </c>
      <c r="K51" s="1" t="s">
        <v>90</v>
      </c>
      <c r="L51" s="8">
        <v>46011.0</v>
      </c>
    </row>
    <row r="52">
      <c r="A52" s="5">
        <v>46011.63614407407</v>
      </c>
      <c r="D52" s="1" t="s">
        <v>76</v>
      </c>
      <c r="E52" s="1" t="s">
        <v>77</v>
      </c>
      <c r="F52" s="1" t="s">
        <v>78</v>
      </c>
      <c r="G52" s="1" t="s">
        <v>79</v>
      </c>
      <c r="K52" s="1" t="s">
        <v>80</v>
      </c>
      <c r="L52" s="8">
        <v>46011.0</v>
      </c>
    </row>
    <row r="53">
      <c r="A53" s="5">
        <v>46011.63614835648</v>
      </c>
      <c r="B53" s="1" t="s">
        <v>123</v>
      </c>
      <c r="C53" s="1" t="s">
        <v>81</v>
      </c>
      <c r="D53" s="1" t="s">
        <v>82</v>
      </c>
      <c r="E53" s="1" t="s">
        <v>126</v>
      </c>
      <c r="F53" s="1" t="s">
        <v>84</v>
      </c>
      <c r="G53" s="1" t="s">
        <v>85</v>
      </c>
      <c r="I53" s="1" t="s">
        <v>127</v>
      </c>
      <c r="K53" s="1" t="s">
        <v>128</v>
      </c>
      <c r="L53" s="8">
        <v>46011.0</v>
      </c>
    </row>
    <row r="54">
      <c r="A54" s="5">
        <v>46011.63617092592</v>
      </c>
      <c r="C54" s="1" t="s">
        <v>76</v>
      </c>
      <c r="D54" s="1" t="s">
        <v>76</v>
      </c>
      <c r="E54" s="1" t="s">
        <v>88</v>
      </c>
      <c r="F54" s="1" t="s">
        <v>89</v>
      </c>
      <c r="G54" s="1" t="s">
        <v>89</v>
      </c>
      <c r="J54" s="15">
        <v>1955.0</v>
      </c>
      <c r="K54" s="1" t="s">
        <v>129</v>
      </c>
      <c r="L54" s="8">
        <v>46011.0</v>
      </c>
    </row>
    <row r="55">
      <c r="A55" s="5">
        <v>46011.6361750463</v>
      </c>
      <c r="C55" s="1" t="s">
        <v>76</v>
      </c>
      <c r="D55" s="1" t="s">
        <v>76</v>
      </c>
      <c r="E55" s="1" t="s">
        <v>88</v>
      </c>
      <c r="F55" s="1" t="s">
        <v>78</v>
      </c>
      <c r="G55" s="1" t="s">
        <v>78</v>
      </c>
      <c r="J55" s="15">
        <v>2833.0</v>
      </c>
      <c r="K55" s="1" t="s">
        <v>90</v>
      </c>
      <c r="L55" s="8">
        <v>46011.0</v>
      </c>
    </row>
    <row r="56">
      <c r="A56" s="5">
        <v>46011.78455447916</v>
      </c>
      <c r="D56" s="1" t="s">
        <v>76</v>
      </c>
      <c r="E56" s="1" t="s">
        <v>77</v>
      </c>
      <c r="F56" s="1" t="s">
        <v>78</v>
      </c>
      <c r="G56" s="1" t="s">
        <v>79</v>
      </c>
      <c r="K56" s="1" t="s">
        <v>80</v>
      </c>
      <c r="L56" s="8">
        <v>46011.0</v>
      </c>
    </row>
    <row r="57">
      <c r="A57" s="5">
        <v>46011.784559293985</v>
      </c>
      <c r="B57" s="1" t="s">
        <v>130</v>
      </c>
      <c r="C57" s="1" t="s">
        <v>81</v>
      </c>
      <c r="D57" s="1" t="s">
        <v>99</v>
      </c>
      <c r="E57" s="1" t="s">
        <v>131</v>
      </c>
      <c r="F57" s="1" t="s">
        <v>78</v>
      </c>
      <c r="G57" s="1" t="s">
        <v>132</v>
      </c>
      <c r="L57" s="8">
        <v>46011.0</v>
      </c>
    </row>
    <row r="58">
      <c r="A58" s="5">
        <v>46011.78456564815</v>
      </c>
      <c r="C58" s="1" t="s">
        <v>76</v>
      </c>
      <c r="D58" s="1" t="s">
        <v>76</v>
      </c>
      <c r="E58" s="1" t="s">
        <v>88</v>
      </c>
      <c r="F58" s="1" t="s">
        <v>78</v>
      </c>
      <c r="G58" s="1" t="s">
        <v>78</v>
      </c>
      <c r="J58" s="15">
        <v>1309.0</v>
      </c>
      <c r="K58" s="1" t="s">
        <v>90</v>
      </c>
      <c r="L58" s="8">
        <v>46011.0</v>
      </c>
    </row>
    <row r="59">
      <c r="A59" s="5">
        <v>46011.82080767361</v>
      </c>
      <c r="D59" s="1" t="s">
        <v>76</v>
      </c>
      <c r="E59" s="1" t="s">
        <v>77</v>
      </c>
      <c r="F59" s="1" t="s">
        <v>78</v>
      </c>
      <c r="G59" s="1" t="s">
        <v>79</v>
      </c>
      <c r="K59" s="1" t="s">
        <v>80</v>
      </c>
      <c r="L59" s="8">
        <v>46011.0</v>
      </c>
    </row>
    <row r="60">
      <c r="A60" s="5">
        <v>46011.820813784725</v>
      </c>
      <c r="B60" s="1" t="s">
        <v>130</v>
      </c>
      <c r="C60" s="1" t="s">
        <v>81</v>
      </c>
      <c r="D60" s="1" t="s">
        <v>99</v>
      </c>
      <c r="E60" s="1" t="s">
        <v>100</v>
      </c>
      <c r="F60" s="1" t="s">
        <v>101</v>
      </c>
      <c r="G60" s="1" t="s">
        <v>102</v>
      </c>
      <c r="H60" s="1" t="s">
        <v>133</v>
      </c>
      <c r="L60" s="8">
        <v>46011.0</v>
      </c>
    </row>
    <row r="61">
      <c r="A61" s="5">
        <v>46011.82082194445</v>
      </c>
      <c r="C61" s="1" t="s">
        <v>76</v>
      </c>
      <c r="D61" s="1" t="s">
        <v>76</v>
      </c>
      <c r="E61" s="1" t="s">
        <v>88</v>
      </c>
      <c r="F61" s="1" t="s">
        <v>104</v>
      </c>
      <c r="G61" s="1" t="s">
        <v>104</v>
      </c>
      <c r="J61" s="15">
        <v>793.0</v>
      </c>
      <c r="K61" s="1" t="s">
        <v>134</v>
      </c>
      <c r="L61" s="8">
        <v>46011.0</v>
      </c>
    </row>
    <row r="62">
      <c r="A62" s="5">
        <v>46011.820826192125</v>
      </c>
      <c r="C62" s="1" t="s">
        <v>76</v>
      </c>
      <c r="D62" s="1" t="s">
        <v>76</v>
      </c>
      <c r="E62" s="1" t="s">
        <v>88</v>
      </c>
      <c r="F62" s="1" t="s">
        <v>78</v>
      </c>
      <c r="G62" s="1" t="s">
        <v>78</v>
      </c>
      <c r="J62" s="15">
        <v>2072.0</v>
      </c>
      <c r="K62" s="1" t="s">
        <v>90</v>
      </c>
      <c r="L62" s="8">
        <v>46011.0</v>
      </c>
    </row>
    <row r="63">
      <c r="A63" s="5">
        <v>46011.82235030092</v>
      </c>
      <c r="D63" s="1" t="s">
        <v>76</v>
      </c>
      <c r="E63" s="1" t="s">
        <v>77</v>
      </c>
      <c r="F63" s="1" t="s">
        <v>78</v>
      </c>
      <c r="G63" s="1" t="s">
        <v>79</v>
      </c>
      <c r="K63" s="1" t="s">
        <v>80</v>
      </c>
      <c r="L63" s="8">
        <v>46011.0</v>
      </c>
    </row>
    <row r="64">
      <c r="A64" s="5">
        <v>46011.82235462963</v>
      </c>
      <c r="B64" s="1" t="s">
        <v>130</v>
      </c>
      <c r="C64" s="1" t="s">
        <v>81</v>
      </c>
      <c r="D64" s="1" t="s">
        <v>99</v>
      </c>
      <c r="E64" s="1" t="s">
        <v>100</v>
      </c>
      <c r="F64" s="1" t="s">
        <v>101</v>
      </c>
      <c r="G64" s="1" t="s">
        <v>102</v>
      </c>
      <c r="H64" s="1" t="s">
        <v>135</v>
      </c>
      <c r="L64" s="8">
        <v>46011.0</v>
      </c>
    </row>
    <row r="65">
      <c r="A65" s="5">
        <v>46011.82235959491</v>
      </c>
      <c r="C65" s="1" t="s">
        <v>76</v>
      </c>
      <c r="D65" s="1" t="s">
        <v>76</v>
      </c>
      <c r="E65" s="1" t="s">
        <v>88</v>
      </c>
      <c r="F65" s="1" t="s">
        <v>104</v>
      </c>
      <c r="G65" s="1" t="s">
        <v>104</v>
      </c>
      <c r="J65" s="15">
        <v>375.0</v>
      </c>
      <c r="K65" s="1" t="s">
        <v>136</v>
      </c>
      <c r="L65" s="8">
        <v>46011.0</v>
      </c>
    </row>
    <row r="66">
      <c r="A66" s="5">
        <v>46011.8223671875</v>
      </c>
      <c r="C66" s="1" t="s">
        <v>76</v>
      </c>
      <c r="D66" s="1" t="s">
        <v>76</v>
      </c>
      <c r="E66" s="1" t="s">
        <v>88</v>
      </c>
      <c r="F66" s="1" t="s">
        <v>78</v>
      </c>
      <c r="G66" s="1" t="s">
        <v>78</v>
      </c>
      <c r="J66" s="15">
        <v>1317.0</v>
      </c>
      <c r="K66" s="1" t="s">
        <v>90</v>
      </c>
      <c r="L66" s="8">
        <v>46011.0</v>
      </c>
    </row>
    <row r="67">
      <c r="A67" s="5">
        <v>46011.82287163194</v>
      </c>
      <c r="D67" s="1" t="s">
        <v>76</v>
      </c>
      <c r="E67" s="1" t="s">
        <v>77</v>
      </c>
      <c r="F67" s="1" t="s">
        <v>78</v>
      </c>
      <c r="G67" s="1" t="s">
        <v>79</v>
      </c>
      <c r="K67" s="1" t="s">
        <v>80</v>
      </c>
      <c r="L67" s="8">
        <v>46011.0</v>
      </c>
    </row>
    <row r="68">
      <c r="A68" s="5">
        <v>46011.82287425926</v>
      </c>
      <c r="B68" s="1" t="s">
        <v>130</v>
      </c>
      <c r="C68" s="1" t="s">
        <v>81</v>
      </c>
      <c r="D68" s="1" t="s">
        <v>99</v>
      </c>
      <c r="E68" s="1" t="s">
        <v>100</v>
      </c>
      <c r="F68" s="1" t="s">
        <v>101</v>
      </c>
      <c r="G68" s="1" t="s">
        <v>102</v>
      </c>
      <c r="H68" s="1" t="s">
        <v>137</v>
      </c>
      <c r="L68" s="8">
        <v>46011.0</v>
      </c>
    </row>
    <row r="69">
      <c r="A69" s="5">
        <v>46011.822876736114</v>
      </c>
      <c r="C69" s="1" t="s">
        <v>76</v>
      </c>
      <c r="D69" s="1" t="s">
        <v>76</v>
      </c>
      <c r="E69" s="1" t="s">
        <v>88</v>
      </c>
      <c r="F69" s="1" t="s">
        <v>104</v>
      </c>
      <c r="G69" s="1" t="s">
        <v>104</v>
      </c>
      <c r="J69" s="15">
        <v>209.0</v>
      </c>
      <c r="K69" s="1" t="s">
        <v>138</v>
      </c>
      <c r="L69" s="8">
        <v>46011.0</v>
      </c>
    </row>
    <row r="70">
      <c r="A70" s="5">
        <v>46011.82287912037</v>
      </c>
      <c r="C70" s="1" t="s">
        <v>76</v>
      </c>
      <c r="D70" s="1" t="s">
        <v>76</v>
      </c>
      <c r="E70" s="1" t="s">
        <v>88</v>
      </c>
      <c r="F70" s="1" t="s">
        <v>78</v>
      </c>
      <c r="G70" s="1" t="s">
        <v>78</v>
      </c>
      <c r="J70" s="15">
        <v>752.0</v>
      </c>
      <c r="K70" s="1" t="s">
        <v>90</v>
      </c>
      <c r="L70" s="8">
        <v>46011.0</v>
      </c>
    </row>
    <row r="71">
      <c r="A71" s="5">
        <v>46011.823395416664</v>
      </c>
      <c r="D71" s="1" t="s">
        <v>76</v>
      </c>
      <c r="E71" s="1" t="s">
        <v>77</v>
      </c>
      <c r="F71" s="1" t="s">
        <v>78</v>
      </c>
      <c r="G71" s="1" t="s">
        <v>79</v>
      </c>
      <c r="K71" s="1" t="s">
        <v>80</v>
      </c>
      <c r="L71" s="8">
        <v>46011.0</v>
      </c>
    </row>
    <row r="72">
      <c r="A72" s="5">
        <v>46011.82340009259</v>
      </c>
      <c r="B72" s="1" t="s">
        <v>130</v>
      </c>
      <c r="C72" s="1" t="s">
        <v>81</v>
      </c>
      <c r="D72" s="1" t="s">
        <v>99</v>
      </c>
      <c r="E72" s="1" t="s">
        <v>100</v>
      </c>
      <c r="F72" s="1" t="s">
        <v>101</v>
      </c>
      <c r="G72" s="1" t="s">
        <v>102</v>
      </c>
      <c r="H72" s="1" t="s">
        <v>139</v>
      </c>
      <c r="L72" s="8">
        <v>46011.0</v>
      </c>
    </row>
    <row r="73">
      <c r="A73" s="5">
        <v>46011.823404131945</v>
      </c>
      <c r="C73" s="1" t="s">
        <v>76</v>
      </c>
      <c r="D73" s="1" t="s">
        <v>76</v>
      </c>
      <c r="E73" s="1" t="s">
        <v>88</v>
      </c>
      <c r="F73" s="1" t="s">
        <v>104</v>
      </c>
      <c r="G73" s="1" t="s">
        <v>104</v>
      </c>
      <c r="J73" s="15">
        <v>368.0</v>
      </c>
      <c r="K73" s="1" t="s">
        <v>140</v>
      </c>
      <c r="L73" s="8">
        <v>46011.0</v>
      </c>
    </row>
    <row r="74">
      <c r="A74" s="5">
        <v>46011.823408738426</v>
      </c>
      <c r="C74" s="1" t="s">
        <v>76</v>
      </c>
      <c r="D74" s="1" t="s">
        <v>76</v>
      </c>
      <c r="E74" s="1" t="s">
        <v>88</v>
      </c>
      <c r="F74" s="1" t="s">
        <v>78</v>
      </c>
      <c r="G74" s="1" t="s">
        <v>78</v>
      </c>
      <c r="J74" s="15">
        <v>1266.0</v>
      </c>
      <c r="K74" s="1" t="s">
        <v>90</v>
      </c>
      <c r="L74" s="8">
        <v>46011.0</v>
      </c>
    </row>
    <row r="75">
      <c r="A75" s="5">
        <v>46012.74050332176</v>
      </c>
      <c r="D75" s="1" t="s">
        <v>76</v>
      </c>
      <c r="E75" s="1" t="s">
        <v>77</v>
      </c>
      <c r="F75" s="1" t="s">
        <v>78</v>
      </c>
      <c r="G75" s="1" t="s">
        <v>79</v>
      </c>
      <c r="K75" s="1" t="s">
        <v>80</v>
      </c>
      <c r="L75" s="8">
        <v>46012.0</v>
      </c>
    </row>
    <row r="76">
      <c r="A76" s="5">
        <v>46012.74050833333</v>
      </c>
      <c r="B76" s="1" t="s">
        <v>141</v>
      </c>
      <c r="C76" s="1" t="s">
        <v>81</v>
      </c>
      <c r="D76" s="1" t="s">
        <v>142</v>
      </c>
      <c r="E76" s="1" t="s">
        <v>131</v>
      </c>
      <c r="F76" s="1" t="s">
        <v>78</v>
      </c>
      <c r="G76" s="1" t="s">
        <v>132</v>
      </c>
      <c r="L76" s="8">
        <v>46012.0</v>
      </c>
    </row>
    <row r="77">
      <c r="A77" s="5">
        <v>46012.740521203705</v>
      </c>
      <c r="C77" s="1" t="s">
        <v>76</v>
      </c>
      <c r="D77" s="1" t="s">
        <v>76</v>
      </c>
      <c r="E77" s="1" t="s">
        <v>88</v>
      </c>
      <c r="F77" s="1" t="s">
        <v>78</v>
      </c>
      <c r="G77" s="1" t="s">
        <v>78</v>
      </c>
      <c r="J77" s="15">
        <v>2065.0</v>
      </c>
      <c r="K77" s="1" t="s">
        <v>90</v>
      </c>
      <c r="L77" s="8">
        <v>46012.0</v>
      </c>
    </row>
    <row r="78">
      <c r="A78" s="5">
        <v>46012.740646238424</v>
      </c>
      <c r="C78" s="1"/>
      <c r="D78" s="1" t="s">
        <v>76</v>
      </c>
      <c r="E78" s="1" t="s">
        <v>77</v>
      </c>
      <c r="F78" s="1" t="s">
        <v>78</v>
      </c>
      <c r="G78" s="1" t="s">
        <v>79</v>
      </c>
      <c r="J78" s="15"/>
      <c r="K78" s="1" t="s">
        <v>80</v>
      </c>
      <c r="L78" s="8">
        <v>46012.0</v>
      </c>
    </row>
    <row r="79">
      <c r="A79" s="5">
        <v>46012.74065009259</v>
      </c>
      <c r="B79" s="1" t="s">
        <v>141</v>
      </c>
      <c r="C79" s="1" t="s">
        <v>81</v>
      </c>
      <c r="D79" s="1" t="s">
        <v>99</v>
      </c>
      <c r="E79" s="1" t="s">
        <v>131</v>
      </c>
      <c r="F79" s="1" t="s">
        <v>78</v>
      </c>
      <c r="G79" s="1" t="s">
        <v>132</v>
      </c>
      <c r="J79" s="15"/>
      <c r="K79" s="1"/>
      <c r="L79" s="8">
        <v>46012.0</v>
      </c>
    </row>
    <row r="80">
      <c r="A80" s="5">
        <v>46012.74065368055</v>
      </c>
      <c r="B80" s="1"/>
      <c r="C80" s="1" t="s">
        <v>76</v>
      </c>
      <c r="D80" s="1" t="s">
        <v>76</v>
      </c>
      <c r="E80" s="1" t="s">
        <v>88</v>
      </c>
      <c r="F80" s="1" t="s">
        <v>78</v>
      </c>
      <c r="G80" s="1" t="s">
        <v>78</v>
      </c>
      <c r="J80" s="15">
        <v>716.0</v>
      </c>
      <c r="K80" s="1" t="s">
        <v>90</v>
      </c>
      <c r="L80" s="8">
        <v>46012.0</v>
      </c>
    </row>
    <row r="81">
      <c r="A81" s="5">
        <v>46012.74346729167</v>
      </c>
      <c r="B81" s="1"/>
      <c r="C81" s="1"/>
      <c r="D81" s="1" t="s">
        <v>76</v>
      </c>
      <c r="E81" s="1" t="s">
        <v>77</v>
      </c>
      <c r="F81" s="1" t="s">
        <v>78</v>
      </c>
      <c r="G81" s="1" t="s">
        <v>79</v>
      </c>
      <c r="J81" s="15"/>
      <c r="K81" s="1" t="s">
        <v>80</v>
      </c>
      <c r="L81" s="8">
        <v>46012.0</v>
      </c>
    </row>
    <row r="82">
      <c r="A82" s="5">
        <v>46012.74347378472</v>
      </c>
      <c r="B82" s="1" t="s">
        <v>143</v>
      </c>
      <c r="C82" s="1" t="s">
        <v>81</v>
      </c>
      <c r="D82" s="1" t="s">
        <v>142</v>
      </c>
      <c r="E82" s="1" t="s">
        <v>131</v>
      </c>
      <c r="F82" s="1" t="s">
        <v>78</v>
      </c>
      <c r="G82" s="1" t="s">
        <v>132</v>
      </c>
      <c r="J82" s="15"/>
      <c r="K82" s="1"/>
      <c r="L82" s="8">
        <v>46012.0</v>
      </c>
    </row>
    <row r="83">
      <c r="A83" s="5">
        <v>46012.743479895835</v>
      </c>
      <c r="B83" s="1"/>
      <c r="C83" s="1" t="s">
        <v>76</v>
      </c>
      <c r="D83" s="1" t="s">
        <v>76</v>
      </c>
      <c r="E83" s="1" t="s">
        <v>88</v>
      </c>
      <c r="F83" s="1" t="s">
        <v>78</v>
      </c>
      <c r="G83" s="1" t="s">
        <v>78</v>
      </c>
      <c r="J83" s="15">
        <v>1236.0</v>
      </c>
      <c r="K83" s="1" t="s">
        <v>90</v>
      </c>
      <c r="L83" s="8">
        <v>46012.0</v>
      </c>
    </row>
    <row r="84">
      <c r="A84" s="5">
        <v>46012.743587997684</v>
      </c>
      <c r="B84" s="1"/>
      <c r="C84" s="1"/>
      <c r="D84" s="1" t="s">
        <v>76</v>
      </c>
      <c r="E84" s="1" t="s">
        <v>77</v>
      </c>
      <c r="F84" s="1" t="s">
        <v>78</v>
      </c>
      <c r="G84" s="1" t="s">
        <v>79</v>
      </c>
      <c r="J84" s="15"/>
      <c r="K84" s="1" t="s">
        <v>80</v>
      </c>
      <c r="L84" s="8">
        <v>46012.0</v>
      </c>
    </row>
    <row r="85">
      <c r="A85" s="5">
        <v>46012.74359391203</v>
      </c>
      <c r="B85" s="1" t="s">
        <v>143</v>
      </c>
      <c r="C85" s="1" t="s">
        <v>81</v>
      </c>
      <c r="D85" s="1" t="s">
        <v>99</v>
      </c>
      <c r="E85" s="1" t="s">
        <v>131</v>
      </c>
      <c r="F85" s="1" t="s">
        <v>78</v>
      </c>
      <c r="G85" s="1" t="s">
        <v>132</v>
      </c>
      <c r="J85" s="15"/>
      <c r="K85" s="1"/>
      <c r="L85" s="8">
        <v>46012.0</v>
      </c>
    </row>
    <row r="86">
      <c r="A86" s="5">
        <v>46012.74359966435</v>
      </c>
      <c r="B86" s="1"/>
      <c r="C86" s="1" t="s">
        <v>76</v>
      </c>
      <c r="D86" s="1" t="s">
        <v>76</v>
      </c>
      <c r="E86" s="1" t="s">
        <v>88</v>
      </c>
      <c r="F86" s="1" t="s">
        <v>78</v>
      </c>
      <c r="G86" s="1" t="s">
        <v>78</v>
      </c>
      <c r="J86" s="15">
        <v>1151.0</v>
      </c>
      <c r="K86" s="1" t="s">
        <v>90</v>
      </c>
      <c r="L86" s="8">
        <v>46012.0</v>
      </c>
    </row>
    <row r="87">
      <c r="A87" s="5">
        <v>46012.74365333334</v>
      </c>
      <c r="B87" s="1"/>
      <c r="C87" s="1"/>
      <c r="D87" s="1" t="s">
        <v>76</v>
      </c>
      <c r="E87" s="1" t="s">
        <v>77</v>
      </c>
      <c r="F87" s="1" t="s">
        <v>78</v>
      </c>
      <c r="G87" s="1" t="s">
        <v>79</v>
      </c>
      <c r="J87" s="15"/>
      <c r="K87" s="1" t="s">
        <v>80</v>
      </c>
      <c r="L87" s="8">
        <v>46012.0</v>
      </c>
    </row>
    <row r="88">
      <c r="A88" s="5">
        <v>46012.74365902778</v>
      </c>
      <c r="B88" s="1" t="s">
        <v>143</v>
      </c>
      <c r="C88" s="1" t="s">
        <v>81</v>
      </c>
      <c r="D88" s="1" t="s">
        <v>99</v>
      </c>
      <c r="E88" s="1" t="s">
        <v>131</v>
      </c>
      <c r="F88" s="1" t="s">
        <v>78</v>
      </c>
      <c r="G88" s="1" t="s">
        <v>132</v>
      </c>
      <c r="J88" s="15"/>
      <c r="K88" s="1"/>
      <c r="L88" s="8">
        <v>46012.0</v>
      </c>
    </row>
    <row r="89">
      <c r="A89" s="5">
        <v>46012.74366521991</v>
      </c>
      <c r="B89" s="1"/>
      <c r="C89" s="1" t="s">
        <v>76</v>
      </c>
      <c r="D89" s="1" t="s">
        <v>76</v>
      </c>
      <c r="E89" s="1" t="s">
        <v>88</v>
      </c>
      <c r="F89" s="1" t="s">
        <v>78</v>
      </c>
      <c r="G89" s="1" t="s">
        <v>78</v>
      </c>
      <c r="J89" s="15">
        <v>1139.0</v>
      </c>
      <c r="K89" s="1" t="s">
        <v>90</v>
      </c>
      <c r="L89" s="8">
        <v>46012.0</v>
      </c>
    </row>
    <row r="90">
      <c r="A90" s="5">
        <v>46012.818919178244</v>
      </c>
      <c r="B90" s="1"/>
      <c r="C90" s="1"/>
      <c r="D90" s="1" t="s">
        <v>76</v>
      </c>
      <c r="E90" s="1" t="s">
        <v>77</v>
      </c>
      <c r="F90" s="1" t="s">
        <v>78</v>
      </c>
      <c r="G90" s="1" t="s">
        <v>79</v>
      </c>
      <c r="J90" s="15"/>
      <c r="K90" s="1" t="s">
        <v>80</v>
      </c>
      <c r="L90" s="8">
        <v>46012.0</v>
      </c>
    </row>
    <row r="91">
      <c r="A91" s="5">
        <v>46012.818923576386</v>
      </c>
      <c r="B91" s="1" t="s">
        <v>130</v>
      </c>
      <c r="C91" s="1" t="s">
        <v>81</v>
      </c>
      <c r="D91" s="1" t="s">
        <v>99</v>
      </c>
      <c r="E91" s="1" t="s">
        <v>131</v>
      </c>
      <c r="F91" s="1" t="s">
        <v>78</v>
      </c>
      <c r="G91" s="1" t="s">
        <v>132</v>
      </c>
      <c r="J91" s="15"/>
      <c r="K91" s="1"/>
      <c r="L91" s="8">
        <v>46012.0</v>
      </c>
    </row>
    <row r="92">
      <c r="A92" s="5">
        <v>46012.81893358796</v>
      </c>
      <c r="B92" s="1"/>
      <c r="C92" s="1" t="s">
        <v>76</v>
      </c>
      <c r="D92" s="1" t="s">
        <v>76</v>
      </c>
      <c r="E92" s="1" t="s">
        <v>88</v>
      </c>
      <c r="F92" s="1" t="s">
        <v>78</v>
      </c>
      <c r="G92" s="1" t="s">
        <v>78</v>
      </c>
      <c r="J92" s="15">
        <v>1939.0</v>
      </c>
      <c r="K92" s="1" t="s">
        <v>90</v>
      </c>
      <c r="L92" s="8">
        <v>46012.0</v>
      </c>
    </row>
    <row r="93">
      <c r="A93" s="5">
        <v>46012.822723634265</v>
      </c>
      <c r="B93" s="1"/>
      <c r="C93" s="1"/>
      <c r="D93" s="1" t="s">
        <v>76</v>
      </c>
      <c r="E93" s="1" t="s">
        <v>77</v>
      </c>
      <c r="F93" s="1" t="s">
        <v>78</v>
      </c>
      <c r="G93" s="1" t="s">
        <v>79</v>
      </c>
      <c r="J93" s="15"/>
      <c r="K93" s="1" t="s">
        <v>80</v>
      </c>
      <c r="L93" s="8">
        <v>46012.0</v>
      </c>
    </row>
    <row r="94">
      <c r="A94" s="5">
        <v>46012.822728125</v>
      </c>
      <c r="B94" s="1" t="s">
        <v>144</v>
      </c>
      <c r="C94" s="1" t="s">
        <v>81</v>
      </c>
      <c r="D94" s="1" t="s">
        <v>142</v>
      </c>
      <c r="E94" s="1" t="s">
        <v>131</v>
      </c>
      <c r="F94" s="1" t="s">
        <v>78</v>
      </c>
      <c r="G94" s="1" t="s">
        <v>132</v>
      </c>
      <c r="J94" s="15"/>
      <c r="K94" s="1"/>
      <c r="L94" s="8">
        <v>46012.0</v>
      </c>
    </row>
    <row r="95">
      <c r="A95" s="5">
        <v>46012.8227327662</v>
      </c>
      <c r="B95" s="1"/>
      <c r="C95" s="1" t="s">
        <v>76</v>
      </c>
      <c r="D95" s="1" t="s">
        <v>76</v>
      </c>
      <c r="E95" s="1" t="s">
        <v>88</v>
      </c>
      <c r="F95" s="1" t="s">
        <v>78</v>
      </c>
      <c r="G95" s="1" t="s">
        <v>78</v>
      </c>
      <c r="J95" s="15">
        <v>967.0</v>
      </c>
      <c r="K95" s="1" t="s">
        <v>90</v>
      </c>
      <c r="L95" s="8">
        <v>46012.0</v>
      </c>
    </row>
    <row r="96">
      <c r="A96" s="5">
        <v>46012.958539907406</v>
      </c>
      <c r="B96" s="1"/>
      <c r="C96" s="1"/>
      <c r="D96" s="1" t="s">
        <v>76</v>
      </c>
      <c r="E96" s="1" t="s">
        <v>77</v>
      </c>
      <c r="F96" s="1" t="s">
        <v>78</v>
      </c>
      <c r="G96" s="1" t="s">
        <v>79</v>
      </c>
      <c r="J96" s="15"/>
      <c r="K96" s="1" t="s">
        <v>80</v>
      </c>
      <c r="L96" s="8">
        <v>46012.0</v>
      </c>
    </row>
    <row r="97">
      <c r="A97" s="5">
        <v>46012.95854373842</v>
      </c>
      <c r="B97" s="1" t="s">
        <v>45</v>
      </c>
      <c r="C97" s="1" t="s">
        <v>81</v>
      </c>
      <c r="D97" s="1" t="s">
        <v>99</v>
      </c>
      <c r="E97" s="1" t="s">
        <v>107</v>
      </c>
      <c r="F97" s="1" t="s">
        <v>108</v>
      </c>
      <c r="G97" s="1" t="s">
        <v>109</v>
      </c>
      <c r="H97" s="1" t="s">
        <v>110</v>
      </c>
      <c r="J97" s="15"/>
      <c r="K97" s="1"/>
      <c r="L97" s="8">
        <v>46012.0</v>
      </c>
    </row>
    <row r="98">
      <c r="A98" s="5">
        <v>46012.95855390046</v>
      </c>
      <c r="B98" s="1"/>
      <c r="C98" s="1" t="s">
        <v>76</v>
      </c>
      <c r="D98" s="1" t="s">
        <v>76</v>
      </c>
      <c r="E98" s="1" t="s">
        <v>88</v>
      </c>
      <c r="F98" s="1" t="s">
        <v>104</v>
      </c>
      <c r="G98" s="1" t="s">
        <v>104</v>
      </c>
      <c r="H98" s="1"/>
      <c r="J98" s="15">
        <v>884.0</v>
      </c>
      <c r="K98" s="1" t="s">
        <v>111</v>
      </c>
      <c r="L98" s="8">
        <v>46012.0</v>
      </c>
    </row>
    <row r="99">
      <c r="A99" s="5">
        <v>46012.95855715278</v>
      </c>
      <c r="B99" s="1"/>
      <c r="C99" s="1" t="s">
        <v>76</v>
      </c>
      <c r="D99" s="1" t="s">
        <v>76</v>
      </c>
      <c r="E99" s="1" t="s">
        <v>88</v>
      </c>
      <c r="F99" s="1" t="s">
        <v>78</v>
      </c>
      <c r="G99" s="1" t="s">
        <v>78</v>
      </c>
      <c r="H99" s="1"/>
      <c r="J99" s="15">
        <v>1599.0</v>
      </c>
      <c r="K99" s="1" t="s">
        <v>90</v>
      </c>
      <c r="L99" s="8">
        <v>46012.0</v>
      </c>
    </row>
    <row r="100">
      <c r="A100" s="5">
        <v>46012.95870877315</v>
      </c>
      <c r="B100" s="1"/>
      <c r="C100" s="1"/>
      <c r="D100" s="1" t="s">
        <v>76</v>
      </c>
      <c r="E100" s="1" t="s">
        <v>77</v>
      </c>
      <c r="F100" s="1" t="s">
        <v>78</v>
      </c>
      <c r="G100" s="1" t="s">
        <v>79</v>
      </c>
      <c r="H100" s="1"/>
      <c r="J100" s="15"/>
      <c r="K100" s="1" t="s">
        <v>80</v>
      </c>
      <c r="L100" s="8">
        <v>46012.0</v>
      </c>
    </row>
    <row r="101">
      <c r="A101" s="5">
        <v>46012.958714039356</v>
      </c>
      <c r="B101" s="1" t="s">
        <v>45</v>
      </c>
      <c r="C101" s="1" t="s">
        <v>81</v>
      </c>
      <c r="D101" s="1" t="s">
        <v>82</v>
      </c>
      <c r="E101" s="1" t="s">
        <v>112</v>
      </c>
      <c r="F101" s="1" t="s">
        <v>84</v>
      </c>
      <c r="G101" s="1" t="s">
        <v>85</v>
      </c>
      <c r="H101" s="1"/>
      <c r="I101" s="1" t="s">
        <v>113</v>
      </c>
      <c r="J101" s="15"/>
      <c r="K101" s="1" t="s">
        <v>114</v>
      </c>
      <c r="L101" s="8">
        <v>46012.0</v>
      </c>
    </row>
    <row r="102">
      <c r="A102" s="5">
        <v>46012.95871664352</v>
      </c>
      <c r="B102" s="1" t="s">
        <v>45</v>
      </c>
      <c r="C102" s="1" t="s">
        <v>81</v>
      </c>
      <c r="D102" s="1" t="s">
        <v>82</v>
      </c>
      <c r="E102" s="1" t="s">
        <v>112</v>
      </c>
      <c r="F102" s="1" t="s">
        <v>108</v>
      </c>
      <c r="G102" s="1" t="s">
        <v>115</v>
      </c>
      <c r="H102" s="1"/>
      <c r="I102" s="1" t="s">
        <v>113</v>
      </c>
      <c r="J102" s="15"/>
      <c r="K102" s="1" t="s">
        <v>114</v>
      </c>
      <c r="L102" s="8">
        <v>46012.0</v>
      </c>
    </row>
    <row r="103">
      <c r="A103" s="5">
        <v>46012.95872238426</v>
      </c>
      <c r="B103" s="1"/>
      <c r="C103" s="1" t="s">
        <v>76</v>
      </c>
      <c r="D103" s="1" t="s">
        <v>76</v>
      </c>
      <c r="E103" s="1" t="s">
        <v>88</v>
      </c>
      <c r="F103" s="1" t="s">
        <v>89</v>
      </c>
      <c r="G103" s="1" t="s">
        <v>89</v>
      </c>
      <c r="H103" s="1"/>
      <c r="I103" s="1"/>
      <c r="J103" s="15">
        <v>957.0</v>
      </c>
      <c r="K103" s="1" t="s">
        <v>116</v>
      </c>
      <c r="L103" s="8">
        <v>46012.0</v>
      </c>
    </row>
    <row r="104">
      <c r="A104" s="5">
        <v>46012.958724861106</v>
      </c>
      <c r="B104" s="1"/>
      <c r="C104" s="1" t="s">
        <v>76</v>
      </c>
      <c r="D104" s="1" t="s">
        <v>76</v>
      </c>
      <c r="E104" s="1" t="s">
        <v>88</v>
      </c>
      <c r="F104" s="1" t="s">
        <v>78</v>
      </c>
      <c r="G104" s="1" t="s">
        <v>78</v>
      </c>
      <c r="H104" s="1"/>
      <c r="I104" s="1"/>
      <c r="J104" s="15">
        <v>1467.0</v>
      </c>
      <c r="K104" s="1" t="s">
        <v>90</v>
      </c>
      <c r="L104" s="8">
        <v>46012.0</v>
      </c>
    </row>
    <row r="105">
      <c r="A105" s="5">
        <v>46012.95876688657</v>
      </c>
      <c r="B105" s="1"/>
      <c r="C105" s="1"/>
      <c r="D105" s="1" t="s">
        <v>76</v>
      </c>
      <c r="E105" s="1" t="s">
        <v>77</v>
      </c>
      <c r="F105" s="1" t="s">
        <v>78</v>
      </c>
      <c r="G105" s="1" t="s">
        <v>79</v>
      </c>
      <c r="H105" s="1"/>
      <c r="I105" s="1"/>
      <c r="J105" s="15"/>
      <c r="K105" s="1" t="s">
        <v>80</v>
      </c>
      <c r="L105" s="8">
        <v>46012.0</v>
      </c>
    </row>
    <row r="106">
      <c r="A106" s="5">
        <v>46012.958770185185</v>
      </c>
      <c r="B106" s="1" t="s">
        <v>45</v>
      </c>
      <c r="C106" s="1" t="s">
        <v>81</v>
      </c>
      <c r="D106" s="1" t="s">
        <v>82</v>
      </c>
      <c r="E106" s="1" t="s">
        <v>117</v>
      </c>
      <c r="F106" s="1" t="s">
        <v>84</v>
      </c>
      <c r="G106" s="1" t="s">
        <v>85</v>
      </c>
      <c r="H106" s="1"/>
      <c r="I106" s="1" t="s">
        <v>118</v>
      </c>
      <c r="J106" s="15"/>
      <c r="K106" s="1" t="s">
        <v>119</v>
      </c>
      <c r="L106" s="8">
        <v>46012.0</v>
      </c>
    </row>
    <row r="107">
      <c r="A107" s="5">
        <v>46012.95877652778</v>
      </c>
      <c r="B107" s="1"/>
      <c r="C107" s="1" t="s">
        <v>76</v>
      </c>
      <c r="D107" s="1" t="s">
        <v>76</v>
      </c>
      <c r="E107" s="1" t="s">
        <v>88</v>
      </c>
      <c r="F107" s="1" t="s">
        <v>89</v>
      </c>
      <c r="G107" s="1" t="s">
        <v>89</v>
      </c>
      <c r="H107" s="1"/>
      <c r="I107" s="1"/>
      <c r="J107" s="15">
        <v>568.0</v>
      </c>
      <c r="K107" s="1" t="s">
        <v>120</v>
      </c>
      <c r="L107" s="8">
        <v>46012.0</v>
      </c>
    </row>
    <row r="108">
      <c r="A108" s="5">
        <v>46012.958779629625</v>
      </c>
      <c r="B108" s="1"/>
      <c r="C108" s="1" t="s">
        <v>76</v>
      </c>
      <c r="D108" s="1" t="s">
        <v>76</v>
      </c>
      <c r="E108" s="1" t="s">
        <v>88</v>
      </c>
      <c r="F108" s="1" t="s">
        <v>78</v>
      </c>
      <c r="G108" s="1" t="s">
        <v>78</v>
      </c>
      <c r="H108" s="1"/>
      <c r="I108" s="1"/>
      <c r="J108" s="15">
        <v>1156.0</v>
      </c>
      <c r="K108" s="1" t="s">
        <v>90</v>
      </c>
      <c r="L108" s="8">
        <v>46012.0</v>
      </c>
    </row>
    <row r="109">
      <c r="A109" s="5">
        <v>46012.958820115746</v>
      </c>
      <c r="B109" s="1"/>
      <c r="C109" s="1"/>
      <c r="D109" s="1" t="s">
        <v>76</v>
      </c>
      <c r="E109" s="1" t="s">
        <v>77</v>
      </c>
      <c r="F109" s="1" t="s">
        <v>78</v>
      </c>
      <c r="G109" s="1" t="s">
        <v>79</v>
      </c>
      <c r="H109" s="1"/>
      <c r="I109" s="1"/>
      <c r="J109" s="15"/>
      <c r="K109" s="1" t="s">
        <v>80</v>
      </c>
      <c r="L109" s="8">
        <v>46012.0</v>
      </c>
    </row>
    <row r="110">
      <c r="A110" s="5">
        <v>46012.958823622685</v>
      </c>
      <c r="B110" s="1" t="s">
        <v>45</v>
      </c>
      <c r="C110" s="1" t="s">
        <v>81</v>
      </c>
      <c r="D110" s="1" t="s">
        <v>82</v>
      </c>
      <c r="E110" s="1" t="s">
        <v>94</v>
      </c>
      <c r="F110" s="1" t="s">
        <v>84</v>
      </c>
      <c r="G110" s="1" t="s">
        <v>85</v>
      </c>
      <c r="H110" s="1"/>
      <c r="I110" s="1" t="s">
        <v>145</v>
      </c>
      <c r="J110" s="15"/>
      <c r="K110" s="1" t="s">
        <v>146</v>
      </c>
      <c r="L110" s="8">
        <v>46012.0</v>
      </c>
    </row>
    <row r="111">
      <c r="A111" s="5">
        <v>46012.95889155092</v>
      </c>
      <c r="B111" s="1"/>
      <c r="C111" s="1" t="s">
        <v>76</v>
      </c>
      <c r="D111" s="1" t="s">
        <v>76</v>
      </c>
      <c r="E111" s="1" t="s">
        <v>88</v>
      </c>
      <c r="F111" s="1" t="s">
        <v>89</v>
      </c>
      <c r="G111" s="1" t="s">
        <v>89</v>
      </c>
      <c r="H111" s="1"/>
      <c r="I111" s="1"/>
      <c r="J111" s="15">
        <v>5860.0</v>
      </c>
      <c r="K111" s="1" t="s">
        <v>97</v>
      </c>
      <c r="L111" s="8">
        <v>46012.0</v>
      </c>
    </row>
    <row r="112">
      <c r="A112" s="5">
        <v>46012.95889571759</v>
      </c>
      <c r="B112" s="1"/>
      <c r="C112" s="1" t="s">
        <v>76</v>
      </c>
      <c r="D112" s="1" t="s">
        <v>76</v>
      </c>
      <c r="E112" s="1" t="s">
        <v>88</v>
      </c>
      <c r="F112" s="1" t="s">
        <v>78</v>
      </c>
      <c r="G112" s="1" t="s">
        <v>78</v>
      </c>
      <c r="H112" s="1"/>
      <c r="I112" s="1"/>
      <c r="J112" s="15">
        <v>6646.0</v>
      </c>
      <c r="K112" s="1" t="s">
        <v>90</v>
      </c>
      <c r="L112" s="8">
        <v>46012.0</v>
      </c>
    </row>
    <row r="113">
      <c r="A113" s="5">
        <v>46013.70773699074</v>
      </c>
      <c r="B113" s="1"/>
      <c r="C113" s="1"/>
      <c r="D113" s="1" t="s">
        <v>76</v>
      </c>
      <c r="E113" s="1" t="s">
        <v>77</v>
      </c>
      <c r="F113" s="1" t="s">
        <v>78</v>
      </c>
      <c r="G113" s="1" t="s">
        <v>79</v>
      </c>
      <c r="H113" s="1"/>
      <c r="I113" s="1"/>
      <c r="J113" s="15"/>
      <c r="K113" s="1" t="s">
        <v>80</v>
      </c>
      <c r="L113" s="8">
        <v>46013.0</v>
      </c>
    </row>
    <row r="114">
      <c r="A114" s="5">
        <v>46013.70774241898</v>
      </c>
      <c r="B114" s="1" t="s">
        <v>144</v>
      </c>
      <c r="C114" s="1" t="s">
        <v>81</v>
      </c>
      <c r="D114" s="1" t="s">
        <v>99</v>
      </c>
      <c r="E114" s="1" t="s">
        <v>107</v>
      </c>
      <c r="F114" s="1" t="s">
        <v>108</v>
      </c>
      <c r="G114" s="1" t="s">
        <v>109</v>
      </c>
      <c r="H114" s="1" t="s">
        <v>110</v>
      </c>
      <c r="I114" s="1"/>
      <c r="J114" s="15"/>
      <c r="K114" s="1"/>
      <c r="L114" s="8">
        <v>46013.0</v>
      </c>
    </row>
    <row r="115">
      <c r="A115" s="5">
        <v>46013.7077594213</v>
      </c>
      <c r="B115" s="1"/>
      <c r="C115" s="1" t="s">
        <v>76</v>
      </c>
      <c r="D115" s="1" t="s">
        <v>76</v>
      </c>
      <c r="E115" s="1" t="s">
        <v>88</v>
      </c>
      <c r="F115" s="1" t="s">
        <v>104</v>
      </c>
      <c r="G115" s="1" t="s">
        <v>104</v>
      </c>
      <c r="H115" s="1"/>
      <c r="I115" s="1"/>
      <c r="J115" s="15">
        <v>1398.0</v>
      </c>
      <c r="K115" s="1" t="s">
        <v>111</v>
      </c>
      <c r="L115" s="8">
        <v>46013.0</v>
      </c>
    </row>
    <row r="116">
      <c r="A116" s="5">
        <v>46013.70776336806</v>
      </c>
      <c r="B116" s="1"/>
      <c r="C116" s="1" t="s">
        <v>76</v>
      </c>
      <c r="D116" s="1" t="s">
        <v>76</v>
      </c>
      <c r="E116" s="1" t="s">
        <v>88</v>
      </c>
      <c r="F116" s="1" t="s">
        <v>78</v>
      </c>
      <c r="G116" s="1" t="s">
        <v>78</v>
      </c>
      <c r="H116" s="1"/>
      <c r="I116" s="1"/>
      <c r="J116" s="15">
        <v>2817.0</v>
      </c>
      <c r="K116" s="1" t="s">
        <v>90</v>
      </c>
      <c r="L116" s="8">
        <v>46013.0</v>
      </c>
    </row>
    <row r="117">
      <c r="A117" s="5">
        <v>46013.83993408565</v>
      </c>
      <c r="B117" s="1"/>
      <c r="C117" s="1"/>
      <c r="D117" s="1" t="s">
        <v>76</v>
      </c>
      <c r="E117" s="1" t="s">
        <v>77</v>
      </c>
      <c r="F117" s="1" t="s">
        <v>78</v>
      </c>
      <c r="G117" s="1" t="s">
        <v>79</v>
      </c>
      <c r="H117" s="1"/>
      <c r="I117" s="1"/>
      <c r="J117" s="15"/>
      <c r="K117" s="1" t="s">
        <v>80</v>
      </c>
      <c r="L117" s="8">
        <v>46013.0</v>
      </c>
    </row>
    <row r="118">
      <c r="A118" s="5">
        <v>46013.83993958333</v>
      </c>
      <c r="B118" s="1" t="s">
        <v>147</v>
      </c>
      <c r="C118" s="1" t="s">
        <v>81</v>
      </c>
      <c r="D118" s="1" t="s">
        <v>142</v>
      </c>
      <c r="E118" s="1" t="s">
        <v>131</v>
      </c>
      <c r="F118" s="1" t="s">
        <v>78</v>
      </c>
      <c r="G118" s="1" t="s">
        <v>132</v>
      </c>
      <c r="H118" s="1"/>
      <c r="I118" s="1"/>
      <c r="J118" s="15"/>
      <c r="K118" s="1"/>
      <c r="L118" s="8">
        <v>46013.0</v>
      </c>
    </row>
    <row r="119">
      <c r="A119" s="5">
        <v>46013.83994579861</v>
      </c>
      <c r="B119" s="1"/>
      <c r="C119" s="1" t="s">
        <v>76</v>
      </c>
      <c r="D119" s="1" t="s">
        <v>76</v>
      </c>
      <c r="E119" s="1" t="s">
        <v>88</v>
      </c>
      <c r="F119" s="1" t="s">
        <v>78</v>
      </c>
      <c r="G119" s="1" t="s">
        <v>78</v>
      </c>
      <c r="H119" s="1"/>
      <c r="I119" s="1"/>
      <c r="J119" s="15">
        <v>1377.0</v>
      </c>
      <c r="K119" s="1" t="s">
        <v>90</v>
      </c>
      <c r="L119" s="8">
        <v>46013.0</v>
      </c>
    </row>
    <row r="120">
      <c r="A120" s="5">
        <v>46013.86873460648</v>
      </c>
      <c r="B120" s="1"/>
      <c r="C120" s="1"/>
      <c r="D120" s="1" t="s">
        <v>76</v>
      </c>
      <c r="E120" s="1" t="s">
        <v>77</v>
      </c>
      <c r="F120" s="1" t="s">
        <v>78</v>
      </c>
      <c r="G120" s="1" t="s">
        <v>79</v>
      </c>
      <c r="H120" s="1"/>
      <c r="I120" s="1"/>
      <c r="J120" s="15"/>
      <c r="K120" s="1" t="s">
        <v>80</v>
      </c>
      <c r="L120" s="8">
        <v>46013.0</v>
      </c>
    </row>
    <row r="121">
      <c r="A121" s="5">
        <v>46013.868738668985</v>
      </c>
      <c r="B121" s="1" t="s">
        <v>45</v>
      </c>
      <c r="C121" s="1" t="s">
        <v>81</v>
      </c>
      <c r="D121" s="1" t="s">
        <v>99</v>
      </c>
      <c r="E121" s="1" t="s">
        <v>107</v>
      </c>
      <c r="F121" s="1" t="s">
        <v>108</v>
      </c>
      <c r="G121" s="1" t="s">
        <v>109</v>
      </c>
      <c r="H121" s="1" t="s">
        <v>110</v>
      </c>
      <c r="I121" s="1"/>
      <c r="J121" s="15"/>
      <c r="K121" s="1"/>
      <c r="L121" s="8">
        <v>46013.0</v>
      </c>
    </row>
    <row r="122">
      <c r="A122" s="5">
        <v>46013.86875013889</v>
      </c>
      <c r="B122" s="1"/>
      <c r="C122" s="1" t="s">
        <v>76</v>
      </c>
      <c r="D122" s="1" t="s">
        <v>76</v>
      </c>
      <c r="E122" s="1" t="s">
        <v>88</v>
      </c>
      <c r="F122" s="1" t="s">
        <v>104</v>
      </c>
      <c r="G122" s="1" t="s">
        <v>104</v>
      </c>
      <c r="H122" s="1"/>
      <c r="I122" s="1"/>
      <c r="J122" s="15">
        <v>974.0</v>
      </c>
      <c r="K122" s="1" t="s">
        <v>111</v>
      </c>
      <c r="L122" s="8">
        <v>46013.0</v>
      </c>
    </row>
    <row r="123">
      <c r="A123" s="5">
        <v>46013.868765949075</v>
      </c>
      <c r="B123" s="1"/>
      <c r="C123" s="1" t="s">
        <v>76</v>
      </c>
      <c r="D123" s="1" t="s">
        <v>76</v>
      </c>
      <c r="E123" s="1" t="s">
        <v>88</v>
      </c>
      <c r="F123" s="1" t="s">
        <v>78</v>
      </c>
      <c r="G123" s="1" t="s">
        <v>78</v>
      </c>
      <c r="H123" s="1"/>
      <c r="I123" s="1"/>
      <c r="J123" s="15">
        <v>2834.0</v>
      </c>
      <c r="K123" s="1" t="s">
        <v>90</v>
      </c>
      <c r="L123" s="8">
        <v>46013.0</v>
      </c>
    </row>
    <row r="124">
      <c r="A124" s="5">
        <v>46014.298993530094</v>
      </c>
      <c r="B124" s="1"/>
      <c r="C124" s="1"/>
      <c r="D124" s="1" t="s">
        <v>76</v>
      </c>
      <c r="E124" s="1" t="s">
        <v>77</v>
      </c>
      <c r="F124" s="1" t="s">
        <v>78</v>
      </c>
      <c r="G124" s="1" t="s">
        <v>79</v>
      </c>
      <c r="H124" s="1"/>
      <c r="I124" s="1"/>
      <c r="J124" s="15"/>
      <c r="K124" s="1" t="s">
        <v>80</v>
      </c>
      <c r="L124" s="8">
        <v>46014.0</v>
      </c>
    </row>
    <row r="125">
      <c r="A125" s="5">
        <v>46014.2990021875</v>
      </c>
      <c r="B125" s="1" t="s">
        <v>148</v>
      </c>
      <c r="C125" s="1" t="s">
        <v>81</v>
      </c>
      <c r="D125" s="1" t="s">
        <v>99</v>
      </c>
      <c r="E125" s="1" t="s">
        <v>100</v>
      </c>
      <c r="F125" s="1" t="s">
        <v>101</v>
      </c>
      <c r="G125" s="1" t="s">
        <v>102</v>
      </c>
      <c r="H125" s="1" t="s">
        <v>149</v>
      </c>
      <c r="I125" s="1"/>
      <c r="J125" s="15"/>
      <c r="K125" s="1"/>
      <c r="L125" s="8">
        <v>46014.0</v>
      </c>
    </row>
    <row r="126">
      <c r="A126" s="5">
        <v>46014.29901480324</v>
      </c>
      <c r="B126" s="1"/>
      <c r="C126" s="1" t="s">
        <v>76</v>
      </c>
      <c r="D126" s="1" t="s">
        <v>76</v>
      </c>
      <c r="E126" s="1" t="s">
        <v>88</v>
      </c>
      <c r="F126" s="1" t="s">
        <v>104</v>
      </c>
      <c r="G126" s="1" t="s">
        <v>104</v>
      </c>
      <c r="H126" s="1"/>
      <c r="I126" s="1"/>
      <c r="J126" s="15">
        <v>1089.0</v>
      </c>
      <c r="K126" s="1" t="s">
        <v>150</v>
      </c>
      <c r="L126" s="8">
        <v>46014.0</v>
      </c>
    </row>
    <row r="127">
      <c r="A127" s="5">
        <v>46014.29902038194</v>
      </c>
      <c r="B127" s="1"/>
      <c r="C127" s="1" t="s">
        <v>76</v>
      </c>
      <c r="D127" s="1" t="s">
        <v>76</v>
      </c>
      <c r="E127" s="1" t="s">
        <v>88</v>
      </c>
      <c r="F127" s="1" t="s">
        <v>78</v>
      </c>
      <c r="G127" s="1" t="s">
        <v>78</v>
      </c>
      <c r="H127" s="1"/>
      <c r="I127" s="1"/>
      <c r="J127" s="15">
        <v>2903.0</v>
      </c>
      <c r="K127" s="1" t="s">
        <v>90</v>
      </c>
      <c r="L127" s="8">
        <v>46014.0</v>
      </c>
    </row>
    <row r="128">
      <c r="A128" s="5">
        <v>46015.300401307875</v>
      </c>
      <c r="B128" s="1"/>
      <c r="C128" s="1"/>
      <c r="D128" s="1" t="s">
        <v>76</v>
      </c>
      <c r="E128" s="1" t="s">
        <v>77</v>
      </c>
      <c r="F128" s="1" t="s">
        <v>78</v>
      </c>
      <c r="G128" s="1" t="s">
        <v>79</v>
      </c>
      <c r="H128" s="1"/>
      <c r="I128" s="1"/>
      <c r="J128" s="15"/>
      <c r="K128" s="1" t="s">
        <v>80</v>
      </c>
      <c r="L128" s="8">
        <v>46015.0</v>
      </c>
    </row>
    <row r="129">
      <c r="A129" s="5">
        <v>46015.30040703704</v>
      </c>
      <c r="B129" s="1" t="s">
        <v>148</v>
      </c>
      <c r="C129" s="1" t="s">
        <v>81</v>
      </c>
      <c r="D129" s="1" t="s">
        <v>99</v>
      </c>
      <c r="E129" s="1" t="s">
        <v>100</v>
      </c>
      <c r="F129" s="1" t="s">
        <v>101</v>
      </c>
      <c r="G129" s="1" t="s">
        <v>102</v>
      </c>
      <c r="H129" s="1" t="s">
        <v>149</v>
      </c>
      <c r="I129" s="1"/>
      <c r="J129" s="15"/>
      <c r="K129" s="1"/>
      <c r="L129" s="8">
        <v>46015.0</v>
      </c>
    </row>
    <row r="130">
      <c r="A130" s="5">
        <v>46015.300425127316</v>
      </c>
      <c r="B130" s="1"/>
      <c r="C130" s="1" t="s">
        <v>76</v>
      </c>
      <c r="D130" s="1" t="s">
        <v>76</v>
      </c>
      <c r="E130" s="1" t="s">
        <v>88</v>
      </c>
      <c r="F130" s="1" t="s">
        <v>104</v>
      </c>
      <c r="G130" s="1" t="s">
        <v>104</v>
      </c>
      <c r="H130" s="1"/>
      <c r="I130" s="1"/>
      <c r="J130" s="15">
        <v>992.0</v>
      </c>
      <c r="K130" s="1" t="s">
        <v>150</v>
      </c>
      <c r="L130" s="8">
        <v>46015.0</v>
      </c>
    </row>
    <row r="131">
      <c r="A131" s="5">
        <v>46015.300435972225</v>
      </c>
      <c r="B131" s="1"/>
      <c r="C131" s="1" t="s">
        <v>76</v>
      </c>
      <c r="D131" s="1" t="s">
        <v>76</v>
      </c>
      <c r="E131" s="1" t="s">
        <v>88</v>
      </c>
      <c r="F131" s="1" t="s">
        <v>78</v>
      </c>
      <c r="G131" s="1" t="s">
        <v>78</v>
      </c>
      <c r="H131" s="1"/>
      <c r="I131" s="1"/>
      <c r="J131" s="15">
        <v>3441.0</v>
      </c>
      <c r="K131" s="1" t="s">
        <v>90</v>
      </c>
      <c r="L131" s="8">
        <v>46015.0</v>
      </c>
    </row>
    <row r="132">
      <c r="A132" s="5">
        <v>46015.40750223379</v>
      </c>
      <c r="B132" s="1"/>
      <c r="C132" s="1"/>
      <c r="D132" s="1" t="s">
        <v>76</v>
      </c>
      <c r="E132" s="1" t="s">
        <v>77</v>
      </c>
      <c r="F132" s="1" t="s">
        <v>78</v>
      </c>
      <c r="G132" s="1" t="s">
        <v>79</v>
      </c>
      <c r="H132" s="1"/>
      <c r="I132" s="1"/>
      <c r="J132" s="15"/>
      <c r="K132" s="1" t="s">
        <v>80</v>
      </c>
      <c r="L132" s="8">
        <v>46015.0</v>
      </c>
    </row>
    <row r="133">
      <c r="A133" s="5">
        <v>46015.40750598379</v>
      </c>
      <c r="B133" s="1" t="s">
        <v>45</v>
      </c>
      <c r="C133" s="1" t="s">
        <v>81</v>
      </c>
      <c r="D133" s="1" t="s">
        <v>82</v>
      </c>
      <c r="E133" s="1" t="s">
        <v>112</v>
      </c>
      <c r="F133" s="1" t="s">
        <v>84</v>
      </c>
      <c r="G133" s="1" t="s">
        <v>85</v>
      </c>
      <c r="H133" s="1"/>
      <c r="I133" s="1" t="s">
        <v>151</v>
      </c>
      <c r="J133" s="15"/>
      <c r="K133" s="1" t="s">
        <v>152</v>
      </c>
      <c r="L133" s="8">
        <v>46015.0</v>
      </c>
    </row>
    <row r="134">
      <c r="A134" s="5">
        <v>46015.40751791667</v>
      </c>
      <c r="B134" s="1" t="s">
        <v>45</v>
      </c>
      <c r="C134" s="1" t="s">
        <v>81</v>
      </c>
      <c r="D134" s="1" t="s">
        <v>82</v>
      </c>
      <c r="E134" s="1" t="s">
        <v>112</v>
      </c>
      <c r="F134" s="1" t="s">
        <v>108</v>
      </c>
      <c r="G134" s="1" t="s">
        <v>153</v>
      </c>
      <c r="H134" s="1"/>
      <c r="I134" s="1" t="s">
        <v>151</v>
      </c>
      <c r="J134" s="15"/>
      <c r="K134" s="1" t="s">
        <v>152</v>
      </c>
      <c r="L134" s="8">
        <v>46015.0</v>
      </c>
    </row>
    <row r="135">
      <c r="A135" s="5">
        <v>46015.4075300463</v>
      </c>
      <c r="B135" s="1"/>
      <c r="C135" s="1" t="s">
        <v>76</v>
      </c>
      <c r="D135" s="1" t="s">
        <v>76</v>
      </c>
      <c r="E135" s="1" t="s">
        <v>88</v>
      </c>
      <c r="F135" s="1" t="s">
        <v>89</v>
      </c>
      <c r="G135" s="1" t="s">
        <v>89</v>
      </c>
      <c r="H135" s="1"/>
      <c r="I135" s="1"/>
      <c r="J135" s="15">
        <v>2087.0</v>
      </c>
      <c r="K135" s="1" t="s">
        <v>116</v>
      </c>
      <c r="L135" s="8">
        <v>46015.0</v>
      </c>
    </row>
    <row r="136">
      <c r="A136" s="5">
        <v>46015.40753300926</v>
      </c>
      <c r="B136" s="1"/>
      <c r="C136" s="1" t="s">
        <v>76</v>
      </c>
      <c r="D136" s="1" t="s">
        <v>76</v>
      </c>
      <c r="E136" s="1" t="s">
        <v>88</v>
      </c>
      <c r="F136" s="1" t="s">
        <v>78</v>
      </c>
      <c r="G136" s="1" t="s">
        <v>78</v>
      </c>
      <c r="H136" s="1"/>
      <c r="I136" s="1"/>
      <c r="J136" s="15">
        <v>2787.0</v>
      </c>
      <c r="K136" s="1" t="s">
        <v>90</v>
      </c>
      <c r="L136" s="8">
        <v>46015.0</v>
      </c>
    </row>
    <row r="137">
      <c r="A137" s="5">
        <v>46015.40756457176</v>
      </c>
      <c r="B137" s="1"/>
      <c r="C137" s="1"/>
      <c r="D137" s="1" t="s">
        <v>76</v>
      </c>
      <c r="E137" s="1" t="s">
        <v>77</v>
      </c>
      <c r="F137" s="1" t="s">
        <v>78</v>
      </c>
      <c r="G137" s="1" t="s">
        <v>79</v>
      </c>
      <c r="H137" s="1"/>
      <c r="I137" s="1"/>
      <c r="J137" s="15"/>
      <c r="K137" s="1" t="s">
        <v>80</v>
      </c>
      <c r="L137" s="8">
        <v>46015.0</v>
      </c>
    </row>
    <row r="138">
      <c r="A138" s="5">
        <v>46015.40756866898</v>
      </c>
      <c r="B138" s="1" t="s">
        <v>45</v>
      </c>
      <c r="C138" s="1" t="s">
        <v>81</v>
      </c>
      <c r="D138" s="1" t="s">
        <v>82</v>
      </c>
      <c r="E138" s="1" t="s">
        <v>154</v>
      </c>
      <c r="F138" s="1" t="s">
        <v>84</v>
      </c>
      <c r="G138" s="1" t="s">
        <v>85</v>
      </c>
      <c r="H138" s="1"/>
      <c r="I138" s="1" t="s">
        <v>155</v>
      </c>
      <c r="J138" s="15"/>
      <c r="K138" s="1" t="s">
        <v>156</v>
      </c>
      <c r="L138" s="8">
        <v>46015.0</v>
      </c>
    </row>
    <row r="139">
      <c r="A139" s="5">
        <v>46015.40757251157</v>
      </c>
      <c r="B139" s="1" t="s">
        <v>45</v>
      </c>
      <c r="C139" s="1" t="s">
        <v>81</v>
      </c>
      <c r="D139" s="1" t="s">
        <v>82</v>
      </c>
      <c r="E139" s="1" t="s">
        <v>157</v>
      </c>
      <c r="F139" s="1" t="s">
        <v>158</v>
      </c>
      <c r="G139" s="1" t="s">
        <v>159</v>
      </c>
      <c r="H139" s="1"/>
      <c r="I139" s="1" t="s">
        <v>155</v>
      </c>
      <c r="J139" s="15"/>
      <c r="K139" s="1" t="s">
        <v>160</v>
      </c>
      <c r="L139" s="8">
        <v>46015.0</v>
      </c>
    </row>
    <row r="140">
      <c r="A140" s="5">
        <v>46015.40761407407</v>
      </c>
      <c r="B140" s="1"/>
      <c r="C140" s="1" t="s">
        <v>76</v>
      </c>
      <c r="D140" s="1" t="s">
        <v>76</v>
      </c>
      <c r="E140" s="1" t="s">
        <v>88</v>
      </c>
      <c r="F140" s="1" t="s">
        <v>161</v>
      </c>
      <c r="G140" s="1" t="s">
        <v>161</v>
      </c>
      <c r="H140" s="1"/>
      <c r="I140" s="1"/>
      <c r="J140" s="15">
        <v>3540.0</v>
      </c>
      <c r="K140" s="1" t="s">
        <v>162</v>
      </c>
      <c r="L140" s="8">
        <v>46015.0</v>
      </c>
    </row>
    <row r="141">
      <c r="A141" s="5">
        <v>46015.407617812496</v>
      </c>
      <c r="B141" s="1"/>
      <c r="C141" s="1" t="s">
        <v>76</v>
      </c>
      <c r="D141" s="1" t="s">
        <v>76</v>
      </c>
      <c r="E141" s="1" t="s">
        <v>88</v>
      </c>
      <c r="F141" s="1" t="s">
        <v>89</v>
      </c>
      <c r="G141" s="1" t="s">
        <v>89</v>
      </c>
      <c r="H141" s="1"/>
      <c r="I141" s="1"/>
      <c r="J141" s="15">
        <v>4274.0</v>
      </c>
      <c r="K141" s="1" t="s">
        <v>163</v>
      </c>
      <c r="L141" s="8">
        <v>46015.0</v>
      </c>
    </row>
    <row r="142">
      <c r="A142" s="5">
        <v>46015.40762174768</v>
      </c>
      <c r="B142" s="1"/>
      <c r="C142" s="1" t="s">
        <v>76</v>
      </c>
      <c r="D142" s="1" t="s">
        <v>76</v>
      </c>
      <c r="E142" s="1" t="s">
        <v>88</v>
      </c>
      <c r="F142" s="1" t="s">
        <v>78</v>
      </c>
      <c r="G142" s="1" t="s">
        <v>78</v>
      </c>
      <c r="H142" s="1"/>
      <c r="I142" s="1"/>
      <c r="J142" s="15">
        <v>5001.0</v>
      </c>
      <c r="K142" s="1" t="s">
        <v>90</v>
      </c>
      <c r="L142" s="8">
        <v>46015.0</v>
      </c>
    </row>
    <row r="143">
      <c r="A143" s="5">
        <v>46015.40770109954</v>
      </c>
      <c r="B143" s="1"/>
      <c r="C143" s="1"/>
      <c r="D143" s="1" t="s">
        <v>76</v>
      </c>
      <c r="E143" s="1" t="s">
        <v>77</v>
      </c>
      <c r="F143" s="1" t="s">
        <v>78</v>
      </c>
      <c r="G143" s="1" t="s">
        <v>79</v>
      </c>
      <c r="H143" s="1"/>
      <c r="I143" s="1"/>
      <c r="J143" s="15"/>
      <c r="K143" s="1" t="s">
        <v>80</v>
      </c>
      <c r="L143" s="8">
        <v>46015.0</v>
      </c>
    </row>
    <row r="144">
      <c r="A144" s="5">
        <v>46015.40770496528</v>
      </c>
      <c r="B144" s="1" t="s">
        <v>45</v>
      </c>
      <c r="C144" s="1" t="s">
        <v>81</v>
      </c>
      <c r="D144" s="1" t="s">
        <v>82</v>
      </c>
      <c r="E144" s="1" t="s">
        <v>164</v>
      </c>
      <c r="F144" s="1" t="s">
        <v>84</v>
      </c>
      <c r="G144" s="1" t="s">
        <v>85</v>
      </c>
      <c r="H144" s="1"/>
      <c r="I144" s="1" t="s">
        <v>165</v>
      </c>
      <c r="J144" s="15"/>
      <c r="K144" s="1" t="s">
        <v>166</v>
      </c>
      <c r="L144" s="8">
        <v>46015.0</v>
      </c>
    </row>
    <row r="145">
      <c r="A145" s="5">
        <v>46015.40770826389</v>
      </c>
      <c r="B145" s="1" t="s">
        <v>45</v>
      </c>
      <c r="C145" s="1" t="s">
        <v>81</v>
      </c>
      <c r="D145" s="1" t="s">
        <v>82</v>
      </c>
      <c r="E145" s="1" t="s">
        <v>167</v>
      </c>
      <c r="F145" s="1" t="s">
        <v>158</v>
      </c>
      <c r="G145" s="1" t="s">
        <v>168</v>
      </c>
      <c r="H145" s="1"/>
      <c r="I145" s="1" t="s">
        <v>165</v>
      </c>
      <c r="J145" s="15"/>
      <c r="K145" s="1" t="s">
        <v>58</v>
      </c>
      <c r="L145" s="8">
        <v>46015.0</v>
      </c>
    </row>
    <row r="146">
      <c r="A146" s="5">
        <v>46015.40773756945</v>
      </c>
      <c r="B146" s="1"/>
      <c r="C146" s="1" t="s">
        <v>76</v>
      </c>
      <c r="D146" s="1" t="s">
        <v>76</v>
      </c>
      <c r="E146" s="1" t="s">
        <v>88</v>
      </c>
      <c r="F146" s="1" t="s">
        <v>169</v>
      </c>
      <c r="G146" s="1" t="s">
        <v>169</v>
      </c>
      <c r="H146" s="1"/>
      <c r="I146" s="1"/>
      <c r="J146" s="15">
        <v>2529.0</v>
      </c>
      <c r="K146" s="1" t="s">
        <v>170</v>
      </c>
      <c r="L146" s="8">
        <v>46015.0</v>
      </c>
    </row>
    <row r="147">
      <c r="A147" s="5">
        <v>46015.407741041665</v>
      </c>
      <c r="B147" s="1"/>
      <c r="C147" s="1" t="s">
        <v>76</v>
      </c>
      <c r="D147" s="1" t="s">
        <v>76</v>
      </c>
      <c r="E147" s="1" t="s">
        <v>88</v>
      </c>
      <c r="F147" s="1" t="s">
        <v>89</v>
      </c>
      <c r="G147" s="1" t="s">
        <v>89</v>
      </c>
      <c r="H147" s="1"/>
      <c r="I147" s="1"/>
      <c r="J147" s="15">
        <v>3107.0</v>
      </c>
      <c r="K147" s="1" t="s">
        <v>171</v>
      </c>
      <c r="L147" s="8">
        <v>46015.0</v>
      </c>
    </row>
    <row r="148">
      <c r="A148" s="5">
        <v>46015.40774454861</v>
      </c>
      <c r="B148" s="1"/>
      <c r="C148" s="1" t="s">
        <v>76</v>
      </c>
      <c r="D148" s="1" t="s">
        <v>76</v>
      </c>
      <c r="E148" s="1" t="s">
        <v>88</v>
      </c>
      <c r="F148" s="1" t="s">
        <v>78</v>
      </c>
      <c r="G148" s="1" t="s">
        <v>78</v>
      </c>
      <c r="H148" s="1"/>
      <c r="I148" s="1"/>
      <c r="J148" s="15">
        <v>3813.0</v>
      </c>
      <c r="K148" s="1" t="s">
        <v>90</v>
      </c>
      <c r="L148" s="8">
        <v>46015.0</v>
      </c>
    </row>
    <row r="149">
      <c r="A149" s="5">
        <v>46015.40778542824</v>
      </c>
      <c r="B149" s="1"/>
      <c r="C149" s="1"/>
      <c r="D149" s="1" t="s">
        <v>76</v>
      </c>
      <c r="E149" s="1" t="s">
        <v>77</v>
      </c>
      <c r="F149" s="1" t="s">
        <v>78</v>
      </c>
      <c r="G149" s="1" t="s">
        <v>79</v>
      </c>
      <c r="H149" s="1"/>
      <c r="I149" s="1"/>
      <c r="J149" s="15"/>
      <c r="K149" s="1" t="s">
        <v>80</v>
      </c>
      <c r="L149" s="8">
        <v>46015.0</v>
      </c>
    </row>
    <row r="150">
      <c r="A150" s="5">
        <v>46015.40778846065</v>
      </c>
      <c r="B150" s="1" t="s">
        <v>45</v>
      </c>
      <c r="C150" s="1" t="s">
        <v>81</v>
      </c>
      <c r="D150" s="1" t="s">
        <v>82</v>
      </c>
      <c r="E150" s="1" t="s">
        <v>172</v>
      </c>
      <c r="F150" s="1" t="s">
        <v>84</v>
      </c>
      <c r="G150" s="1" t="s">
        <v>85</v>
      </c>
      <c r="H150" s="1"/>
      <c r="I150" s="1" t="s">
        <v>173</v>
      </c>
      <c r="J150" s="15"/>
      <c r="K150" s="1" t="s">
        <v>174</v>
      </c>
      <c r="L150" s="8">
        <v>46015.0</v>
      </c>
    </row>
    <row r="151">
      <c r="A151" s="5">
        <v>46015.40779226852</v>
      </c>
      <c r="B151" s="1" t="s">
        <v>45</v>
      </c>
      <c r="C151" s="1" t="s">
        <v>81</v>
      </c>
      <c r="D151" s="1" t="s">
        <v>82</v>
      </c>
      <c r="E151" s="1" t="s">
        <v>175</v>
      </c>
      <c r="F151" s="1" t="s">
        <v>158</v>
      </c>
      <c r="G151" s="1" t="s">
        <v>176</v>
      </c>
      <c r="H151" s="1"/>
      <c r="I151" s="1" t="s">
        <v>173</v>
      </c>
      <c r="J151" s="15"/>
      <c r="K151" s="1" t="s">
        <v>177</v>
      </c>
      <c r="L151" s="8">
        <v>46015.0</v>
      </c>
    </row>
    <row r="152">
      <c r="A152" s="5">
        <v>46015.40781752315</v>
      </c>
      <c r="B152" s="1"/>
      <c r="C152" s="1" t="s">
        <v>76</v>
      </c>
      <c r="D152" s="1" t="s">
        <v>76</v>
      </c>
      <c r="E152" s="1" t="s">
        <v>88</v>
      </c>
      <c r="F152" s="1" t="s">
        <v>178</v>
      </c>
      <c r="G152" s="1" t="s">
        <v>178</v>
      </c>
      <c r="H152" s="1"/>
      <c r="I152" s="1"/>
      <c r="J152" s="15">
        <v>2268.0</v>
      </c>
      <c r="K152" s="1" t="s">
        <v>179</v>
      </c>
      <c r="L152" s="8">
        <v>46015.0</v>
      </c>
    </row>
    <row r="153">
      <c r="A153" s="5">
        <v>46015.40782050926</v>
      </c>
      <c r="B153" s="1"/>
      <c r="C153" s="1" t="s">
        <v>76</v>
      </c>
      <c r="D153" s="1" t="s">
        <v>76</v>
      </c>
      <c r="E153" s="1" t="s">
        <v>88</v>
      </c>
      <c r="F153" s="1" t="s">
        <v>89</v>
      </c>
      <c r="G153" s="1" t="s">
        <v>89</v>
      </c>
      <c r="H153" s="1"/>
      <c r="I153" s="1"/>
      <c r="J153" s="15">
        <v>2777.0</v>
      </c>
      <c r="K153" s="1" t="s">
        <v>180</v>
      </c>
      <c r="L153" s="8">
        <v>46015.0</v>
      </c>
    </row>
    <row r="154">
      <c r="A154" s="5">
        <v>46015.40782385417</v>
      </c>
      <c r="B154" s="1"/>
      <c r="C154" s="1" t="s">
        <v>76</v>
      </c>
      <c r="D154" s="1" t="s">
        <v>76</v>
      </c>
      <c r="E154" s="1" t="s">
        <v>88</v>
      </c>
      <c r="F154" s="1" t="s">
        <v>78</v>
      </c>
      <c r="G154" s="1" t="s">
        <v>78</v>
      </c>
      <c r="H154" s="1"/>
      <c r="I154" s="1"/>
      <c r="J154" s="15">
        <v>3372.0</v>
      </c>
      <c r="K154" s="1" t="s">
        <v>90</v>
      </c>
      <c r="L154" s="8">
        <v>46015.0</v>
      </c>
    </row>
    <row r="155">
      <c r="A155" s="5">
        <v>46015.4078812963</v>
      </c>
      <c r="B155" s="1"/>
      <c r="C155" s="1"/>
      <c r="D155" s="1" t="s">
        <v>76</v>
      </c>
      <c r="E155" s="1" t="s">
        <v>77</v>
      </c>
      <c r="F155" s="1" t="s">
        <v>78</v>
      </c>
      <c r="G155" s="1" t="s">
        <v>79</v>
      </c>
      <c r="H155" s="1"/>
      <c r="I155" s="1"/>
      <c r="J155" s="15"/>
      <c r="K155" s="1" t="s">
        <v>80</v>
      </c>
      <c r="L155" s="8">
        <v>46015.0</v>
      </c>
    </row>
    <row r="156">
      <c r="A156" s="5">
        <v>46015.40788442129</v>
      </c>
      <c r="B156" s="1" t="s">
        <v>45</v>
      </c>
      <c r="C156" s="1" t="s">
        <v>81</v>
      </c>
      <c r="D156" s="1" t="s">
        <v>82</v>
      </c>
      <c r="E156" s="1" t="s">
        <v>181</v>
      </c>
      <c r="F156" s="1" t="s">
        <v>84</v>
      </c>
      <c r="G156" s="1" t="s">
        <v>85</v>
      </c>
      <c r="H156" s="1"/>
      <c r="I156" s="1" t="s">
        <v>182</v>
      </c>
      <c r="J156" s="15"/>
      <c r="K156" s="1" t="s">
        <v>183</v>
      </c>
      <c r="L156" s="8">
        <v>46015.0</v>
      </c>
    </row>
    <row r="157">
      <c r="A157" s="5">
        <v>46015.407887615744</v>
      </c>
      <c r="B157" s="1" t="s">
        <v>45</v>
      </c>
      <c r="C157" s="1" t="s">
        <v>81</v>
      </c>
      <c r="D157" s="1" t="s">
        <v>82</v>
      </c>
      <c r="E157" s="1" t="s">
        <v>184</v>
      </c>
      <c r="F157" s="1" t="s">
        <v>158</v>
      </c>
      <c r="G157" s="1" t="s">
        <v>185</v>
      </c>
      <c r="H157" s="1"/>
      <c r="I157" s="1" t="s">
        <v>182</v>
      </c>
      <c r="J157" s="15"/>
      <c r="K157" s="1" t="s">
        <v>59</v>
      </c>
      <c r="L157" s="8">
        <v>46015.0</v>
      </c>
    </row>
    <row r="158">
      <c r="A158" s="5">
        <v>46015.40792440972</v>
      </c>
      <c r="B158" s="1" t="s">
        <v>45</v>
      </c>
      <c r="C158" s="1" t="s">
        <v>81</v>
      </c>
      <c r="D158" s="1" t="s">
        <v>76</v>
      </c>
      <c r="E158" s="1" t="s">
        <v>186</v>
      </c>
      <c r="F158" s="1" t="s">
        <v>158</v>
      </c>
      <c r="G158" s="1" t="s">
        <v>187</v>
      </c>
      <c r="H158" s="1"/>
      <c r="I158" s="1"/>
      <c r="J158" s="15"/>
      <c r="K158" s="1" t="s">
        <v>188</v>
      </c>
      <c r="L158" s="8">
        <v>46015.0</v>
      </c>
    </row>
    <row r="159">
      <c r="A159" s="5">
        <v>46015.40793122685</v>
      </c>
      <c r="B159" s="1"/>
      <c r="C159" s="1" t="s">
        <v>76</v>
      </c>
      <c r="D159" s="1" t="s">
        <v>76</v>
      </c>
      <c r="E159" s="1" t="s">
        <v>88</v>
      </c>
      <c r="F159" s="1" t="s">
        <v>189</v>
      </c>
      <c r="G159" s="1" t="s">
        <v>189</v>
      </c>
      <c r="H159" s="1"/>
      <c r="I159" s="1"/>
      <c r="J159" s="15">
        <v>3764.0</v>
      </c>
      <c r="K159" s="1" t="s">
        <v>190</v>
      </c>
      <c r="L159" s="8">
        <v>46015.0</v>
      </c>
    </row>
    <row r="160">
      <c r="A160" s="5">
        <v>46015.407934965275</v>
      </c>
      <c r="B160" s="1"/>
      <c r="C160" s="1" t="s">
        <v>76</v>
      </c>
      <c r="D160" s="1" t="s">
        <v>76</v>
      </c>
      <c r="E160" s="1" t="s">
        <v>88</v>
      </c>
      <c r="F160" s="1" t="s">
        <v>89</v>
      </c>
      <c r="G160" s="1" t="s">
        <v>89</v>
      </c>
      <c r="H160" s="1"/>
      <c r="I160" s="1"/>
      <c r="J160" s="15">
        <v>4333.0</v>
      </c>
      <c r="K160" s="1" t="s">
        <v>191</v>
      </c>
      <c r="L160" s="8">
        <v>46015.0</v>
      </c>
    </row>
    <row r="161">
      <c r="A161" s="5">
        <v>46015.40794664352</v>
      </c>
      <c r="B161" s="1"/>
      <c r="C161" s="1" t="s">
        <v>76</v>
      </c>
      <c r="D161" s="1" t="s">
        <v>76</v>
      </c>
      <c r="E161" s="1" t="s">
        <v>88</v>
      </c>
      <c r="F161" s="1" t="s">
        <v>78</v>
      </c>
      <c r="G161" s="1" t="s">
        <v>78</v>
      </c>
      <c r="H161" s="1"/>
      <c r="I161" s="1"/>
      <c r="J161" s="15">
        <v>5252.0</v>
      </c>
      <c r="K161" s="1" t="s">
        <v>90</v>
      </c>
      <c r="L161" s="8">
        <v>46015.0</v>
      </c>
    </row>
    <row r="162">
      <c r="A162" s="5">
        <v>46015.408973171296</v>
      </c>
      <c r="B162" s="1"/>
      <c r="C162" s="1"/>
      <c r="D162" s="1" t="s">
        <v>76</v>
      </c>
      <c r="E162" s="1" t="s">
        <v>77</v>
      </c>
      <c r="F162" s="1" t="s">
        <v>78</v>
      </c>
      <c r="G162" s="1" t="s">
        <v>79</v>
      </c>
      <c r="H162" s="1"/>
      <c r="I162" s="1"/>
      <c r="J162" s="15"/>
      <c r="K162" s="1" t="s">
        <v>80</v>
      </c>
      <c r="L162" s="8">
        <v>46015.0</v>
      </c>
    </row>
    <row r="163">
      <c r="A163" s="5">
        <v>46015.408977812505</v>
      </c>
      <c r="B163" s="1" t="s">
        <v>45</v>
      </c>
      <c r="C163" s="1" t="s">
        <v>81</v>
      </c>
      <c r="D163" s="1" t="s">
        <v>99</v>
      </c>
      <c r="E163" s="1" t="s">
        <v>192</v>
      </c>
      <c r="F163" s="1" t="s">
        <v>158</v>
      </c>
      <c r="G163" s="1" t="s">
        <v>193</v>
      </c>
      <c r="H163" s="1" t="s">
        <v>194</v>
      </c>
      <c r="I163" s="1"/>
      <c r="J163" s="15"/>
      <c r="K163" s="1"/>
      <c r="L163" s="8">
        <v>46015.0</v>
      </c>
    </row>
    <row r="164">
      <c r="A164" s="5">
        <v>46015.40899780093</v>
      </c>
      <c r="B164" s="1"/>
      <c r="C164" s="1" t="s">
        <v>76</v>
      </c>
      <c r="D164" s="1" t="s">
        <v>76</v>
      </c>
      <c r="E164" s="1" t="s">
        <v>88</v>
      </c>
      <c r="F164" s="1" t="s">
        <v>104</v>
      </c>
      <c r="G164" s="1" t="s">
        <v>104</v>
      </c>
      <c r="H164" s="1"/>
      <c r="I164" s="1"/>
      <c r="J164" s="15">
        <v>1708.0</v>
      </c>
      <c r="K164" s="1" t="s">
        <v>195</v>
      </c>
      <c r="L164" s="8">
        <v>46015.0</v>
      </c>
    </row>
    <row r="165">
      <c r="A165" s="5">
        <v>46015.40900204861</v>
      </c>
      <c r="B165" s="1"/>
      <c r="C165" s="1" t="s">
        <v>76</v>
      </c>
      <c r="D165" s="1" t="s">
        <v>76</v>
      </c>
      <c r="E165" s="1" t="s">
        <v>88</v>
      </c>
      <c r="F165" s="1" t="s">
        <v>78</v>
      </c>
      <c r="G165" s="1" t="s">
        <v>78</v>
      </c>
      <c r="H165" s="1"/>
      <c r="I165" s="1"/>
      <c r="J165" s="15">
        <v>2605.0</v>
      </c>
      <c r="K165" s="1" t="s">
        <v>90</v>
      </c>
      <c r="L165" s="8">
        <v>46015.0</v>
      </c>
    </row>
    <row r="166">
      <c r="A166" s="5">
        <v>46015.419601574074</v>
      </c>
      <c r="B166" s="1"/>
      <c r="C166" s="1"/>
      <c r="D166" s="1" t="s">
        <v>76</v>
      </c>
      <c r="E166" s="1" t="s">
        <v>77</v>
      </c>
      <c r="F166" s="1" t="s">
        <v>78</v>
      </c>
      <c r="G166" s="1" t="s">
        <v>79</v>
      </c>
      <c r="H166" s="1"/>
      <c r="I166" s="1"/>
      <c r="J166" s="15"/>
      <c r="K166" s="1" t="s">
        <v>80</v>
      </c>
      <c r="L166" s="8">
        <v>46015.0</v>
      </c>
    </row>
    <row r="167">
      <c r="A167" s="5">
        <v>46015.41960570602</v>
      </c>
      <c r="B167" s="1" t="s">
        <v>45</v>
      </c>
      <c r="C167" s="1" t="s">
        <v>81</v>
      </c>
      <c r="D167" s="1" t="s">
        <v>82</v>
      </c>
      <c r="E167" s="1" t="s">
        <v>164</v>
      </c>
      <c r="F167" s="1" t="s">
        <v>84</v>
      </c>
      <c r="G167" s="1" t="s">
        <v>85</v>
      </c>
      <c r="H167" s="1"/>
      <c r="I167" s="1" t="s">
        <v>196</v>
      </c>
      <c r="J167" s="15"/>
      <c r="K167" s="1" t="s">
        <v>197</v>
      </c>
      <c r="L167" s="8">
        <v>46015.0</v>
      </c>
    </row>
    <row r="168">
      <c r="A168" s="5">
        <v>46015.41960958333</v>
      </c>
      <c r="B168" s="1" t="s">
        <v>45</v>
      </c>
      <c r="C168" s="1" t="s">
        <v>81</v>
      </c>
      <c r="D168" s="1" t="s">
        <v>82</v>
      </c>
      <c r="E168" s="1" t="s">
        <v>167</v>
      </c>
      <c r="F168" s="1" t="s">
        <v>158</v>
      </c>
      <c r="G168" s="1" t="s">
        <v>168</v>
      </c>
      <c r="H168" s="1"/>
      <c r="I168" s="1" t="s">
        <v>196</v>
      </c>
      <c r="J168" s="15"/>
      <c r="K168" s="1" t="s">
        <v>60</v>
      </c>
      <c r="L168" s="8">
        <v>46015.0</v>
      </c>
    </row>
    <row r="169">
      <c r="A169" s="5">
        <v>46015.41964847222</v>
      </c>
      <c r="B169" s="1"/>
      <c r="C169" s="1" t="s">
        <v>76</v>
      </c>
      <c r="D169" s="1" t="s">
        <v>76</v>
      </c>
      <c r="E169" s="1" t="s">
        <v>88</v>
      </c>
      <c r="F169" s="1" t="s">
        <v>169</v>
      </c>
      <c r="G169" s="1" t="s">
        <v>169</v>
      </c>
      <c r="H169" s="1"/>
      <c r="I169" s="1"/>
      <c r="J169" s="15">
        <v>3358.0</v>
      </c>
      <c r="K169" s="1" t="s">
        <v>198</v>
      </c>
      <c r="L169" s="8">
        <v>46015.0</v>
      </c>
    </row>
    <row r="170">
      <c r="A170" s="5">
        <v>46015.41965207176</v>
      </c>
      <c r="B170" s="1"/>
      <c r="C170" s="1" t="s">
        <v>76</v>
      </c>
      <c r="D170" s="1" t="s">
        <v>76</v>
      </c>
      <c r="E170" s="1" t="s">
        <v>88</v>
      </c>
      <c r="F170" s="1" t="s">
        <v>89</v>
      </c>
      <c r="G170" s="1" t="s">
        <v>89</v>
      </c>
      <c r="H170" s="1"/>
      <c r="I170" s="1"/>
      <c r="J170" s="15">
        <v>4051.0</v>
      </c>
      <c r="K170" s="1" t="s">
        <v>171</v>
      </c>
      <c r="L170" s="8">
        <v>46015.0</v>
      </c>
    </row>
    <row r="171">
      <c r="A171" s="5">
        <v>46015.41965601852</v>
      </c>
      <c r="B171" s="1"/>
      <c r="C171" s="1" t="s">
        <v>76</v>
      </c>
      <c r="D171" s="1" t="s">
        <v>76</v>
      </c>
      <c r="E171" s="1" t="s">
        <v>88</v>
      </c>
      <c r="F171" s="1" t="s">
        <v>78</v>
      </c>
      <c r="G171" s="1" t="s">
        <v>78</v>
      </c>
      <c r="H171" s="1"/>
      <c r="I171" s="1"/>
      <c r="J171" s="15">
        <v>4867.0</v>
      </c>
      <c r="K171" s="1" t="s">
        <v>90</v>
      </c>
      <c r="L171" s="8">
        <v>46015.0</v>
      </c>
    </row>
    <row r="172">
      <c r="A172" s="5">
        <v>46015.419693958334</v>
      </c>
      <c r="B172" s="1"/>
      <c r="C172" s="1"/>
      <c r="D172" s="1" t="s">
        <v>76</v>
      </c>
      <c r="E172" s="1" t="s">
        <v>77</v>
      </c>
      <c r="F172" s="1" t="s">
        <v>78</v>
      </c>
      <c r="G172" s="1" t="s">
        <v>79</v>
      </c>
      <c r="H172" s="1"/>
      <c r="I172" s="1"/>
      <c r="J172" s="15"/>
      <c r="K172" s="1" t="s">
        <v>80</v>
      </c>
      <c r="L172" s="8">
        <v>46015.0</v>
      </c>
    </row>
    <row r="173">
      <c r="A173" s="5">
        <v>46015.419697164354</v>
      </c>
      <c r="B173" s="1" t="s">
        <v>45</v>
      </c>
      <c r="C173" s="1" t="s">
        <v>81</v>
      </c>
      <c r="D173" s="1" t="s">
        <v>82</v>
      </c>
      <c r="E173" s="1" t="s">
        <v>172</v>
      </c>
      <c r="F173" s="1" t="s">
        <v>84</v>
      </c>
      <c r="G173" s="1" t="s">
        <v>85</v>
      </c>
      <c r="H173" s="1"/>
      <c r="I173" s="1" t="s">
        <v>173</v>
      </c>
      <c r="J173" s="15"/>
      <c r="K173" s="1" t="s">
        <v>174</v>
      </c>
      <c r="L173" s="8">
        <v>46015.0</v>
      </c>
    </row>
    <row r="174">
      <c r="A174" s="5">
        <v>46015.41970076389</v>
      </c>
      <c r="B174" s="1" t="s">
        <v>45</v>
      </c>
      <c r="C174" s="1" t="s">
        <v>81</v>
      </c>
      <c r="D174" s="1" t="s">
        <v>82</v>
      </c>
      <c r="E174" s="1" t="s">
        <v>175</v>
      </c>
      <c r="F174" s="1" t="s">
        <v>158</v>
      </c>
      <c r="G174" s="1" t="s">
        <v>176</v>
      </c>
      <c r="H174" s="1"/>
      <c r="I174" s="1" t="s">
        <v>173</v>
      </c>
      <c r="J174" s="15"/>
      <c r="K174" s="1" t="s">
        <v>177</v>
      </c>
      <c r="L174" s="8">
        <v>46015.0</v>
      </c>
    </row>
    <row r="175">
      <c r="A175" s="5">
        <v>46015.41972957176</v>
      </c>
      <c r="B175" s="1"/>
      <c r="C175" s="1" t="s">
        <v>76</v>
      </c>
      <c r="D175" s="1" t="s">
        <v>76</v>
      </c>
      <c r="E175" s="1" t="s">
        <v>88</v>
      </c>
      <c r="F175" s="1" t="s">
        <v>178</v>
      </c>
      <c r="G175" s="1" t="s">
        <v>178</v>
      </c>
      <c r="H175" s="1"/>
      <c r="I175" s="1"/>
      <c r="J175" s="15">
        <v>2583.0</v>
      </c>
      <c r="K175" s="1" t="s">
        <v>179</v>
      </c>
      <c r="L175" s="8">
        <v>46015.0</v>
      </c>
    </row>
    <row r="176">
      <c r="A176" s="5">
        <v>46015.41973297454</v>
      </c>
      <c r="B176" s="1"/>
      <c r="C176" s="1" t="s">
        <v>76</v>
      </c>
      <c r="D176" s="1" t="s">
        <v>76</v>
      </c>
      <c r="E176" s="1" t="s">
        <v>88</v>
      </c>
      <c r="F176" s="1" t="s">
        <v>89</v>
      </c>
      <c r="G176" s="1" t="s">
        <v>89</v>
      </c>
      <c r="H176" s="1"/>
      <c r="I176" s="1"/>
      <c r="J176" s="15">
        <v>3066.0</v>
      </c>
      <c r="K176" s="1" t="s">
        <v>180</v>
      </c>
      <c r="L176" s="8">
        <v>46015.0</v>
      </c>
    </row>
    <row r="177">
      <c r="A177" s="5">
        <v>46015.4197365625</v>
      </c>
      <c r="B177" s="1"/>
      <c r="C177" s="1" t="s">
        <v>76</v>
      </c>
      <c r="D177" s="1" t="s">
        <v>76</v>
      </c>
      <c r="E177" s="1" t="s">
        <v>88</v>
      </c>
      <c r="F177" s="1" t="s">
        <v>78</v>
      </c>
      <c r="G177" s="1" t="s">
        <v>78</v>
      </c>
      <c r="H177" s="1"/>
      <c r="I177" s="1"/>
      <c r="J177" s="15">
        <v>3757.0</v>
      </c>
      <c r="K177" s="1" t="s">
        <v>90</v>
      </c>
      <c r="L177" s="8">
        <v>46015.0</v>
      </c>
    </row>
    <row r="178">
      <c r="A178" s="5">
        <v>46015.41978039352</v>
      </c>
      <c r="B178" s="1"/>
      <c r="C178" s="1"/>
      <c r="D178" s="1" t="s">
        <v>76</v>
      </c>
      <c r="E178" s="1" t="s">
        <v>77</v>
      </c>
      <c r="F178" s="1" t="s">
        <v>78</v>
      </c>
      <c r="G178" s="1" t="s">
        <v>79</v>
      </c>
      <c r="H178" s="1"/>
      <c r="I178" s="1"/>
      <c r="J178" s="15"/>
      <c r="K178" s="1" t="s">
        <v>80</v>
      </c>
      <c r="L178" s="8">
        <v>46015.0</v>
      </c>
    </row>
    <row r="179">
      <c r="A179" s="5">
        <v>46015.419783888894</v>
      </c>
      <c r="B179" s="1" t="s">
        <v>45</v>
      </c>
      <c r="C179" s="1" t="s">
        <v>81</v>
      </c>
      <c r="D179" s="1" t="s">
        <v>82</v>
      </c>
      <c r="E179" s="1" t="s">
        <v>181</v>
      </c>
      <c r="F179" s="1" t="s">
        <v>84</v>
      </c>
      <c r="G179" s="1" t="s">
        <v>85</v>
      </c>
      <c r="H179" s="1"/>
      <c r="I179" s="1" t="s">
        <v>199</v>
      </c>
      <c r="J179" s="15"/>
      <c r="K179" s="1" t="s">
        <v>200</v>
      </c>
      <c r="L179" s="8">
        <v>46015.0</v>
      </c>
    </row>
    <row r="180">
      <c r="A180" s="5">
        <v>46015.41979018519</v>
      </c>
      <c r="B180" s="1" t="s">
        <v>45</v>
      </c>
      <c r="C180" s="1" t="s">
        <v>81</v>
      </c>
      <c r="D180" s="1" t="s">
        <v>82</v>
      </c>
      <c r="E180" s="1" t="s">
        <v>184</v>
      </c>
      <c r="F180" s="1" t="s">
        <v>158</v>
      </c>
      <c r="G180" s="1" t="s">
        <v>185</v>
      </c>
      <c r="H180" s="1"/>
      <c r="I180" s="1" t="s">
        <v>199</v>
      </c>
      <c r="J180" s="15"/>
      <c r="K180" s="1" t="s">
        <v>61</v>
      </c>
      <c r="L180" s="8">
        <v>46015.0</v>
      </c>
    </row>
    <row r="181">
      <c r="A181" s="5">
        <v>46015.41983328704</v>
      </c>
      <c r="B181" s="1" t="s">
        <v>45</v>
      </c>
      <c r="C181" s="1" t="s">
        <v>81</v>
      </c>
      <c r="D181" s="1" t="s">
        <v>76</v>
      </c>
      <c r="E181" s="1" t="s">
        <v>201</v>
      </c>
      <c r="F181" s="1" t="s">
        <v>158</v>
      </c>
      <c r="G181" s="1" t="s">
        <v>202</v>
      </c>
      <c r="H181" s="1"/>
      <c r="I181" s="1"/>
      <c r="J181" s="15"/>
      <c r="K181" s="1" t="s">
        <v>203</v>
      </c>
      <c r="L181" s="8">
        <v>46015.0</v>
      </c>
    </row>
    <row r="182">
      <c r="A182" s="5">
        <v>46015.419841006944</v>
      </c>
      <c r="B182" s="1"/>
      <c r="C182" s="1" t="s">
        <v>76</v>
      </c>
      <c r="D182" s="1" t="s">
        <v>76</v>
      </c>
      <c r="E182" s="1" t="s">
        <v>88</v>
      </c>
      <c r="F182" s="1" t="s">
        <v>189</v>
      </c>
      <c r="G182" s="1" t="s">
        <v>189</v>
      </c>
      <c r="H182" s="1"/>
      <c r="I182" s="1"/>
      <c r="J182" s="15">
        <v>4599.0</v>
      </c>
      <c r="K182" s="1" t="s">
        <v>190</v>
      </c>
      <c r="L182" s="8">
        <v>46015.0</v>
      </c>
    </row>
    <row r="183">
      <c r="A183" s="5">
        <v>46015.41984458333</v>
      </c>
      <c r="B183" s="1"/>
      <c r="C183" s="1" t="s">
        <v>76</v>
      </c>
      <c r="D183" s="1" t="s">
        <v>76</v>
      </c>
      <c r="E183" s="1" t="s">
        <v>88</v>
      </c>
      <c r="F183" s="1" t="s">
        <v>89</v>
      </c>
      <c r="G183" s="1" t="s">
        <v>89</v>
      </c>
      <c r="H183" s="1"/>
      <c r="I183" s="1"/>
      <c r="J183" s="15">
        <v>5236.0</v>
      </c>
      <c r="K183" s="1" t="s">
        <v>191</v>
      </c>
      <c r="L183" s="8">
        <v>46015.0</v>
      </c>
    </row>
    <row r="184">
      <c r="A184" s="5">
        <v>46015.41984862268</v>
      </c>
      <c r="B184" s="1"/>
      <c r="C184" s="1" t="s">
        <v>76</v>
      </c>
      <c r="D184" s="1" t="s">
        <v>76</v>
      </c>
      <c r="E184" s="1" t="s">
        <v>88</v>
      </c>
      <c r="F184" s="1" t="s">
        <v>78</v>
      </c>
      <c r="G184" s="1" t="s">
        <v>78</v>
      </c>
      <c r="H184" s="1"/>
      <c r="I184" s="1"/>
      <c r="J184" s="15">
        <v>7291.0</v>
      </c>
      <c r="K184" s="1" t="s">
        <v>90</v>
      </c>
      <c r="L184" s="8">
        <v>46015.0</v>
      </c>
    </row>
    <row r="185">
      <c r="A185" s="16">
        <v>46017.550589942126</v>
      </c>
      <c r="B185" s="1"/>
      <c r="C185" s="1"/>
      <c r="D185" s="1" t="s">
        <v>76</v>
      </c>
      <c r="E185" s="1" t="s">
        <v>77</v>
      </c>
      <c r="F185" s="1" t="s">
        <v>78</v>
      </c>
      <c r="G185" s="1" t="s">
        <v>79</v>
      </c>
      <c r="H185" s="1"/>
      <c r="I185" s="1"/>
      <c r="J185" s="15"/>
      <c r="K185" s="1" t="s">
        <v>80</v>
      </c>
      <c r="L185" s="8">
        <v>46017.0</v>
      </c>
    </row>
    <row r="186">
      <c r="A186" s="16">
        <v>46017.55059496527</v>
      </c>
      <c r="B186" s="1" t="s">
        <v>204</v>
      </c>
      <c r="C186" s="1" t="s">
        <v>81</v>
      </c>
      <c r="D186" s="1" t="s">
        <v>99</v>
      </c>
      <c r="E186" s="1" t="s">
        <v>131</v>
      </c>
      <c r="F186" s="1" t="s">
        <v>78</v>
      </c>
      <c r="G186" s="1" t="s">
        <v>132</v>
      </c>
      <c r="H186" s="1"/>
      <c r="I186" s="1"/>
      <c r="J186" s="15"/>
      <c r="K186" s="1"/>
      <c r="L186" s="8">
        <v>46017.0</v>
      </c>
    </row>
    <row r="187">
      <c r="A187" s="16">
        <v>46017.55060605324</v>
      </c>
      <c r="B187" s="1"/>
      <c r="C187" s="1" t="s">
        <v>76</v>
      </c>
      <c r="D187" s="1" t="s">
        <v>76</v>
      </c>
      <c r="E187" s="1" t="s">
        <v>88</v>
      </c>
      <c r="F187" s="1" t="s">
        <v>78</v>
      </c>
      <c r="G187" s="1" t="s">
        <v>78</v>
      </c>
      <c r="H187" s="1"/>
      <c r="I187" s="1"/>
      <c r="J187" s="15">
        <v>1996.0</v>
      </c>
      <c r="K187" s="1" t="s">
        <v>90</v>
      </c>
      <c r="L187" s="8">
        <v>46017.0</v>
      </c>
    </row>
    <row r="188">
      <c r="A188" s="16">
        <v>46017.55531791667</v>
      </c>
      <c r="B188" s="1"/>
      <c r="C188" s="1"/>
      <c r="D188" s="1" t="s">
        <v>76</v>
      </c>
      <c r="E188" s="1" t="s">
        <v>77</v>
      </c>
      <c r="F188" s="1" t="s">
        <v>78</v>
      </c>
      <c r="G188" s="1" t="s">
        <v>79</v>
      </c>
      <c r="H188" s="1"/>
      <c r="I188" s="1"/>
      <c r="J188" s="15"/>
      <c r="K188" s="1" t="s">
        <v>80</v>
      </c>
      <c r="L188" s="8">
        <v>46017.0</v>
      </c>
    </row>
    <row r="189">
      <c r="A189" s="16">
        <v>46017.55532157407</v>
      </c>
      <c r="B189" s="1" t="s">
        <v>98</v>
      </c>
      <c r="C189" s="1" t="s">
        <v>81</v>
      </c>
      <c r="D189" s="1" t="s">
        <v>99</v>
      </c>
      <c r="E189" s="1" t="s">
        <v>131</v>
      </c>
      <c r="F189" s="1" t="s">
        <v>78</v>
      </c>
      <c r="G189" s="1" t="s">
        <v>132</v>
      </c>
      <c r="H189" s="1"/>
      <c r="I189" s="1"/>
      <c r="J189" s="15"/>
      <c r="K189" s="1"/>
      <c r="L189" s="8">
        <v>46017.0</v>
      </c>
    </row>
    <row r="190">
      <c r="A190" s="16">
        <v>46017.55533076389</v>
      </c>
      <c r="B190" s="1"/>
      <c r="C190" s="1" t="s">
        <v>76</v>
      </c>
      <c r="D190" s="1" t="s">
        <v>76</v>
      </c>
      <c r="E190" s="1" t="s">
        <v>88</v>
      </c>
      <c r="F190" s="1" t="s">
        <v>78</v>
      </c>
      <c r="G190" s="1" t="s">
        <v>78</v>
      </c>
      <c r="H190" s="1"/>
      <c r="I190" s="1"/>
      <c r="J190" s="15">
        <v>1249.0</v>
      </c>
      <c r="K190" s="1" t="s">
        <v>90</v>
      </c>
      <c r="L190" s="8">
        <v>46017.0</v>
      </c>
    </row>
    <row r="191">
      <c r="A191" s="16">
        <v>46017.555398240744</v>
      </c>
      <c r="B191" s="1"/>
      <c r="C191" s="1"/>
      <c r="D191" s="1" t="s">
        <v>76</v>
      </c>
      <c r="E191" s="1" t="s">
        <v>77</v>
      </c>
      <c r="F191" s="1" t="s">
        <v>78</v>
      </c>
      <c r="G191" s="1" t="s">
        <v>79</v>
      </c>
      <c r="H191" s="1"/>
      <c r="I191" s="1"/>
      <c r="J191" s="15"/>
      <c r="K191" s="1" t="s">
        <v>80</v>
      </c>
      <c r="L191" s="8">
        <v>46017.0</v>
      </c>
    </row>
    <row r="192">
      <c r="A192" s="16">
        <v>46017.555402384256</v>
      </c>
      <c r="B192" s="1" t="s">
        <v>98</v>
      </c>
      <c r="C192" s="1" t="s">
        <v>81</v>
      </c>
      <c r="D192" s="1" t="s">
        <v>99</v>
      </c>
      <c r="E192" s="1" t="s">
        <v>100</v>
      </c>
      <c r="F192" s="1" t="s">
        <v>101</v>
      </c>
      <c r="G192" s="1" t="s">
        <v>102</v>
      </c>
      <c r="H192" s="1" t="s">
        <v>205</v>
      </c>
      <c r="I192" s="1"/>
      <c r="J192" s="15"/>
      <c r="K192" s="1"/>
      <c r="L192" s="8">
        <v>46017.0</v>
      </c>
    </row>
    <row r="193">
      <c r="A193" s="16">
        <v>46017.55540657407</v>
      </c>
      <c r="B193" s="1"/>
      <c r="C193" s="1" t="s">
        <v>76</v>
      </c>
      <c r="D193" s="1" t="s">
        <v>76</v>
      </c>
      <c r="E193" s="1" t="s">
        <v>88</v>
      </c>
      <c r="F193" s="1" t="s">
        <v>104</v>
      </c>
      <c r="G193" s="1" t="s">
        <v>104</v>
      </c>
      <c r="H193" s="1"/>
      <c r="I193" s="1"/>
      <c r="J193" s="15">
        <v>382.0</v>
      </c>
      <c r="K193" s="1" t="s">
        <v>206</v>
      </c>
      <c r="L193" s="8">
        <v>46017.0</v>
      </c>
    </row>
    <row r="194">
      <c r="A194" s="16">
        <v>46017.55541055556</v>
      </c>
      <c r="B194" s="1"/>
      <c r="C194" s="1" t="s">
        <v>76</v>
      </c>
      <c r="D194" s="1" t="s">
        <v>76</v>
      </c>
      <c r="E194" s="1" t="s">
        <v>88</v>
      </c>
      <c r="F194" s="1" t="s">
        <v>78</v>
      </c>
      <c r="G194" s="1" t="s">
        <v>78</v>
      </c>
      <c r="H194" s="1"/>
      <c r="I194" s="1"/>
      <c r="J194" s="15">
        <v>1174.0</v>
      </c>
      <c r="K194" s="1" t="s">
        <v>90</v>
      </c>
      <c r="L194" s="8">
        <v>46017.0</v>
      </c>
    </row>
    <row r="195">
      <c r="A195" s="16">
        <v>46017.55879681713</v>
      </c>
      <c r="B195" s="1"/>
      <c r="C195" s="1"/>
      <c r="D195" s="1" t="s">
        <v>76</v>
      </c>
      <c r="E195" s="1" t="s">
        <v>77</v>
      </c>
      <c r="F195" s="1" t="s">
        <v>78</v>
      </c>
      <c r="G195" s="1" t="s">
        <v>79</v>
      </c>
      <c r="H195" s="1"/>
      <c r="I195" s="1"/>
      <c r="J195" s="15"/>
      <c r="K195" s="1" t="s">
        <v>80</v>
      </c>
      <c r="L195" s="8">
        <v>46017.0</v>
      </c>
    </row>
    <row r="196">
      <c r="A196" s="16">
        <v>46017.55880049769</v>
      </c>
      <c r="B196" s="1" t="s">
        <v>98</v>
      </c>
      <c r="C196" s="1" t="s">
        <v>81</v>
      </c>
      <c r="D196" s="1" t="s">
        <v>99</v>
      </c>
      <c r="E196" s="1" t="s">
        <v>100</v>
      </c>
      <c r="F196" s="1" t="s">
        <v>101</v>
      </c>
      <c r="G196" s="1" t="s">
        <v>102</v>
      </c>
      <c r="H196" s="1" t="s">
        <v>103</v>
      </c>
      <c r="I196" s="1"/>
      <c r="J196" s="15"/>
      <c r="K196" s="1"/>
      <c r="L196" s="8">
        <v>46017.0</v>
      </c>
    </row>
    <row r="197">
      <c r="A197" s="16">
        <v>46017.558804050925</v>
      </c>
      <c r="B197" s="1"/>
      <c r="C197" s="1" t="s">
        <v>76</v>
      </c>
      <c r="D197" s="1" t="s">
        <v>76</v>
      </c>
      <c r="E197" s="1" t="s">
        <v>88</v>
      </c>
      <c r="F197" s="1" t="s">
        <v>104</v>
      </c>
      <c r="G197" s="1" t="s">
        <v>104</v>
      </c>
      <c r="H197" s="1"/>
      <c r="I197" s="1"/>
      <c r="J197" s="15">
        <v>282.0</v>
      </c>
      <c r="K197" s="1" t="s">
        <v>105</v>
      </c>
      <c r="L197" s="8">
        <v>46017.0</v>
      </c>
    </row>
    <row r="198">
      <c r="A198" s="16">
        <v>46017.558807546295</v>
      </c>
      <c r="B198" s="1"/>
      <c r="C198" s="1" t="s">
        <v>76</v>
      </c>
      <c r="D198" s="1" t="s">
        <v>76</v>
      </c>
      <c r="E198" s="1" t="s">
        <v>88</v>
      </c>
      <c r="F198" s="1" t="s">
        <v>78</v>
      </c>
      <c r="G198" s="1" t="s">
        <v>78</v>
      </c>
      <c r="H198" s="1"/>
      <c r="I198" s="1"/>
      <c r="J198" s="15">
        <v>1134.0</v>
      </c>
      <c r="K198" s="1" t="s">
        <v>90</v>
      </c>
      <c r="L198" s="8">
        <v>46017.0</v>
      </c>
    </row>
    <row r="199">
      <c r="A199" s="16">
        <v>46018.77528321759</v>
      </c>
      <c r="B199" s="1"/>
      <c r="C199" s="1"/>
      <c r="D199" s="1" t="s">
        <v>76</v>
      </c>
      <c r="E199" s="1" t="s">
        <v>77</v>
      </c>
      <c r="F199" s="1" t="s">
        <v>78</v>
      </c>
      <c r="G199" s="1" t="s">
        <v>79</v>
      </c>
      <c r="H199" s="1"/>
      <c r="I199" s="1"/>
      <c r="J199" s="15"/>
      <c r="K199" s="1" t="s">
        <v>80</v>
      </c>
      <c r="L199" s="8">
        <v>46018.0</v>
      </c>
    </row>
    <row r="200">
      <c r="A200" s="16">
        <v>46018.775290624995</v>
      </c>
      <c r="B200" s="1" t="s">
        <v>130</v>
      </c>
      <c r="C200" s="1" t="s">
        <v>81</v>
      </c>
      <c r="D200" s="1" t="s">
        <v>99</v>
      </c>
      <c r="E200" s="1" t="s">
        <v>131</v>
      </c>
      <c r="F200" s="1" t="s">
        <v>78</v>
      </c>
      <c r="G200" s="1" t="s">
        <v>132</v>
      </c>
      <c r="H200" s="1"/>
      <c r="I200" s="1"/>
      <c r="J200" s="15"/>
      <c r="K200" s="1"/>
      <c r="L200" s="8">
        <v>46018.0</v>
      </c>
    </row>
    <row r="201">
      <c r="A201" s="16">
        <v>46018.77530313657</v>
      </c>
      <c r="B201" s="1"/>
      <c r="C201" s="1" t="s">
        <v>76</v>
      </c>
      <c r="D201" s="1" t="s">
        <v>76</v>
      </c>
      <c r="E201" s="1" t="s">
        <v>88</v>
      </c>
      <c r="F201" s="1" t="s">
        <v>78</v>
      </c>
      <c r="G201" s="1" t="s">
        <v>78</v>
      </c>
      <c r="H201" s="1"/>
      <c r="I201" s="1"/>
      <c r="J201" s="15">
        <v>2373.0</v>
      </c>
      <c r="K201" s="1" t="s">
        <v>90</v>
      </c>
      <c r="L201" s="8">
        <v>46018.0</v>
      </c>
    </row>
    <row r="202">
      <c r="A202" s="16">
        <v>46018.92500206019</v>
      </c>
      <c r="B202" s="1"/>
      <c r="C202" s="1"/>
      <c r="D202" s="1" t="s">
        <v>76</v>
      </c>
      <c r="E202" s="1" t="s">
        <v>77</v>
      </c>
      <c r="F202" s="1" t="s">
        <v>78</v>
      </c>
      <c r="G202" s="1" t="s">
        <v>79</v>
      </c>
      <c r="H202" s="1"/>
      <c r="I202" s="1"/>
      <c r="J202" s="15"/>
      <c r="K202" s="1" t="s">
        <v>80</v>
      </c>
      <c r="L202" s="8">
        <v>46018.0</v>
      </c>
    </row>
    <row r="203">
      <c r="A203" s="16">
        <v>46018.92500673611</v>
      </c>
      <c r="B203" s="1" t="s">
        <v>45</v>
      </c>
      <c r="C203" s="1" t="s">
        <v>81</v>
      </c>
      <c r="D203" s="1" t="s">
        <v>99</v>
      </c>
      <c r="E203" s="1" t="s">
        <v>107</v>
      </c>
      <c r="F203" s="1" t="s">
        <v>108</v>
      </c>
      <c r="G203" s="1" t="s">
        <v>109</v>
      </c>
      <c r="H203" s="1" t="s">
        <v>110</v>
      </c>
      <c r="I203" s="1"/>
      <c r="J203" s="15"/>
      <c r="K203" s="1"/>
      <c r="L203" s="8">
        <v>46018.0</v>
      </c>
    </row>
    <row r="204">
      <c r="A204" s="16">
        <v>46018.925022118055</v>
      </c>
      <c r="B204" s="1"/>
      <c r="C204" s="1" t="s">
        <v>76</v>
      </c>
      <c r="D204" s="1" t="s">
        <v>76</v>
      </c>
      <c r="E204" s="1" t="s">
        <v>88</v>
      </c>
      <c r="F204" s="1" t="s">
        <v>104</v>
      </c>
      <c r="G204" s="1" t="s">
        <v>104</v>
      </c>
      <c r="H204" s="1"/>
      <c r="I204" s="1"/>
      <c r="J204" s="15">
        <v>1347.0</v>
      </c>
      <c r="K204" s="1" t="s">
        <v>111</v>
      </c>
      <c r="L204" s="8">
        <v>46018.0</v>
      </c>
    </row>
    <row r="205">
      <c r="A205" s="16">
        <v>46018.92502539352</v>
      </c>
      <c r="B205" s="1"/>
      <c r="C205" s="1" t="s">
        <v>76</v>
      </c>
      <c r="D205" s="1" t="s">
        <v>76</v>
      </c>
      <c r="E205" s="1" t="s">
        <v>88</v>
      </c>
      <c r="F205" s="1" t="s">
        <v>78</v>
      </c>
      <c r="G205" s="1" t="s">
        <v>78</v>
      </c>
      <c r="H205" s="1"/>
      <c r="I205" s="1"/>
      <c r="J205" s="15">
        <v>2730.0</v>
      </c>
      <c r="K205" s="1" t="s">
        <v>90</v>
      </c>
      <c r="L205" s="8">
        <v>46018.0</v>
      </c>
    </row>
    <row r="206">
      <c r="A206" s="16">
        <v>46018.92506304398</v>
      </c>
      <c r="B206" s="1"/>
      <c r="C206" s="1"/>
      <c r="D206" s="1" t="s">
        <v>76</v>
      </c>
      <c r="E206" s="1" t="s">
        <v>77</v>
      </c>
      <c r="F206" s="1" t="s">
        <v>78</v>
      </c>
      <c r="G206" s="1" t="s">
        <v>79</v>
      </c>
      <c r="H206" s="1"/>
      <c r="I206" s="1"/>
      <c r="J206" s="15"/>
      <c r="K206" s="1" t="s">
        <v>80</v>
      </c>
      <c r="L206" s="8">
        <v>46018.0</v>
      </c>
    </row>
    <row r="207">
      <c r="A207" s="16">
        <v>46018.925067511576</v>
      </c>
      <c r="B207" s="1" t="s">
        <v>45</v>
      </c>
      <c r="C207" s="1" t="s">
        <v>81</v>
      </c>
      <c r="D207" s="1" t="s">
        <v>82</v>
      </c>
      <c r="E207" s="1" t="s">
        <v>112</v>
      </c>
      <c r="F207" s="1" t="s">
        <v>84</v>
      </c>
      <c r="G207" s="1" t="s">
        <v>85</v>
      </c>
      <c r="H207" s="1"/>
      <c r="I207" s="1" t="s">
        <v>113</v>
      </c>
      <c r="J207" s="15"/>
      <c r="K207" s="1" t="s">
        <v>114</v>
      </c>
      <c r="L207" s="8">
        <v>46018.0</v>
      </c>
    </row>
    <row r="208">
      <c r="A208" s="16">
        <v>46018.925072060185</v>
      </c>
      <c r="B208" s="1" t="s">
        <v>45</v>
      </c>
      <c r="C208" s="1" t="s">
        <v>81</v>
      </c>
      <c r="D208" s="1" t="s">
        <v>82</v>
      </c>
      <c r="E208" s="1" t="s">
        <v>112</v>
      </c>
      <c r="F208" s="1" t="s">
        <v>108</v>
      </c>
      <c r="G208" s="1" t="s">
        <v>115</v>
      </c>
      <c r="H208" s="1"/>
      <c r="I208" s="1" t="s">
        <v>113</v>
      </c>
      <c r="J208" s="15"/>
      <c r="K208" s="1" t="s">
        <v>114</v>
      </c>
      <c r="L208" s="8">
        <v>46018.0</v>
      </c>
    </row>
    <row r="209">
      <c r="A209" s="16">
        <v>46018.92509497685</v>
      </c>
      <c r="B209" s="1"/>
      <c r="C209" s="1" t="s">
        <v>76</v>
      </c>
      <c r="D209" s="1" t="s">
        <v>76</v>
      </c>
      <c r="E209" s="1" t="s">
        <v>88</v>
      </c>
      <c r="F209" s="1" t="s">
        <v>89</v>
      </c>
      <c r="G209" s="1" t="s">
        <v>89</v>
      </c>
      <c r="H209" s="1"/>
      <c r="I209" s="1"/>
      <c r="J209" s="15">
        <v>1178.0</v>
      </c>
      <c r="K209" s="1" t="s">
        <v>116</v>
      </c>
      <c r="L209" s="8">
        <v>46018.0</v>
      </c>
    </row>
    <row r="210">
      <c r="A210" s="16">
        <v>46018.92509958333</v>
      </c>
      <c r="B210" s="1"/>
      <c r="C210" s="1" t="s">
        <v>76</v>
      </c>
      <c r="D210" s="1" t="s">
        <v>76</v>
      </c>
      <c r="E210" s="1" t="s">
        <v>88</v>
      </c>
      <c r="F210" s="1" t="s">
        <v>78</v>
      </c>
      <c r="G210" s="1" t="s">
        <v>78</v>
      </c>
      <c r="H210" s="1"/>
      <c r="I210" s="1"/>
      <c r="J210" s="15">
        <v>3257.0</v>
      </c>
      <c r="K210" s="1" t="s">
        <v>90</v>
      </c>
      <c r="L210" s="8">
        <v>46018.0</v>
      </c>
    </row>
    <row r="211">
      <c r="A211" s="16">
        <v>46018.92513979167</v>
      </c>
      <c r="B211" s="1"/>
      <c r="C211" s="1"/>
      <c r="D211" s="1" t="s">
        <v>76</v>
      </c>
      <c r="E211" s="1" t="s">
        <v>77</v>
      </c>
      <c r="F211" s="1" t="s">
        <v>78</v>
      </c>
      <c r="G211" s="1" t="s">
        <v>79</v>
      </c>
      <c r="H211" s="1"/>
      <c r="I211" s="1"/>
      <c r="J211" s="15"/>
      <c r="K211" s="1" t="s">
        <v>80</v>
      </c>
      <c r="L211" s="8">
        <v>46018.0</v>
      </c>
    </row>
    <row r="212">
      <c r="A212" s="16">
        <v>46018.92514716435</v>
      </c>
      <c r="B212" s="1" t="s">
        <v>45</v>
      </c>
      <c r="C212" s="1" t="s">
        <v>81</v>
      </c>
      <c r="D212" s="1" t="s">
        <v>82</v>
      </c>
      <c r="E212" s="1" t="s">
        <v>117</v>
      </c>
      <c r="F212" s="1" t="s">
        <v>84</v>
      </c>
      <c r="G212" s="1" t="s">
        <v>85</v>
      </c>
      <c r="H212" s="1"/>
      <c r="I212" s="1" t="s">
        <v>118</v>
      </c>
      <c r="J212" s="15"/>
      <c r="K212" s="1" t="s">
        <v>119</v>
      </c>
      <c r="L212" s="8">
        <v>46018.0</v>
      </c>
    </row>
    <row r="213">
      <c r="A213" s="16">
        <v>46018.92515416667</v>
      </c>
      <c r="B213" s="1"/>
      <c r="C213" s="1" t="s">
        <v>76</v>
      </c>
      <c r="D213" s="1" t="s">
        <v>76</v>
      </c>
      <c r="E213" s="1" t="s">
        <v>88</v>
      </c>
      <c r="F213" s="1" t="s">
        <v>89</v>
      </c>
      <c r="G213" s="1" t="s">
        <v>89</v>
      </c>
      <c r="H213" s="1"/>
      <c r="I213" s="1"/>
      <c r="J213" s="15">
        <v>605.0</v>
      </c>
      <c r="K213" s="1" t="s">
        <v>120</v>
      </c>
      <c r="L213" s="8">
        <v>46018.0</v>
      </c>
    </row>
    <row r="214">
      <c r="A214" s="16">
        <v>46018.92515739583</v>
      </c>
      <c r="B214" s="1"/>
      <c r="C214" s="1" t="s">
        <v>76</v>
      </c>
      <c r="D214" s="1" t="s">
        <v>76</v>
      </c>
      <c r="E214" s="1" t="s">
        <v>88</v>
      </c>
      <c r="F214" s="1" t="s">
        <v>78</v>
      </c>
      <c r="G214" s="1" t="s">
        <v>78</v>
      </c>
      <c r="H214" s="1"/>
      <c r="I214" s="1"/>
      <c r="J214" s="15">
        <v>1633.0</v>
      </c>
      <c r="K214" s="1" t="s">
        <v>90</v>
      </c>
      <c r="L214" s="8">
        <v>46018.0</v>
      </c>
    </row>
    <row r="215">
      <c r="A215" s="16">
        <v>46018.92519512732</v>
      </c>
      <c r="B215" s="1"/>
      <c r="C215" s="1"/>
      <c r="D215" s="1" t="s">
        <v>76</v>
      </c>
      <c r="E215" s="1" t="s">
        <v>77</v>
      </c>
      <c r="F215" s="1" t="s">
        <v>78</v>
      </c>
      <c r="G215" s="1" t="s">
        <v>79</v>
      </c>
      <c r="H215" s="1"/>
      <c r="I215" s="1"/>
      <c r="J215" s="15"/>
      <c r="K215" s="1" t="s">
        <v>80</v>
      </c>
      <c r="L215" s="8">
        <v>46018.0</v>
      </c>
    </row>
    <row r="216">
      <c r="A216" s="16">
        <v>46018.925203935185</v>
      </c>
      <c r="B216" s="1" t="s">
        <v>45</v>
      </c>
      <c r="C216" s="1" t="s">
        <v>81</v>
      </c>
      <c r="D216" s="1" t="s">
        <v>82</v>
      </c>
      <c r="E216" s="1" t="s">
        <v>94</v>
      </c>
      <c r="F216" s="1" t="s">
        <v>84</v>
      </c>
      <c r="G216" s="1" t="s">
        <v>85</v>
      </c>
      <c r="H216" s="1"/>
      <c r="I216" s="1" t="s">
        <v>207</v>
      </c>
      <c r="J216" s="15"/>
      <c r="K216" s="1" t="s">
        <v>208</v>
      </c>
      <c r="L216" s="8">
        <v>46018.0</v>
      </c>
    </row>
    <row r="217">
      <c r="A217" s="16">
        <v>46018.92528976852</v>
      </c>
      <c r="B217" s="1"/>
      <c r="C217" s="1" t="s">
        <v>76</v>
      </c>
      <c r="D217" s="1" t="s">
        <v>76</v>
      </c>
      <c r="E217" s="1" t="s">
        <v>88</v>
      </c>
      <c r="F217" s="1" t="s">
        <v>89</v>
      </c>
      <c r="G217" s="1" t="s">
        <v>89</v>
      </c>
      <c r="H217" s="1"/>
      <c r="I217" s="1"/>
      <c r="J217" s="15">
        <v>7413.0</v>
      </c>
      <c r="K217" s="1" t="s">
        <v>97</v>
      </c>
      <c r="L217" s="8">
        <v>46018.0</v>
      </c>
    </row>
    <row r="218">
      <c r="A218" s="16">
        <v>46018.92529557871</v>
      </c>
      <c r="B218" s="1"/>
      <c r="C218" s="1" t="s">
        <v>76</v>
      </c>
      <c r="D218" s="1" t="s">
        <v>76</v>
      </c>
      <c r="E218" s="1" t="s">
        <v>88</v>
      </c>
      <c r="F218" s="1" t="s">
        <v>78</v>
      </c>
      <c r="G218" s="1" t="s">
        <v>78</v>
      </c>
      <c r="H218" s="1"/>
      <c r="I218" s="1"/>
      <c r="J218" s="15">
        <v>8643.0</v>
      </c>
      <c r="K218" s="1" t="s">
        <v>90</v>
      </c>
      <c r="L218" s="8">
        <v>46018.0</v>
      </c>
    </row>
    <row r="219">
      <c r="A219" s="16">
        <v>46019.83582710648</v>
      </c>
      <c r="B219" s="1"/>
      <c r="C219" s="1"/>
      <c r="D219" s="1" t="s">
        <v>76</v>
      </c>
      <c r="E219" s="1" t="s">
        <v>77</v>
      </c>
      <c r="F219" s="1" t="s">
        <v>78</v>
      </c>
      <c r="G219" s="1" t="s">
        <v>79</v>
      </c>
      <c r="H219" s="1"/>
      <c r="I219" s="1"/>
      <c r="J219" s="15"/>
      <c r="K219" s="1" t="s">
        <v>80</v>
      </c>
      <c r="L219" s="8">
        <v>46019.0</v>
      </c>
    </row>
    <row r="220">
      <c r="A220" s="16">
        <v>46019.83583137731</v>
      </c>
      <c r="B220" s="1" t="s">
        <v>130</v>
      </c>
      <c r="C220" s="1" t="s">
        <v>81</v>
      </c>
      <c r="D220" s="1" t="s">
        <v>99</v>
      </c>
      <c r="E220" s="1" t="s">
        <v>131</v>
      </c>
      <c r="F220" s="1" t="s">
        <v>78</v>
      </c>
      <c r="G220" s="1" t="s">
        <v>132</v>
      </c>
      <c r="H220" s="1"/>
      <c r="I220" s="1"/>
      <c r="J220" s="15"/>
      <c r="K220" s="1"/>
      <c r="L220" s="8">
        <v>46019.0</v>
      </c>
    </row>
    <row r="221">
      <c r="A221" s="16">
        <v>46019.835840879634</v>
      </c>
      <c r="B221" s="1"/>
      <c r="C221" s="1" t="s">
        <v>76</v>
      </c>
      <c r="D221" s="1" t="s">
        <v>76</v>
      </c>
      <c r="E221" s="1" t="s">
        <v>88</v>
      </c>
      <c r="F221" s="1" t="s">
        <v>78</v>
      </c>
      <c r="G221" s="1" t="s">
        <v>78</v>
      </c>
      <c r="H221" s="1"/>
      <c r="I221" s="1"/>
      <c r="J221" s="15">
        <v>2404.0</v>
      </c>
      <c r="K221" s="1" t="s">
        <v>90</v>
      </c>
      <c r="L221" s="8">
        <v>46019.0</v>
      </c>
    </row>
    <row r="222">
      <c r="A222" s="16">
        <v>46020.53405916667</v>
      </c>
      <c r="B222" s="1"/>
      <c r="C222" s="1"/>
      <c r="D222" s="1" t="s">
        <v>76</v>
      </c>
      <c r="E222" s="1" t="s">
        <v>77</v>
      </c>
      <c r="F222" s="1" t="s">
        <v>78</v>
      </c>
      <c r="G222" s="1" t="s">
        <v>79</v>
      </c>
      <c r="H222" s="1"/>
      <c r="I222" s="1"/>
      <c r="J222" s="15"/>
      <c r="K222" s="1" t="s">
        <v>80</v>
      </c>
      <c r="L222" s="8">
        <v>46020.0</v>
      </c>
    </row>
    <row r="223">
      <c r="A223" s="16">
        <v>46020.534063831015</v>
      </c>
      <c r="B223" s="1" t="s">
        <v>98</v>
      </c>
      <c r="C223" s="1" t="s">
        <v>81</v>
      </c>
      <c r="D223" s="1" t="s">
        <v>99</v>
      </c>
      <c r="E223" s="1" t="s">
        <v>100</v>
      </c>
      <c r="F223" s="1" t="s">
        <v>101</v>
      </c>
      <c r="G223" s="1" t="s">
        <v>102</v>
      </c>
      <c r="H223" s="1" t="s">
        <v>103</v>
      </c>
      <c r="I223" s="1"/>
      <c r="J223" s="15"/>
      <c r="K223" s="1"/>
      <c r="L223" s="8">
        <v>46020.0</v>
      </c>
    </row>
    <row r="224">
      <c r="A224" s="16">
        <v>46020.53407336806</v>
      </c>
      <c r="B224" s="1"/>
      <c r="C224" s="1" t="s">
        <v>76</v>
      </c>
      <c r="D224" s="1" t="s">
        <v>76</v>
      </c>
      <c r="E224" s="1" t="s">
        <v>88</v>
      </c>
      <c r="F224" s="1" t="s">
        <v>104</v>
      </c>
      <c r="G224" s="1" t="s">
        <v>104</v>
      </c>
      <c r="H224" s="1"/>
      <c r="I224" s="1"/>
      <c r="J224" s="15">
        <v>890.0</v>
      </c>
      <c r="K224" s="1" t="s">
        <v>105</v>
      </c>
      <c r="L224" s="8">
        <v>46020.0</v>
      </c>
    </row>
    <row r="225">
      <c r="A225" s="16">
        <v>46020.534076145836</v>
      </c>
      <c r="B225" s="1"/>
      <c r="C225" s="1" t="s">
        <v>76</v>
      </c>
      <c r="D225" s="1" t="s">
        <v>76</v>
      </c>
      <c r="E225" s="1" t="s">
        <v>88</v>
      </c>
      <c r="F225" s="1" t="s">
        <v>78</v>
      </c>
      <c r="G225" s="1" t="s">
        <v>78</v>
      </c>
      <c r="H225" s="1"/>
      <c r="I225" s="1"/>
      <c r="J225" s="15">
        <v>1925.0</v>
      </c>
      <c r="K225" s="1" t="s">
        <v>90</v>
      </c>
      <c r="L225" s="8">
        <v>46020.0</v>
      </c>
    </row>
    <row r="226">
      <c r="A226" s="16">
        <v>46020.57355502315</v>
      </c>
      <c r="B226" s="1"/>
      <c r="C226" s="1"/>
      <c r="D226" s="1" t="s">
        <v>76</v>
      </c>
      <c r="E226" s="1" t="s">
        <v>77</v>
      </c>
      <c r="F226" s="1" t="s">
        <v>78</v>
      </c>
      <c r="G226" s="1" t="s">
        <v>79</v>
      </c>
      <c r="H226" s="1"/>
      <c r="I226" s="1"/>
      <c r="J226" s="15"/>
      <c r="K226" s="1" t="s">
        <v>80</v>
      </c>
      <c r="L226" s="8">
        <v>46020.0</v>
      </c>
    </row>
    <row r="227">
      <c r="A227" s="16">
        <v>46020.57355857639</v>
      </c>
      <c r="B227" s="1" t="s">
        <v>204</v>
      </c>
      <c r="C227" s="1" t="s">
        <v>81</v>
      </c>
      <c r="D227" s="1" t="s">
        <v>99</v>
      </c>
      <c r="E227" s="1" t="s">
        <v>107</v>
      </c>
      <c r="F227" s="1" t="s">
        <v>108</v>
      </c>
      <c r="G227" s="1" t="s">
        <v>109</v>
      </c>
      <c r="H227" s="1" t="s">
        <v>110</v>
      </c>
      <c r="I227" s="1"/>
      <c r="J227" s="15"/>
      <c r="K227" s="1"/>
      <c r="L227" s="8">
        <v>46020.0</v>
      </c>
    </row>
    <row r="228">
      <c r="A228" s="16">
        <v>46020.57357065972</v>
      </c>
      <c r="B228" s="1"/>
      <c r="C228" s="1" t="s">
        <v>76</v>
      </c>
      <c r="D228" s="1" t="s">
        <v>76</v>
      </c>
      <c r="E228" s="1" t="s">
        <v>88</v>
      </c>
      <c r="F228" s="1" t="s">
        <v>104</v>
      </c>
      <c r="G228" s="1" t="s">
        <v>104</v>
      </c>
      <c r="H228" s="1"/>
      <c r="I228" s="1"/>
      <c r="J228" s="15">
        <v>1039.0</v>
      </c>
      <c r="K228" s="1" t="s">
        <v>111</v>
      </c>
      <c r="L228" s="8">
        <v>46020.0</v>
      </c>
    </row>
    <row r="229">
      <c r="A229" s="16">
        <v>46020.573574131944</v>
      </c>
      <c r="B229" s="1"/>
      <c r="C229" s="1" t="s">
        <v>76</v>
      </c>
      <c r="D229" s="1" t="s">
        <v>76</v>
      </c>
      <c r="E229" s="1" t="s">
        <v>88</v>
      </c>
      <c r="F229" s="1" t="s">
        <v>78</v>
      </c>
      <c r="G229" s="1" t="s">
        <v>78</v>
      </c>
      <c r="H229" s="1"/>
      <c r="I229" s="1"/>
      <c r="J229" s="15">
        <v>2028.0</v>
      </c>
      <c r="K229" s="1" t="s">
        <v>90</v>
      </c>
      <c r="L229" s="8">
        <v>46020.0</v>
      </c>
    </row>
    <row r="230">
      <c r="A230" s="16">
        <v>46020.573706932875</v>
      </c>
      <c r="B230" s="1"/>
      <c r="C230" s="1"/>
      <c r="D230" s="1" t="s">
        <v>76</v>
      </c>
      <c r="E230" s="1" t="s">
        <v>77</v>
      </c>
      <c r="F230" s="1" t="s">
        <v>78</v>
      </c>
      <c r="G230" s="1" t="s">
        <v>79</v>
      </c>
      <c r="H230" s="1"/>
      <c r="I230" s="1"/>
      <c r="J230" s="15"/>
      <c r="K230" s="1" t="s">
        <v>80</v>
      </c>
      <c r="L230" s="8">
        <v>46020.0</v>
      </c>
    </row>
    <row r="231">
      <c r="A231" s="16">
        <v>46020.57370982639</v>
      </c>
      <c r="B231" s="1" t="s">
        <v>204</v>
      </c>
      <c r="C231" s="1" t="s">
        <v>81</v>
      </c>
      <c r="D231" s="1" t="s">
        <v>82</v>
      </c>
      <c r="E231" s="1" t="s">
        <v>112</v>
      </c>
      <c r="F231" s="1" t="s">
        <v>84</v>
      </c>
      <c r="G231" s="1" t="s">
        <v>85</v>
      </c>
      <c r="H231" s="1"/>
      <c r="I231" s="1" t="s">
        <v>113</v>
      </c>
      <c r="J231" s="15"/>
      <c r="K231" s="1" t="s">
        <v>114</v>
      </c>
      <c r="L231" s="8">
        <v>46020.0</v>
      </c>
    </row>
    <row r="232">
      <c r="A232" s="16">
        <v>46020.57371311342</v>
      </c>
      <c r="B232" s="1" t="s">
        <v>204</v>
      </c>
      <c r="C232" s="1" t="s">
        <v>81</v>
      </c>
      <c r="D232" s="1" t="s">
        <v>82</v>
      </c>
      <c r="E232" s="1" t="s">
        <v>112</v>
      </c>
      <c r="F232" s="1" t="s">
        <v>108</v>
      </c>
      <c r="G232" s="1" t="s">
        <v>115</v>
      </c>
      <c r="H232" s="1"/>
      <c r="I232" s="1" t="s">
        <v>113</v>
      </c>
      <c r="J232" s="15"/>
      <c r="K232" s="1" t="s">
        <v>114</v>
      </c>
      <c r="L232" s="8">
        <v>46020.0</v>
      </c>
    </row>
    <row r="233">
      <c r="A233" s="16">
        <v>46020.57372454861</v>
      </c>
      <c r="B233" s="1"/>
      <c r="C233" s="1" t="s">
        <v>76</v>
      </c>
      <c r="D233" s="1" t="s">
        <v>76</v>
      </c>
      <c r="E233" s="1" t="s">
        <v>88</v>
      </c>
      <c r="F233" s="1" t="s">
        <v>89</v>
      </c>
      <c r="G233" s="1" t="s">
        <v>89</v>
      </c>
      <c r="H233" s="1"/>
      <c r="I233" s="1"/>
      <c r="J233" s="15">
        <v>1270.0</v>
      </c>
      <c r="K233" s="1" t="s">
        <v>116</v>
      </c>
      <c r="L233" s="8">
        <v>46020.0</v>
      </c>
    </row>
    <row r="234">
      <c r="A234" s="16">
        <v>46020.573727905095</v>
      </c>
      <c r="B234" s="1"/>
      <c r="C234" s="1" t="s">
        <v>76</v>
      </c>
      <c r="D234" s="1" t="s">
        <v>76</v>
      </c>
      <c r="E234" s="1" t="s">
        <v>88</v>
      </c>
      <c r="F234" s="1" t="s">
        <v>78</v>
      </c>
      <c r="G234" s="1" t="s">
        <v>78</v>
      </c>
      <c r="H234" s="1"/>
      <c r="I234" s="1"/>
      <c r="J234" s="15">
        <v>2079.0</v>
      </c>
      <c r="K234" s="1" t="s">
        <v>90</v>
      </c>
      <c r="L234" s="8">
        <v>46020.0</v>
      </c>
    </row>
    <row r="235">
      <c r="A235" s="16">
        <v>46020.57383303241</v>
      </c>
      <c r="B235" s="1"/>
      <c r="C235" s="1"/>
      <c r="D235" s="1" t="s">
        <v>76</v>
      </c>
      <c r="E235" s="1" t="s">
        <v>77</v>
      </c>
      <c r="F235" s="1" t="s">
        <v>78</v>
      </c>
      <c r="G235" s="1" t="s">
        <v>79</v>
      </c>
      <c r="H235" s="1"/>
      <c r="I235" s="1"/>
      <c r="J235" s="15"/>
      <c r="K235" s="1" t="s">
        <v>80</v>
      </c>
      <c r="L235" s="8">
        <v>46020.0</v>
      </c>
    </row>
    <row r="236">
      <c r="A236" s="16">
        <v>46020.573837118056</v>
      </c>
      <c r="B236" s="1" t="s">
        <v>204</v>
      </c>
      <c r="C236" s="1" t="s">
        <v>81</v>
      </c>
      <c r="D236" s="1" t="s">
        <v>82</v>
      </c>
      <c r="E236" s="1" t="s">
        <v>117</v>
      </c>
      <c r="F236" s="1" t="s">
        <v>84</v>
      </c>
      <c r="G236" s="1" t="s">
        <v>85</v>
      </c>
      <c r="H236" s="1"/>
      <c r="I236" s="1" t="s">
        <v>118</v>
      </c>
      <c r="J236" s="15"/>
      <c r="K236" s="1" t="s">
        <v>119</v>
      </c>
      <c r="L236" s="8">
        <v>46020.0</v>
      </c>
    </row>
    <row r="237">
      <c r="A237" s="16">
        <v>46020.57385082176</v>
      </c>
      <c r="B237" s="1"/>
      <c r="C237" s="1" t="s">
        <v>76</v>
      </c>
      <c r="D237" s="1" t="s">
        <v>76</v>
      </c>
      <c r="E237" s="1" t="s">
        <v>88</v>
      </c>
      <c r="F237" s="1" t="s">
        <v>89</v>
      </c>
      <c r="G237" s="1" t="s">
        <v>89</v>
      </c>
      <c r="H237" s="1"/>
      <c r="I237" s="1"/>
      <c r="J237" s="15">
        <v>1173.0</v>
      </c>
      <c r="K237" s="1" t="s">
        <v>120</v>
      </c>
      <c r="L237" s="8">
        <v>46020.0</v>
      </c>
    </row>
    <row r="238">
      <c r="A238" s="16">
        <v>46020.57385511574</v>
      </c>
      <c r="B238" s="1"/>
      <c r="C238" s="1" t="s">
        <v>76</v>
      </c>
      <c r="D238" s="1" t="s">
        <v>76</v>
      </c>
      <c r="E238" s="1" t="s">
        <v>88</v>
      </c>
      <c r="F238" s="1" t="s">
        <v>78</v>
      </c>
      <c r="G238" s="1" t="s">
        <v>78</v>
      </c>
      <c r="H238" s="1"/>
      <c r="I238" s="1"/>
      <c r="J238" s="15">
        <v>2028.0</v>
      </c>
      <c r="K238" s="1" t="s">
        <v>90</v>
      </c>
      <c r="L238" s="8">
        <v>46020.0</v>
      </c>
    </row>
    <row r="239">
      <c r="A239" s="16">
        <v>46020.573920254625</v>
      </c>
      <c r="B239" s="1"/>
      <c r="C239" s="1"/>
      <c r="D239" s="1" t="s">
        <v>76</v>
      </c>
      <c r="E239" s="1" t="s">
        <v>77</v>
      </c>
      <c r="F239" s="1" t="s">
        <v>78</v>
      </c>
      <c r="G239" s="1" t="s">
        <v>79</v>
      </c>
      <c r="H239" s="1"/>
      <c r="I239" s="1"/>
      <c r="J239" s="15"/>
      <c r="K239" s="1" t="s">
        <v>80</v>
      </c>
      <c r="L239" s="8">
        <v>46020.0</v>
      </c>
    </row>
    <row r="240">
      <c r="A240" s="16">
        <v>46020.57392310185</v>
      </c>
      <c r="B240" s="1" t="s">
        <v>204</v>
      </c>
      <c r="C240" s="1" t="s">
        <v>81</v>
      </c>
      <c r="D240" s="1" t="s">
        <v>82</v>
      </c>
      <c r="E240" s="1" t="s">
        <v>94</v>
      </c>
      <c r="F240" s="1" t="s">
        <v>84</v>
      </c>
      <c r="G240" s="1" t="s">
        <v>85</v>
      </c>
      <c r="H240" s="1"/>
      <c r="I240" s="1" t="s">
        <v>209</v>
      </c>
      <c r="J240" s="15"/>
      <c r="K240" s="1" t="s">
        <v>210</v>
      </c>
      <c r="L240" s="8">
        <v>46020.0</v>
      </c>
    </row>
    <row r="241">
      <c r="A241" s="16">
        <v>46020.57400263889</v>
      </c>
      <c r="B241" s="1"/>
      <c r="C241" s="1" t="s">
        <v>76</v>
      </c>
      <c r="D241" s="1" t="s">
        <v>76</v>
      </c>
      <c r="E241" s="1" t="s">
        <v>88</v>
      </c>
      <c r="F241" s="1" t="s">
        <v>89</v>
      </c>
      <c r="G241" s="1" t="s">
        <v>89</v>
      </c>
      <c r="H241" s="1"/>
      <c r="I241" s="1"/>
      <c r="J241" s="15">
        <v>6870.0</v>
      </c>
      <c r="K241" s="1" t="s">
        <v>97</v>
      </c>
      <c r="L241" s="8">
        <v>46020.0</v>
      </c>
    </row>
    <row r="242">
      <c r="A242" s="16">
        <v>46020.57400559028</v>
      </c>
      <c r="B242" s="1"/>
      <c r="C242" s="1" t="s">
        <v>76</v>
      </c>
      <c r="D242" s="1" t="s">
        <v>76</v>
      </c>
      <c r="E242" s="1" t="s">
        <v>88</v>
      </c>
      <c r="F242" s="1" t="s">
        <v>78</v>
      </c>
      <c r="G242" s="1" t="s">
        <v>78</v>
      </c>
      <c r="H242" s="1"/>
      <c r="I242" s="1"/>
      <c r="J242" s="15">
        <v>7394.0</v>
      </c>
      <c r="K242" s="1" t="s">
        <v>90</v>
      </c>
      <c r="L242" s="8">
        <v>46020.0</v>
      </c>
    </row>
    <row r="243">
      <c r="A243" s="16">
        <v>46020.57493621528</v>
      </c>
      <c r="B243" s="1"/>
      <c r="C243" s="1"/>
      <c r="D243" s="1" t="s">
        <v>76</v>
      </c>
      <c r="E243" s="1" t="s">
        <v>77</v>
      </c>
      <c r="F243" s="1" t="s">
        <v>78</v>
      </c>
      <c r="G243" s="1" t="s">
        <v>79</v>
      </c>
      <c r="H243" s="1"/>
      <c r="I243" s="1"/>
      <c r="J243" s="15"/>
      <c r="K243" s="1" t="s">
        <v>80</v>
      </c>
      <c r="L243" s="8">
        <v>46020.0</v>
      </c>
    </row>
    <row r="244">
      <c r="A244" s="16">
        <v>46020.574939259255</v>
      </c>
      <c r="B244" s="1" t="s">
        <v>204</v>
      </c>
      <c r="C244" s="1" t="s">
        <v>81</v>
      </c>
      <c r="D244" s="1" t="s">
        <v>82</v>
      </c>
      <c r="E244" s="1" t="s">
        <v>126</v>
      </c>
      <c r="F244" s="1" t="s">
        <v>84</v>
      </c>
      <c r="G244" s="1" t="s">
        <v>85</v>
      </c>
      <c r="H244" s="1"/>
      <c r="I244" s="1" t="s">
        <v>211</v>
      </c>
      <c r="J244" s="15"/>
      <c r="K244" s="1" t="s">
        <v>212</v>
      </c>
      <c r="L244" s="8">
        <v>46020.0</v>
      </c>
    </row>
    <row r="245">
      <c r="A245" s="16">
        <v>46020.57495826389</v>
      </c>
      <c r="B245" s="1"/>
      <c r="C245" s="1" t="s">
        <v>76</v>
      </c>
      <c r="D245" s="1" t="s">
        <v>76</v>
      </c>
      <c r="E245" s="1" t="s">
        <v>88</v>
      </c>
      <c r="F245" s="1" t="s">
        <v>89</v>
      </c>
      <c r="G245" s="1" t="s">
        <v>89</v>
      </c>
      <c r="H245" s="1"/>
      <c r="I245" s="1"/>
      <c r="J245" s="15">
        <v>1591.0</v>
      </c>
      <c r="K245" s="1" t="s">
        <v>129</v>
      </c>
      <c r="L245" s="8">
        <v>46020.0</v>
      </c>
    </row>
    <row r="246">
      <c r="A246" s="16">
        <v>46020.57496140046</v>
      </c>
      <c r="B246" s="1"/>
      <c r="C246" s="1" t="s">
        <v>76</v>
      </c>
      <c r="D246" s="1" t="s">
        <v>76</v>
      </c>
      <c r="E246" s="1" t="s">
        <v>88</v>
      </c>
      <c r="F246" s="1" t="s">
        <v>78</v>
      </c>
      <c r="G246" s="1" t="s">
        <v>78</v>
      </c>
      <c r="H246" s="1"/>
      <c r="I246" s="1"/>
      <c r="J246" s="15">
        <v>2217.0</v>
      </c>
      <c r="K246" s="1" t="s">
        <v>90</v>
      </c>
      <c r="L246" s="8">
        <v>46020.0</v>
      </c>
    </row>
    <row r="247">
      <c r="A247" s="16">
        <v>46020.57740613426</v>
      </c>
      <c r="B247" s="1"/>
      <c r="C247" s="1"/>
      <c r="D247" s="1" t="s">
        <v>76</v>
      </c>
      <c r="E247" s="1" t="s">
        <v>77</v>
      </c>
      <c r="F247" s="1" t="s">
        <v>78</v>
      </c>
      <c r="G247" s="1" t="s">
        <v>79</v>
      </c>
      <c r="H247" s="1"/>
      <c r="I247" s="1"/>
      <c r="J247" s="15"/>
      <c r="K247" s="1" t="s">
        <v>80</v>
      </c>
      <c r="L247" s="8">
        <v>46020.0</v>
      </c>
    </row>
    <row r="248">
      <c r="A248" s="16">
        <v>46020.57741612269</v>
      </c>
      <c r="B248" s="1" t="s">
        <v>204</v>
      </c>
      <c r="C248" s="1" t="s">
        <v>81</v>
      </c>
      <c r="D248" s="1" t="s">
        <v>82</v>
      </c>
      <c r="E248" s="1" t="s">
        <v>83</v>
      </c>
      <c r="F248" s="1" t="s">
        <v>84</v>
      </c>
      <c r="G248" s="1" t="s">
        <v>85</v>
      </c>
      <c r="H248" s="1"/>
      <c r="I248" s="1" t="s">
        <v>86</v>
      </c>
      <c r="J248" s="15"/>
      <c r="K248" s="1" t="s">
        <v>87</v>
      </c>
      <c r="L248" s="8">
        <v>46020.0</v>
      </c>
    </row>
    <row r="249">
      <c r="A249" s="16">
        <v>46020.57742403935</v>
      </c>
      <c r="B249" s="1"/>
      <c r="C249" s="1" t="s">
        <v>76</v>
      </c>
      <c r="D249" s="1" t="s">
        <v>76</v>
      </c>
      <c r="E249" s="1" t="s">
        <v>88</v>
      </c>
      <c r="F249" s="1" t="s">
        <v>89</v>
      </c>
      <c r="G249" s="1" t="s">
        <v>89</v>
      </c>
      <c r="H249" s="1"/>
      <c r="I249" s="1"/>
      <c r="J249" s="15">
        <v>754.0</v>
      </c>
      <c r="K249" s="1" t="s">
        <v>87</v>
      </c>
      <c r="L249" s="8">
        <v>46020.0</v>
      </c>
    </row>
    <row r="250">
      <c r="A250" s="16">
        <v>46020.57742799769</v>
      </c>
      <c r="B250" s="1"/>
      <c r="C250" s="1" t="s">
        <v>76</v>
      </c>
      <c r="D250" s="1" t="s">
        <v>76</v>
      </c>
      <c r="E250" s="1" t="s">
        <v>88</v>
      </c>
      <c r="F250" s="1" t="s">
        <v>78</v>
      </c>
      <c r="G250" s="1" t="s">
        <v>78</v>
      </c>
      <c r="H250" s="1"/>
      <c r="I250" s="1"/>
      <c r="J250" s="15">
        <v>2155.0</v>
      </c>
      <c r="K250" s="1" t="s">
        <v>90</v>
      </c>
      <c r="L250" s="8">
        <v>46020.0</v>
      </c>
    </row>
    <row r="251">
      <c r="A251" s="16">
        <v>46020.577471111115</v>
      </c>
      <c r="B251" s="1"/>
      <c r="C251" s="1"/>
      <c r="D251" s="1" t="s">
        <v>76</v>
      </c>
      <c r="E251" s="1" t="s">
        <v>77</v>
      </c>
      <c r="F251" s="1" t="s">
        <v>78</v>
      </c>
      <c r="G251" s="1" t="s">
        <v>79</v>
      </c>
      <c r="H251" s="1"/>
      <c r="I251" s="1"/>
      <c r="J251" s="15"/>
      <c r="K251" s="1" t="s">
        <v>80</v>
      </c>
      <c r="L251" s="8">
        <v>46020.0</v>
      </c>
    </row>
    <row r="252">
      <c r="A252" s="16">
        <v>46020.577475196755</v>
      </c>
      <c r="B252" s="1" t="s">
        <v>204</v>
      </c>
      <c r="C252" s="1" t="s">
        <v>81</v>
      </c>
      <c r="D252" s="1" t="s">
        <v>82</v>
      </c>
      <c r="E252" s="1" t="s">
        <v>117</v>
      </c>
      <c r="F252" s="1" t="s">
        <v>84</v>
      </c>
      <c r="G252" s="1" t="s">
        <v>85</v>
      </c>
      <c r="H252" s="1"/>
      <c r="I252" s="1" t="s">
        <v>213</v>
      </c>
      <c r="J252" s="15"/>
      <c r="K252" s="1" t="s">
        <v>214</v>
      </c>
      <c r="L252" s="8">
        <v>46020.0</v>
      </c>
    </row>
    <row r="253">
      <c r="A253" s="16">
        <v>46020.577483587964</v>
      </c>
      <c r="B253" s="1"/>
      <c r="C253" s="1" t="s">
        <v>76</v>
      </c>
      <c r="D253" s="1" t="s">
        <v>76</v>
      </c>
      <c r="E253" s="1" t="s">
        <v>88</v>
      </c>
      <c r="F253" s="1" t="s">
        <v>89</v>
      </c>
      <c r="G253" s="1" t="s">
        <v>89</v>
      </c>
      <c r="H253" s="1"/>
      <c r="I253" s="1"/>
      <c r="J253" s="15">
        <v>732.0</v>
      </c>
      <c r="K253" s="1" t="s">
        <v>120</v>
      </c>
      <c r="L253" s="8">
        <v>46020.0</v>
      </c>
    </row>
    <row r="254">
      <c r="A254" s="16">
        <v>46020.57748768519</v>
      </c>
      <c r="B254" s="1"/>
      <c r="C254" s="1" t="s">
        <v>76</v>
      </c>
      <c r="D254" s="1" t="s">
        <v>76</v>
      </c>
      <c r="E254" s="1" t="s">
        <v>88</v>
      </c>
      <c r="F254" s="1" t="s">
        <v>78</v>
      </c>
      <c r="G254" s="1" t="s">
        <v>78</v>
      </c>
      <c r="H254" s="1"/>
      <c r="I254" s="1"/>
      <c r="J254" s="15">
        <v>1488.0</v>
      </c>
      <c r="K254" s="1" t="s">
        <v>90</v>
      </c>
      <c r="L254" s="8">
        <v>46020.0</v>
      </c>
    </row>
    <row r="255">
      <c r="A255" s="16">
        <v>46020.57752556713</v>
      </c>
      <c r="B255" s="1"/>
      <c r="C255" s="1"/>
      <c r="D255" s="1" t="s">
        <v>76</v>
      </c>
      <c r="E255" s="1" t="s">
        <v>77</v>
      </c>
      <c r="F255" s="1" t="s">
        <v>78</v>
      </c>
      <c r="G255" s="1" t="s">
        <v>79</v>
      </c>
      <c r="H255" s="1"/>
      <c r="I255" s="1"/>
      <c r="J255" s="15"/>
      <c r="K255" s="1" t="s">
        <v>80</v>
      </c>
      <c r="L255" s="8">
        <v>46020.0</v>
      </c>
    </row>
    <row r="256">
      <c r="A256" s="16">
        <v>46020.577528194444</v>
      </c>
      <c r="B256" s="1" t="s">
        <v>204</v>
      </c>
      <c r="C256" s="1" t="s">
        <v>81</v>
      </c>
      <c r="D256" s="1" t="s">
        <v>82</v>
      </c>
      <c r="E256" s="1" t="s">
        <v>94</v>
      </c>
      <c r="F256" s="1" t="s">
        <v>84</v>
      </c>
      <c r="G256" s="1" t="s">
        <v>85</v>
      </c>
      <c r="H256" s="1"/>
      <c r="I256" s="1" t="s">
        <v>215</v>
      </c>
      <c r="J256" s="15"/>
      <c r="K256" s="1" t="s">
        <v>216</v>
      </c>
      <c r="L256" s="8">
        <v>46020.0</v>
      </c>
    </row>
    <row r="257">
      <c r="A257" s="16">
        <v>46020.577599641205</v>
      </c>
      <c r="B257" s="1"/>
      <c r="C257" s="1" t="s">
        <v>76</v>
      </c>
      <c r="D257" s="1" t="s">
        <v>76</v>
      </c>
      <c r="E257" s="1" t="s">
        <v>88</v>
      </c>
      <c r="F257" s="1" t="s">
        <v>89</v>
      </c>
      <c r="G257" s="1" t="s">
        <v>89</v>
      </c>
      <c r="H257" s="1"/>
      <c r="I257" s="1"/>
      <c r="J257" s="15">
        <v>6202.0</v>
      </c>
      <c r="K257" s="1" t="s">
        <v>97</v>
      </c>
      <c r="L257" s="8">
        <v>46020.0</v>
      </c>
    </row>
    <row r="258">
      <c r="A258" s="16">
        <v>46020.57760208333</v>
      </c>
      <c r="B258" s="1"/>
      <c r="C258" s="1" t="s">
        <v>76</v>
      </c>
      <c r="D258" s="1" t="s">
        <v>76</v>
      </c>
      <c r="E258" s="1" t="s">
        <v>88</v>
      </c>
      <c r="F258" s="1" t="s">
        <v>78</v>
      </c>
      <c r="G258" s="1" t="s">
        <v>78</v>
      </c>
      <c r="H258" s="1"/>
      <c r="I258" s="1"/>
      <c r="J258" s="15">
        <v>6678.0</v>
      </c>
      <c r="K258" s="1" t="s">
        <v>90</v>
      </c>
      <c r="L258" s="8">
        <v>46020.0</v>
      </c>
    </row>
    <row r="259">
      <c r="A259" s="16">
        <v>46021.37512121528</v>
      </c>
      <c r="B259" s="1"/>
      <c r="C259" s="1"/>
      <c r="D259" s="1" t="s">
        <v>76</v>
      </c>
      <c r="E259" s="1" t="s">
        <v>77</v>
      </c>
      <c r="F259" s="1" t="s">
        <v>78</v>
      </c>
      <c r="G259" s="1" t="s">
        <v>79</v>
      </c>
      <c r="H259" s="1"/>
      <c r="I259" s="1"/>
      <c r="J259" s="15"/>
      <c r="K259" s="1" t="s">
        <v>80</v>
      </c>
      <c r="L259" s="8">
        <v>46021.0</v>
      </c>
    </row>
    <row r="260">
      <c r="A260" s="16">
        <v>46021.37512709491</v>
      </c>
      <c r="B260" s="1" t="s">
        <v>148</v>
      </c>
      <c r="C260" s="1" t="s">
        <v>81</v>
      </c>
      <c r="D260" s="1" t="s">
        <v>99</v>
      </c>
      <c r="E260" s="1" t="s">
        <v>100</v>
      </c>
      <c r="F260" s="1" t="s">
        <v>101</v>
      </c>
      <c r="G260" s="1" t="s">
        <v>102</v>
      </c>
      <c r="H260" s="1" t="s">
        <v>149</v>
      </c>
      <c r="I260" s="1"/>
      <c r="J260" s="15"/>
      <c r="K260" s="1"/>
      <c r="L260" s="8">
        <v>46021.0</v>
      </c>
    </row>
    <row r="261">
      <c r="A261" s="16">
        <v>46021.375138483796</v>
      </c>
      <c r="B261" s="1"/>
      <c r="C261" s="1" t="s">
        <v>76</v>
      </c>
      <c r="D261" s="1" t="s">
        <v>76</v>
      </c>
      <c r="E261" s="1" t="s">
        <v>88</v>
      </c>
      <c r="F261" s="1" t="s">
        <v>104</v>
      </c>
      <c r="G261" s="1" t="s">
        <v>104</v>
      </c>
      <c r="H261" s="1"/>
      <c r="I261" s="1"/>
      <c r="J261" s="15">
        <v>1032.0</v>
      </c>
      <c r="K261" s="1" t="s">
        <v>150</v>
      </c>
      <c r="L261" s="8">
        <v>46021.0</v>
      </c>
    </row>
    <row r="262">
      <c r="A262" s="16">
        <v>46021.37514553241</v>
      </c>
      <c r="B262" s="1"/>
      <c r="C262" s="1" t="s">
        <v>76</v>
      </c>
      <c r="D262" s="1" t="s">
        <v>76</v>
      </c>
      <c r="E262" s="1" t="s">
        <v>88</v>
      </c>
      <c r="F262" s="1" t="s">
        <v>78</v>
      </c>
      <c r="G262" s="1" t="s">
        <v>78</v>
      </c>
      <c r="H262" s="1"/>
      <c r="I262" s="1"/>
      <c r="J262" s="15">
        <v>2727.0</v>
      </c>
      <c r="K262" s="1" t="s">
        <v>90</v>
      </c>
      <c r="L262" s="8">
        <v>46021.0</v>
      </c>
    </row>
    <row r="263">
      <c r="A263" s="16">
        <v>46021.50335557871</v>
      </c>
      <c r="B263" s="1"/>
      <c r="C263" s="1"/>
      <c r="D263" s="1" t="s">
        <v>76</v>
      </c>
      <c r="E263" s="1" t="s">
        <v>77</v>
      </c>
      <c r="F263" s="1" t="s">
        <v>78</v>
      </c>
      <c r="G263" s="1" t="s">
        <v>79</v>
      </c>
      <c r="H263" s="1"/>
      <c r="I263" s="1"/>
      <c r="J263" s="15"/>
      <c r="K263" s="1" t="s">
        <v>80</v>
      </c>
      <c r="L263" s="8">
        <v>46021.0</v>
      </c>
    </row>
    <row r="264">
      <c r="A264" s="16">
        <v>46021.50335935185</v>
      </c>
      <c r="B264" s="1" t="s">
        <v>204</v>
      </c>
      <c r="C264" s="1" t="s">
        <v>81</v>
      </c>
      <c r="D264" s="1" t="s">
        <v>99</v>
      </c>
      <c r="E264" s="1" t="s">
        <v>131</v>
      </c>
      <c r="F264" s="1" t="s">
        <v>78</v>
      </c>
      <c r="G264" s="1" t="s">
        <v>132</v>
      </c>
      <c r="H264" s="1"/>
      <c r="I264" s="1"/>
      <c r="J264" s="15"/>
      <c r="K264" s="1"/>
      <c r="L264" s="8">
        <v>46021.0</v>
      </c>
    </row>
    <row r="265">
      <c r="A265" s="16">
        <v>46021.50336758102</v>
      </c>
      <c r="B265" s="1"/>
      <c r="C265" s="1" t="s">
        <v>76</v>
      </c>
      <c r="D265" s="1" t="s">
        <v>76</v>
      </c>
      <c r="E265" s="1" t="s">
        <v>88</v>
      </c>
      <c r="F265" s="1" t="s">
        <v>78</v>
      </c>
      <c r="G265" s="1" t="s">
        <v>78</v>
      </c>
      <c r="H265" s="1"/>
      <c r="I265" s="1"/>
      <c r="J265" s="15">
        <v>1445.0</v>
      </c>
      <c r="K265" s="1" t="s">
        <v>90</v>
      </c>
      <c r="L265" s="8">
        <v>46021.0</v>
      </c>
    </row>
    <row r="266">
      <c r="A266" s="16">
        <v>46021.53637695602</v>
      </c>
      <c r="B266" s="1"/>
      <c r="C266" s="1"/>
      <c r="D266" s="1" t="s">
        <v>76</v>
      </c>
      <c r="E266" s="1" t="s">
        <v>77</v>
      </c>
      <c r="F266" s="1" t="s">
        <v>78</v>
      </c>
      <c r="G266" s="1" t="s">
        <v>79</v>
      </c>
      <c r="H266" s="1"/>
      <c r="I266" s="1"/>
      <c r="J266" s="15"/>
      <c r="K266" s="1" t="s">
        <v>80</v>
      </c>
      <c r="L266" s="8">
        <v>46021.0</v>
      </c>
    </row>
    <row r="267">
      <c r="A267" s="16">
        <v>46021.536382025464</v>
      </c>
      <c r="B267" s="1" t="s">
        <v>98</v>
      </c>
      <c r="C267" s="1" t="s">
        <v>81</v>
      </c>
      <c r="D267" s="1" t="s">
        <v>99</v>
      </c>
      <c r="E267" s="1" t="s">
        <v>100</v>
      </c>
      <c r="F267" s="1" t="s">
        <v>101</v>
      </c>
      <c r="G267" s="1" t="s">
        <v>102</v>
      </c>
      <c r="H267" s="1" t="s">
        <v>103</v>
      </c>
      <c r="I267" s="1"/>
      <c r="J267" s="15"/>
      <c r="K267" s="1"/>
      <c r="L267" s="8">
        <v>46021.0</v>
      </c>
    </row>
    <row r="268">
      <c r="A268" s="16">
        <v>46021.53639180555</v>
      </c>
      <c r="B268" s="1"/>
      <c r="C268" s="1" t="s">
        <v>76</v>
      </c>
      <c r="D268" s="1" t="s">
        <v>76</v>
      </c>
      <c r="E268" s="1" t="s">
        <v>88</v>
      </c>
      <c r="F268" s="1" t="s">
        <v>104</v>
      </c>
      <c r="G268" s="1" t="s">
        <v>104</v>
      </c>
      <c r="H268" s="1"/>
      <c r="I268" s="1"/>
      <c r="J268" s="15">
        <v>876.0</v>
      </c>
      <c r="K268" s="1" t="s">
        <v>105</v>
      </c>
      <c r="L268" s="8">
        <v>46021.0</v>
      </c>
    </row>
    <row r="269">
      <c r="A269" s="16">
        <v>46021.536395752315</v>
      </c>
      <c r="B269" s="1"/>
      <c r="C269" s="1" t="s">
        <v>76</v>
      </c>
      <c r="D269" s="1" t="s">
        <v>76</v>
      </c>
      <c r="E269" s="1" t="s">
        <v>88</v>
      </c>
      <c r="F269" s="1" t="s">
        <v>78</v>
      </c>
      <c r="G269" s="1" t="s">
        <v>78</v>
      </c>
      <c r="H269" s="1"/>
      <c r="I269" s="1"/>
      <c r="J269" s="15">
        <v>2152.0</v>
      </c>
      <c r="K269" s="1" t="s">
        <v>90</v>
      </c>
      <c r="L269" s="8">
        <v>46021.0</v>
      </c>
    </row>
    <row r="270">
      <c r="A270" s="16">
        <v>46025.49141174769</v>
      </c>
      <c r="B270" s="1"/>
      <c r="C270" s="1"/>
      <c r="D270" s="1" t="s">
        <v>76</v>
      </c>
      <c r="E270" s="1" t="s">
        <v>77</v>
      </c>
      <c r="F270" s="1" t="s">
        <v>78</v>
      </c>
      <c r="G270" s="1" t="s">
        <v>79</v>
      </c>
      <c r="H270" s="1"/>
      <c r="I270" s="1"/>
      <c r="J270" s="15"/>
      <c r="K270" s="1" t="s">
        <v>80</v>
      </c>
      <c r="L270" s="8">
        <v>46025.0</v>
      </c>
    </row>
    <row r="271">
      <c r="A271" s="16">
        <v>46025.49141773148</v>
      </c>
      <c r="B271" s="1" t="s">
        <v>123</v>
      </c>
      <c r="C271" s="1" t="s">
        <v>81</v>
      </c>
      <c r="D271" s="1" t="s">
        <v>99</v>
      </c>
      <c r="E271" s="1" t="s">
        <v>107</v>
      </c>
      <c r="F271" s="1" t="s">
        <v>108</v>
      </c>
      <c r="G271" s="1" t="s">
        <v>109</v>
      </c>
      <c r="H271" s="1" t="s">
        <v>110</v>
      </c>
      <c r="I271" s="1"/>
      <c r="J271" s="15"/>
      <c r="K271" s="1"/>
      <c r="L271" s="8">
        <v>46025.0</v>
      </c>
    </row>
    <row r="272">
      <c r="A272" s="16">
        <v>46025.49143277778</v>
      </c>
      <c r="B272" s="1"/>
      <c r="C272" s="1" t="s">
        <v>76</v>
      </c>
      <c r="D272" s="1" t="s">
        <v>76</v>
      </c>
      <c r="E272" s="1" t="s">
        <v>88</v>
      </c>
      <c r="F272" s="1" t="s">
        <v>104</v>
      </c>
      <c r="G272" s="1" t="s">
        <v>104</v>
      </c>
      <c r="H272" s="1"/>
      <c r="I272" s="1"/>
      <c r="J272" s="15">
        <v>969.0</v>
      </c>
      <c r="K272" s="1" t="s">
        <v>111</v>
      </c>
      <c r="L272" s="8">
        <v>46025.0</v>
      </c>
    </row>
    <row r="273">
      <c r="A273" s="16">
        <v>46025.491437476856</v>
      </c>
      <c r="B273" s="1"/>
      <c r="C273" s="1" t="s">
        <v>76</v>
      </c>
      <c r="D273" s="1" t="s">
        <v>76</v>
      </c>
      <c r="E273" s="1" t="s">
        <v>88</v>
      </c>
      <c r="F273" s="1" t="s">
        <v>78</v>
      </c>
      <c r="G273" s="1" t="s">
        <v>78</v>
      </c>
      <c r="H273" s="1"/>
      <c r="I273" s="1"/>
      <c r="J273" s="15">
        <v>2568.0</v>
      </c>
      <c r="K273" s="1" t="s">
        <v>90</v>
      </c>
      <c r="L273" s="8">
        <v>46025.0</v>
      </c>
    </row>
    <row r="274">
      <c r="A274" s="16">
        <v>46025.49151533565</v>
      </c>
      <c r="B274" s="1"/>
      <c r="C274" s="1"/>
      <c r="D274" s="1" t="s">
        <v>76</v>
      </c>
      <c r="E274" s="1" t="s">
        <v>77</v>
      </c>
      <c r="F274" s="1" t="s">
        <v>78</v>
      </c>
      <c r="G274" s="1" t="s">
        <v>79</v>
      </c>
      <c r="H274" s="1"/>
      <c r="I274" s="1"/>
      <c r="J274" s="15"/>
      <c r="K274" s="1" t="s">
        <v>80</v>
      </c>
      <c r="L274" s="8">
        <v>46025.0</v>
      </c>
    </row>
    <row r="275">
      <c r="A275" s="16">
        <v>46025.49152408565</v>
      </c>
      <c r="B275" s="1" t="s">
        <v>123</v>
      </c>
      <c r="C275" s="1" t="s">
        <v>81</v>
      </c>
      <c r="D275" s="1" t="s">
        <v>82</v>
      </c>
      <c r="E275" s="1" t="s">
        <v>112</v>
      </c>
      <c r="F275" s="1" t="s">
        <v>84</v>
      </c>
      <c r="G275" s="1" t="s">
        <v>85</v>
      </c>
      <c r="H275" s="1"/>
      <c r="I275" s="1" t="s">
        <v>113</v>
      </c>
      <c r="J275" s="15"/>
      <c r="K275" s="1" t="s">
        <v>114</v>
      </c>
      <c r="L275" s="8">
        <v>46025.0</v>
      </c>
    </row>
    <row r="276">
      <c r="A276" s="16">
        <v>46025.49152726852</v>
      </c>
      <c r="B276" s="1" t="s">
        <v>123</v>
      </c>
      <c r="C276" s="1" t="s">
        <v>81</v>
      </c>
      <c r="D276" s="1" t="s">
        <v>82</v>
      </c>
      <c r="E276" s="1" t="s">
        <v>112</v>
      </c>
      <c r="F276" s="1" t="s">
        <v>108</v>
      </c>
      <c r="G276" s="1" t="s">
        <v>115</v>
      </c>
      <c r="H276" s="1"/>
      <c r="I276" s="1" t="s">
        <v>113</v>
      </c>
      <c r="J276" s="15"/>
      <c r="K276" s="1" t="s">
        <v>114</v>
      </c>
      <c r="L276" s="8">
        <v>46025.0</v>
      </c>
    </row>
    <row r="277">
      <c r="A277" s="16">
        <v>46025.491534988425</v>
      </c>
      <c r="B277" s="1"/>
      <c r="C277" s="1" t="s">
        <v>76</v>
      </c>
      <c r="D277" s="1" t="s">
        <v>76</v>
      </c>
      <c r="E277" s="1" t="s">
        <v>88</v>
      </c>
      <c r="F277" s="1" t="s">
        <v>89</v>
      </c>
      <c r="G277" s="1" t="s">
        <v>89</v>
      </c>
      <c r="H277" s="1"/>
      <c r="I277" s="1"/>
      <c r="J277" s="15">
        <v>931.0</v>
      </c>
      <c r="K277" s="1" t="s">
        <v>116</v>
      </c>
      <c r="L277" s="8">
        <v>46025.0</v>
      </c>
    </row>
    <row r="278">
      <c r="A278" s="16">
        <v>46025.49153809028</v>
      </c>
      <c r="B278" s="1"/>
      <c r="C278" s="1" t="s">
        <v>76</v>
      </c>
      <c r="D278" s="1" t="s">
        <v>76</v>
      </c>
      <c r="E278" s="1" t="s">
        <v>88</v>
      </c>
      <c r="F278" s="1" t="s">
        <v>78</v>
      </c>
      <c r="G278" s="1" t="s">
        <v>78</v>
      </c>
      <c r="H278" s="1"/>
      <c r="I278" s="1"/>
      <c r="J278" s="15">
        <v>2086.0</v>
      </c>
      <c r="K278" s="1" t="s">
        <v>90</v>
      </c>
      <c r="L278" s="8">
        <v>46025.0</v>
      </c>
    </row>
    <row r="279">
      <c r="A279" s="16">
        <v>46025.491670625</v>
      </c>
      <c r="B279" s="1"/>
      <c r="C279" s="1"/>
      <c r="D279" s="1" t="s">
        <v>76</v>
      </c>
      <c r="E279" s="1" t="s">
        <v>77</v>
      </c>
      <c r="F279" s="1" t="s">
        <v>78</v>
      </c>
      <c r="G279" s="1" t="s">
        <v>79</v>
      </c>
      <c r="H279" s="1"/>
      <c r="I279" s="1"/>
      <c r="J279" s="15"/>
      <c r="K279" s="1" t="s">
        <v>80</v>
      </c>
      <c r="L279" s="8">
        <v>46025.0</v>
      </c>
    </row>
    <row r="280">
      <c r="A280" s="16">
        <v>46025.49167556713</v>
      </c>
      <c r="B280" s="1" t="s">
        <v>123</v>
      </c>
      <c r="C280" s="1" t="s">
        <v>81</v>
      </c>
      <c r="D280" s="1" t="s">
        <v>82</v>
      </c>
      <c r="E280" s="1" t="s">
        <v>117</v>
      </c>
      <c r="F280" s="1" t="s">
        <v>84</v>
      </c>
      <c r="G280" s="1" t="s">
        <v>85</v>
      </c>
      <c r="H280" s="1"/>
      <c r="I280" s="1" t="s">
        <v>118</v>
      </c>
      <c r="J280" s="15"/>
      <c r="K280" s="1" t="s">
        <v>119</v>
      </c>
      <c r="L280" s="8">
        <v>46025.0</v>
      </c>
    </row>
    <row r="281">
      <c r="A281" s="16">
        <v>46025.491682754626</v>
      </c>
      <c r="B281" s="1"/>
      <c r="C281" s="1" t="s">
        <v>76</v>
      </c>
      <c r="D281" s="1" t="s">
        <v>76</v>
      </c>
      <c r="E281" s="1" t="s">
        <v>88</v>
      </c>
      <c r="F281" s="1" t="s">
        <v>89</v>
      </c>
      <c r="G281" s="1" t="s">
        <v>89</v>
      </c>
      <c r="H281" s="1"/>
      <c r="I281" s="1"/>
      <c r="J281" s="15">
        <v>680.0</v>
      </c>
      <c r="K281" s="1" t="s">
        <v>120</v>
      </c>
      <c r="L281" s="8">
        <v>46025.0</v>
      </c>
    </row>
    <row r="282">
      <c r="A282" s="16">
        <v>46025.491686828704</v>
      </c>
      <c r="B282" s="1"/>
      <c r="C282" s="1" t="s">
        <v>76</v>
      </c>
      <c r="D282" s="1" t="s">
        <v>76</v>
      </c>
      <c r="E282" s="1" t="s">
        <v>88</v>
      </c>
      <c r="F282" s="1" t="s">
        <v>78</v>
      </c>
      <c r="G282" s="1" t="s">
        <v>78</v>
      </c>
      <c r="H282" s="1"/>
      <c r="I282" s="1"/>
      <c r="J282" s="15">
        <v>1526.0</v>
      </c>
      <c r="K282" s="1" t="s">
        <v>90</v>
      </c>
      <c r="L282" s="8">
        <v>46025.0</v>
      </c>
    </row>
    <row r="283">
      <c r="A283" s="16">
        <v>46025.491739895835</v>
      </c>
      <c r="B283" s="1"/>
      <c r="C283" s="1"/>
      <c r="D283" s="1" t="s">
        <v>76</v>
      </c>
      <c r="E283" s="1" t="s">
        <v>77</v>
      </c>
      <c r="F283" s="1" t="s">
        <v>78</v>
      </c>
      <c r="G283" s="1" t="s">
        <v>79</v>
      </c>
      <c r="H283" s="1"/>
      <c r="I283" s="1"/>
      <c r="J283" s="15"/>
      <c r="K283" s="1" t="s">
        <v>80</v>
      </c>
      <c r="L283" s="8">
        <v>46025.0</v>
      </c>
    </row>
    <row r="284">
      <c r="A284" s="16">
        <v>46025.49174329861</v>
      </c>
      <c r="B284" s="1" t="s">
        <v>123</v>
      </c>
      <c r="C284" s="1" t="s">
        <v>81</v>
      </c>
      <c r="D284" s="1" t="s">
        <v>82</v>
      </c>
      <c r="E284" s="1" t="s">
        <v>94</v>
      </c>
      <c r="F284" s="1" t="s">
        <v>84</v>
      </c>
      <c r="G284" s="1" t="s">
        <v>85</v>
      </c>
      <c r="H284" s="1"/>
      <c r="I284" s="1" t="s">
        <v>217</v>
      </c>
      <c r="J284" s="15"/>
      <c r="K284" s="1" t="s">
        <v>218</v>
      </c>
      <c r="L284" s="8">
        <v>46025.0</v>
      </c>
    </row>
    <row r="285">
      <c r="A285" s="16">
        <v>46025.491825185185</v>
      </c>
      <c r="B285" s="1"/>
      <c r="C285" s="1" t="s">
        <v>76</v>
      </c>
      <c r="D285" s="1" t="s">
        <v>76</v>
      </c>
      <c r="E285" s="1" t="s">
        <v>88</v>
      </c>
      <c r="F285" s="1" t="s">
        <v>89</v>
      </c>
      <c r="G285" s="1" t="s">
        <v>89</v>
      </c>
      <c r="H285" s="1"/>
      <c r="I285" s="1"/>
      <c r="J285" s="15">
        <v>7040.0</v>
      </c>
      <c r="K285" s="1" t="s">
        <v>97</v>
      </c>
      <c r="L285" s="8">
        <v>46025.0</v>
      </c>
    </row>
    <row r="286">
      <c r="A286" s="16">
        <v>46025.49182856482</v>
      </c>
      <c r="B286" s="1"/>
      <c r="C286" s="1" t="s">
        <v>76</v>
      </c>
      <c r="D286" s="1" t="s">
        <v>76</v>
      </c>
      <c r="E286" s="1" t="s">
        <v>88</v>
      </c>
      <c r="F286" s="1" t="s">
        <v>78</v>
      </c>
      <c r="G286" s="1" t="s">
        <v>78</v>
      </c>
      <c r="H286" s="1"/>
      <c r="I286" s="1"/>
      <c r="J286" s="15">
        <v>7737.0</v>
      </c>
      <c r="K286" s="1" t="s">
        <v>90</v>
      </c>
      <c r="L286" s="8">
        <v>46025.0</v>
      </c>
    </row>
    <row r="287">
      <c r="A287" s="16">
        <v>46025.541731307865</v>
      </c>
      <c r="B287" s="1"/>
      <c r="C287" s="1"/>
      <c r="D287" s="1" t="s">
        <v>76</v>
      </c>
      <c r="E287" s="1" t="s">
        <v>77</v>
      </c>
      <c r="F287" s="1" t="s">
        <v>78</v>
      </c>
      <c r="G287" s="1" t="s">
        <v>79</v>
      </c>
      <c r="H287" s="1"/>
      <c r="I287" s="1"/>
      <c r="J287" s="15"/>
      <c r="K287" s="1" t="s">
        <v>80</v>
      </c>
      <c r="L287" s="8">
        <v>46025.0</v>
      </c>
    </row>
    <row r="288">
      <c r="A288" s="16">
        <v>46025.54173438657</v>
      </c>
      <c r="B288" s="1" t="s">
        <v>45</v>
      </c>
      <c r="C288" s="1" t="s">
        <v>81</v>
      </c>
      <c r="D288" s="1" t="s">
        <v>99</v>
      </c>
      <c r="E288" s="1" t="s">
        <v>107</v>
      </c>
      <c r="F288" s="1" t="s">
        <v>108</v>
      </c>
      <c r="G288" s="1" t="s">
        <v>109</v>
      </c>
      <c r="H288" s="1" t="s">
        <v>110</v>
      </c>
      <c r="I288" s="1"/>
      <c r="J288" s="15"/>
      <c r="K288" s="1"/>
      <c r="L288" s="8">
        <v>46025.0</v>
      </c>
    </row>
    <row r="289">
      <c r="A289" s="16">
        <v>46025.54174163194</v>
      </c>
      <c r="B289" s="1"/>
      <c r="C289" s="1" t="s">
        <v>76</v>
      </c>
      <c r="D289" s="1" t="s">
        <v>76</v>
      </c>
      <c r="E289" s="1" t="s">
        <v>88</v>
      </c>
      <c r="F289" s="1" t="s">
        <v>104</v>
      </c>
      <c r="G289" s="1" t="s">
        <v>104</v>
      </c>
      <c r="H289" s="1"/>
      <c r="I289" s="1"/>
      <c r="J289" s="15">
        <v>605.0</v>
      </c>
      <c r="K289" s="1" t="s">
        <v>111</v>
      </c>
      <c r="L289" s="8">
        <v>46025.0</v>
      </c>
    </row>
    <row r="290">
      <c r="A290" s="16">
        <v>46025.541744409726</v>
      </c>
      <c r="B290" s="1"/>
      <c r="C290" s="1" t="s">
        <v>76</v>
      </c>
      <c r="D290" s="1" t="s">
        <v>76</v>
      </c>
      <c r="E290" s="1" t="s">
        <v>88</v>
      </c>
      <c r="F290" s="1" t="s">
        <v>78</v>
      </c>
      <c r="G290" s="1" t="s">
        <v>78</v>
      </c>
      <c r="H290" s="1"/>
      <c r="I290" s="1"/>
      <c r="J290" s="15">
        <v>1196.0</v>
      </c>
      <c r="K290" s="1" t="s">
        <v>90</v>
      </c>
      <c r="L290" s="8">
        <v>46025.0</v>
      </c>
    </row>
    <row r="291">
      <c r="A291" s="16">
        <v>46025.54179209491</v>
      </c>
      <c r="B291" s="1"/>
      <c r="C291" s="1"/>
      <c r="D291" s="1" t="s">
        <v>76</v>
      </c>
      <c r="E291" s="1" t="s">
        <v>77</v>
      </c>
      <c r="F291" s="1" t="s">
        <v>78</v>
      </c>
      <c r="G291" s="1" t="s">
        <v>79</v>
      </c>
      <c r="H291" s="1"/>
      <c r="I291" s="1"/>
      <c r="J291" s="15"/>
      <c r="K291" s="1" t="s">
        <v>80</v>
      </c>
      <c r="L291" s="8">
        <v>46025.0</v>
      </c>
    </row>
    <row r="292">
      <c r="A292" s="16">
        <v>46025.541795185185</v>
      </c>
      <c r="B292" s="1" t="s">
        <v>45</v>
      </c>
      <c r="C292" s="1" t="s">
        <v>81</v>
      </c>
      <c r="D292" s="1" t="s">
        <v>82</v>
      </c>
      <c r="E292" s="1" t="s">
        <v>112</v>
      </c>
      <c r="F292" s="1" t="s">
        <v>84</v>
      </c>
      <c r="G292" s="1" t="s">
        <v>85</v>
      </c>
      <c r="H292" s="1"/>
      <c r="I292" s="1" t="s">
        <v>113</v>
      </c>
      <c r="J292" s="15"/>
      <c r="K292" s="1" t="s">
        <v>114</v>
      </c>
      <c r="L292" s="8">
        <v>46025.0</v>
      </c>
    </row>
    <row r="293">
      <c r="A293" s="16">
        <v>46025.54179802083</v>
      </c>
      <c r="B293" s="1" t="s">
        <v>45</v>
      </c>
      <c r="C293" s="1" t="s">
        <v>81</v>
      </c>
      <c r="D293" s="1" t="s">
        <v>82</v>
      </c>
      <c r="E293" s="1" t="s">
        <v>112</v>
      </c>
      <c r="F293" s="1" t="s">
        <v>108</v>
      </c>
      <c r="G293" s="1" t="s">
        <v>115</v>
      </c>
      <c r="H293" s="1"/>
      <c r="I293" s="1" t="s">
        <v>113</v>
      </c>
      <c r="J293" s="15"/>
      <c r="K293" s="1" t="s">
        <v>114</v>
      </c>
      <c r="L293" s="8">
        <v>46025.0</v>
      </c>
    </row>
    <row r="294">
      <c r="A294" s="16">
        <v>46025.54180520833</v>
      </c>
      <c r="B294" s="1"/>
      <c r="C294" s="1" t="s">
        <v>76</v>
      </c>
      <c r="D294" s="1" t="s">
        <v>76</v>
      </c>
      <c r="E294" s="1" t="s">
        <v>88</v>
      </c>
      <c r="F294" s="1" t="s">
        <v>89</v>
      </c>
      <c r="G294" s="1" t="s">
        <v>89</v>
      </c>
      <c r="H294" s="1"/>
      <c r="I294" s="1"/>
      <c r="J294" s="15">
        <v>874.0</v>
      </c>
      <c r="K294" s="1" t="s">
        <v>116</v>
      </c>
      <c r="L294" s="8">
        <v>46025.0</v>
      </c>
    </row>
    <row r="295">
      <c r="A295" s="16">
        <v>46025.541808865746</v>
      </c>
      <c r="B295" s="1"/>
      <c r="C295" s="1" t="s">
        <v>76</v>
      </c>
      <c r="D295" s="1" t="s">
        <v>76</v>
      </c>
      <c r="E295" s="1" t="s">
        <v>88</v>
      </c>
      <c r="F295" s="1" t="s">
        <v>78</v>
      </c>
      <c r="G295" s="1" t="s">
        <v>78</v>
      </c>
      <c r="H295" s="1"/>
      <c r="I295" s="1"/>
      <c r="J295" s="15">
        <v>1461.0</v>
      </c>
      <c r="K295" s="1" t="s">
        <v>90</v>
      </c>
      <c r="L295" s="8">
        <v>46025.0</v>
      </c>
    </row>
    <row r="296">
      <c r="A296" s="16">
        <v>46025.541850381946</v>
      </c>
      <c r="B296" s="1"/>
      <c r="C296" s="1"/>
      <c r="D296" s="1" t="s">
        <v>76</v>
      </c>
      <c r="E296" s="1" t="s">
        <v>77</v>
      </c>
      <c r="F296" s="1" t="s">
        <v>78</v>
      </c>
      <c r="G296" s="1" t="s">
        <v>79</v>
      </c>
      <c r="H296" s="1"/>
      <c r="I296" s="1"/>
      <c r="J296" s="15"/>
      <c r="K296" s="1" t="s">
        <v>80</v>
      </c>
      <c r="L296" s="8">
        <v>46025.0</v>
      </c>
    </row>
    <row r="297">
      <c r="A297" s="16">
        <v>46025.54185569445</v>
      </c>
      <c r="B297" s="1" t="s">
        <v>45</v>
      </c>
      <c r="C297" s="1" t="s">
        <v>81</v>
      </c>
      <c r="D297" s="1" t="s">
        <v>82</v>
      </c>
      <c r="E297" s="1" t="s">
        <v>117</v>
      </c>
      <c r="F297" s="1" t="s">
        <v>84</v>
      </c>
      <c r="G297" s="1" t="s">
        <v>85</v>
      </c>
      <c r="H297" s="1"/>
      <c r="I297" s="1" t="s">
        <v>118</v>
      </c>
      <c r="J297" s="15"/>
      <c r="K297" s="1" t="s">
        <v>119</v>
      </c>
      <c r="L297" s="8">
        <v>46025.0</v>
      </c>
    </row>
    <row r="298">
      <c r="A298" s="16">
        <v>46025.541864976854</v>
      </c>
      <c r="B298" s="1"/>
      <c r="C298" s="1" t="s">
        <v>76</v>
      </c>
      <c r="D298" s="1" t="s">
        <v>76</v>
      </c>
      <c r="E298" s="1" t="s">
        <v>88</v>
      </c>
      <c r="F298" s="1" t="s">
        <v>89</v>
      </c>
      <c r="G298" s="1" t="s">
        <v>89</v>
      </c>
      <c r="H298" s="1"/>
      <c r="I298" s="1"/>
      <c r="J298" s="15">
        <v>858.0</v>
      </c>
      <c r="K298" s="1" t="s">
        <v>120</v>
      </c>
      <c r="L298" s="8">
        <v>46025.0</v>
      </c>
    </row>
    <row r="299">
      <c r="A299" s="16">
        <v>46025.54187</v>
      </c>
      <c r="B299" s="1"/>
      <c r="C299" s="1" t="s">
        <v>76</v>
      </c>
      <c r="D299" s="1" t="s">
        <v>76</v>
      </c>
      <c r="E299" s="1" t="s">
        <v>88</v>
      </c>
      <c r="F299" s="1" t="s">
        <v>78</v>
      </c>
      <c r="G299" s="1" t="s">
        <v>78</v>
      </c>
      <c r="H299" s="1"/>
      <c r="I299" s="1"/>
      <c r="J299" s="15">
        <v>1845.0</v>
      </c>
      <c r="K299" s="1" t="s">
        <v>90</v>
      </c>
      <c r="L299" s="8">
        <v>46025.0</v>
      </c>
    </row>
    <row r="300">
      <c r="A300" s="16">
        <v>46025.54193334491</v>
      </c>
      <c r="B300" s="1"/>
      <c r="C300" s="1"/>
      <c r="D300" s="1" t="s">
        <v>76</v>
      </c>
      <c r="E300" s="1" t="s">
        <v>77</v>
      </c>
      <c r="F300" s="1" t="s">
        <v>78</v>
      </c>
      <c r="G300" s="1" t="s">
        <v>79</v>
      </c>
      <c r="H300" s="1"/>
      <c r="I300" s="1"/>
      <c r="J300" s="15"/>
      <c r="K300" s="1" t="s">
        <v>80</v>
      </c>
      <c r="L300" s="8">
        <v>46025.0</v>
      </c>
    </row>
    <row r="301">
      <c r="A301" s="16">
        <v>46025.54193685185</v>
      </c>
      <c r="B301" s="1" t="s">
        <v>45</v>
      </c>
      <c r="C301" s="1" t="s">
        <v>81</v>
      </c>
      <c r="D301" s="1" t="s">
        <v>82</v>
      </c>
      <c r="E301" s="1" t="s">
        <v>94</v>
      </c>
      <c r="F301" s="1" t="s">
        <v>84</v>
      </c>
      <c r="G301" s="1" t="s">
        <v>85</v>
      </c>
      <c r="H301" s="1"/>
      <c r="I301" s="1" t="s">
        <v>217</v>
      </c>
      <c r="J301" s="15"/>
      <c r="K301" s="1" t="s">
        <v>218</v>
      </c>
      <c r="L301" s="8">
        <v>46025.0</v>
      </c>
    </row>
    <row r="302">
      <c r="A302" s="16">
        <v>46025.542016875</v>
      </c>
      <c r="B302" s="1"/>
      <c r="C302" s="1" t="s">
        <v>76</v>
      </c>
      <c r="D302" s="1" t="s">
        <v>76</v>
      </c>
      <c r="E302" s="1" t="s">
        <v>88</v>
      </c>
      <c r="F302" s="1" t="s">
        <v>89</v>
      </c>
      <c r="G302" s="1" t="s">
        <v>89</v>
      </c>
      <c r="H302" s="1"/>
      <c r="I302" s="1"/>
      <c r="J302" s="15">
        <v>6848.0</v>
      </c>
      <c r="K302" s="1" t="s">
        <v>97</v>
      </c>
      <c r="L302" s="8">
        <v>46025.0</v>
      </c>
    </row>
    <row r="303">
      <c r="A303" s="16">
        <v>46025.542020266206</v>
      </c>
      <c r="B303" s="1"/>
      <c r="C303" s="1" t="s">
        <v>76</v>
      </c>
      <c r="D303" s="1" t="s">
        <v>76</v>
      </c>
      <c r="E303" s="1" t="s">
        <v>88</v>
      </c>
      <c r="F303" s="1" t="s">
        <v>78</v>
      </c>
      <c r="G303" s="1" t="s">
        <v>78</v>
      </c>
      <c r="H303" s="1"/>
      <c r="I303" s="1"/>
      <c r="J303" s="15">
        <v>7851.0</v>
      </c>
      <c r="K303" s="1" t="s">
        <v>90</v>
      </c>
      <c r="L303" s="8">
        <v>46025.0</v>
      </c>
    </row>
    <row r="304">
      <c r="A304" s="16">
        <v>46025.542131168986</v>
      </c>
      <c r="B304" s="1"/>
      <c r="C304" s="1"/>
      <c r="D304" s="1" t="s">
        <v>76</v>
      </c>
      <c r="E304" s="1" t="s">
        <v>77</v>
      </c>
      <c r="F304" s="1" t="s">
        <v>78</v>
      </c>
      <c r="G304" s="1" t="s">
        <v>79</v>
      </c>
      <c r="H304" s="1"/>
      <c r="I304" s="1"/>
      <c r="J304" s="15"/>
      <c r="K304" s="1" t="s">
        <v>80</v>
      </c>
      <c r="L304" s="8">
        <v>46025.0</v>
      </c>
    </row>
    <row r="305">
      <c r="A305" s="16">
        <v>46025.54217865741</v>
      </c>
      <c r="B305" s="1" t="s">
        <v>45</v>
      </c>
      <c r="C305" s="1" t="s">
        <v>81</v>
      </c>
      <c r="D305" s="1" t="s">
        <v>82</v>
      </c>
      <c r="E305" s="1" t="s">
        <v>126</v>
      </c>
      <c r="F305" s="1" t="s">
        <v>84</v>
      </c>
      <c r="G305" s="1" t="s">
        <v>85</v>
      </c>
      <c r="H305" s="1"/>
      <c r="I305" s="1" t="s">
        <v>219</v>
      </c>
      <c r="J305" s="15"/>
      <c r="K305" s="1" t="s">
        <v>220</v>
      </c>
      <c r="L305" s="8">
        <v>46025.0</v>
      </c>
    </row>
    <row r="306">
      <c r="A306" s="16">
        <v>46025.542202083336</v>
      </c>
      <c r="B306" s="1"/>
      <c r="C306" s="1" t="s">
        <v>76</v>
      </c>
      <c r="D306" s="1" t="s">
        <v>76</v>
      </c>
      <c r="E306" s="1" t="s">
        <v>88</v>
      </c>
      <c r="F306" s="1" t="s">
        <v>89</v>
      </c>
      <c r="G306" s="1" t="s">
        <v>89</v>
      </c>
      <c r="H306" s="1"/>
      <c r="I306" s="1"/>
      <c r="J306" s="15">
        <v>5778.0</v>
      </c>
      <c r="K306" s="1" t="s">
        <v>129</v>
      </c>
      <c r="L306" s="8">
        <v>46025.0</v>
      </c>
    </row>
    <row r="307">
      <c r="A307" s="16">
        <v>46025.542206157406</v>
      </c>
      <c r="B307" s="1"/>
      <c r="C307" s="1" t="s">
        <v>76</v>
      </c>
      <c r="D307" s="1" t="s">
        <v>76</v>
      </c>
      <c r="E307" s="1" t="s">
        <v>88</v>
      </c>
      <c r="F307" s="1" t="s">
        <v>78</v>
      </c>
      <c r="G307" s="1" t="s">
        <v>78</v>
      </c>
      <c r="H307" s="1"/>
      <c r="I307" s="1"/>
      <c r="J307" s="15">
        <v>6581.0</v>
      </c>
      <c r="K307" s="1" t="s">
        <v>90</v>
      </c>
      <c r="L307" s="8">
        <v>46025.0</v>
      </c>
    </row>
    <row r="308">
      <c r="A308" s="16">
        <v>46025.54256263889</v>
      </c>
      <c r="B308" s="1"/>
      <c r="C308" s="1"/>
      <c r="D308" s="1" t="s">
        <v>76</v>
      </c>
      <c r="E308" s="1" t="s">
        <v>77</v>
      </c>
      <c r="F308" s="1" t="s">
        <v>78</v>
      </c>
      <c r="G308" s="1" t="s">
        <v>79</v>
      </c>
      <c r="H308" s="1"/>
      <c r="I308" s="1"/>
      <c r="J308" s="15"/>
      <c r="K308" s="1" t="s">
        <v>80</v>
      </c>
      <c r="L308" s="8">
        <v>46025.0</v>
      </c>
    </row>
    <row r="309">
      <c r="A309" s="16">
        <v>46025.542567638884</v>
      </c>
      <c r="B309" s="1" t="s">
        <v>45</v>
      </c>
      <c r="C309" s="1" t="s">
        <v>81</v>
      </c>
      <c r="D309" s="1" t="s">
        <v>82</v>
      </c>
      <c r="E309" s="1" t="s">
        <v>83</v>
      </c>
      <c r="F309" s="1" t="s">
        <v>84</v>
      </c>
      <c r="G309" s="1" t="s">
        <v>85</v>
      </c>
      <c r="H309" s="1"/>
      <c r="I309" s="1" t="s">
        <v>86</v>
      </c>
      <c r="J309" s="15"/>
      <c r="K309" s="1" t="s">
        <v>87</v>
      </c>
      <c r="L309" s="8">
        <v>46025.0</v>
      </c>
    </row>
    <row r="310">
      <c r="A310" s="16">
        <v>46025.54257622686</v>
      </c>
      <c r="B310" s="1"/>
      <c r="C310" s="1" t="s">
        <v>76</v>
      </c>
      <c r="D310" s="1" t="s">
        <v>76</v>
      </c>
      <c r="E310" s="1" t="s">
        <v>88</v>
      </c>
      <c r="F310" s="1" t="s">
        <v>89</v>
      </c>
      <c r="G310" s="1" t="s">
        <v>89</v>
      </c>
      <c r="H310" s="1"/>
      <c r="I310" s="1"/>
      <c r="J310" s="15">
        <v>758.0</v>
      </c>
      <c r="K310" s="1" t="s">
        <v>87</v>
      </c>
      <c r="L310" s="8">
        <v>46025.0</v>
      </c>
    </row>
    <row r="311">
      <c r="A311" s="16">
        <v>46025.542580775465</v>
      </c>
      <c r="B311" s="1"/>
      <c r="C311" s="1" t="s">
        <v>76</v>
      </c>
      <c r="D311" s="1" t="s">
        <v>76</v>
      </c>
      <c r="E311" s="1" t="s">
        <v>88</v>
      </c>
      <c r="F311" s="1" t="s">
        <v>78</v>
      </c>
      <c r="G311" s="1" t="s">
        <v>78</v>
      </c>
      <c r="H311" s="1"/>
      <c r="I311" s="1"/>
      <c r="J311" s="15">
        <v>1730.0</v>
      </c>
      <c r="K311" s="1" t="s">
        <v>90</v>
      </c>
      <c r="L311" s="8">
        <v>46025.0</v>
      </c>
    </row>
    <row r="312">
      <c r="A312" s="16">
        <v>46025.542657048616</v>
      </c>
      <c r="B312" s="1"/>
      <c r="C312" s="1"/>
      <c r="D312" s="1" t="s">
        <v>76</v>
      </c>
      <c r="E312" s="1" t="s">
        <v>77</v>
      </c>
      <c r="F312" s="1" t="s">
        <v>78</v>
      </c>
      <c r="G312" s="1" t="s">
        <v>79</v>
      </c>
      <c r="H312" s="1"/>
      <c r="I312" s="1"/>
      <c r="J312" s="15"/>
      <c r="K312" s="1" t="s">
        <v>80</v>
      </c>
      <c r="L312" s="8">
        <v>46025.0</v>
      </c>
    </row>
    <row r="313">
      <c r="A313" s="16">
        <v>46025.542659618055</v>
      </c>
      <c r="B313" s="1" t="s">
        <v>45</v>
      </c>
      <c r="C313" s="1" t="s">
        <v>81</v>
      </c>
      <c r="D313" s="1" t="s">
        <v>82</v>
      </c>
      <c r="E313" s="1" t="s">
        <v>91</v>
      </c>
      <c r="F313" s="1" t="s">
        <v>84</v>
      </c>
      <c r="G313" s="1" t="s">
        <v>85</v>
      </c>
      <c r="H313" s="1"/>
      <c r="I313" s="1" t="s">
        <v>92</v>
      </c>
      <c r="J313" s="15"/>
      <c r="K313" s="1" t="s">
        <v>93</v>
      </c>
      <c r="L313" s="8">
        <v>46025.0</v>
      </c>
    </row>
    <row r="314">
      <c r="A314" s="16">
        <v>46025.54266582176</v>
      </c>
      <c r="B314" s="1"/>
      <c r="C314" s="1" t="s">
        <v>76</v>
      </c>
      <c r="D314" s="1" t="s">
        <v>76</v>
      </c>
      <c r="E314" s="1" t="s">
        <v>88</v>
      </c>
      <c r="F314" s="1" t="s">
        <v>89</v>
      </c>
      <c r="G314" s="1" t="s">
        <v>89</v>
      </c>
      <c r="H314" s="1"/>
      <c r="I314" s="1"/>
      <c r="J314" s="15">
        <v>505.0</v>
      </c>
      <c r="K314" s="1" t="s">
        <v>93</v>
      </c>
      <c r="L314" s="8">
        <v>46025.0</v>
      </c>
    </row>
    <row r="315">
      <c r="A315" s="16">
        <v>46025.54266885416</v>
      </c>
      <c r="B315" s="1"/>
      <c r="C315" s="1" t="s">
        <v>76</v>
      </c>
      <c r="D315" s="1" t="s">
        <v>76</v>
      </c>
      <c r="E315" s="1" t="s">
        <v>88</v>
      </c>
      <c r="F315" s="1" t="s">
        <v>78</v>
      </c>
      <c r="G315" s="1" t="s">
        <v>78</v>
      </c>
      <c r="H315" s="1"/>
      <c r="I315" s="1"/>
      <c r="J315" s="15">
        <v>1037.0</v>
      </c>
      <c r="K315" s="1" t="s">
        <v>90</v>
      </c>
      <c r="L315" s="8">
        <v>46025.0</v>
      </c>
    </row>
    <row r="316">
      <c r="A316" s="16">
        <v>46025.54272320602</v>
      </c>
      <c r="B316" s="1"/>
      <c r="C316" s="1"/>
      <c r="D316" s="1" t="s">
        <v>76</v>
      </c>
      <c r="E316" s="1" t="s">
        <v>77</v>
      </c>
      <c r="F316" s="1" t="s">
        <v>78</v>
      </c>
      <c r="G316" s="1" t="s">
        <v>79</v>
      </c>
      <c r="H316" s="1"/>
      <c r="I316" s="1"/>
      <c r="J316" s="15"/>
      <c r="K316" s="1" t="s">
        <v>80</v>
      </c>
      <c r="L316" s="8">
        <v>46025.0</v>
      </c>
    </row>
    <row r="317">
      <c r="A317" s="16">
        <v>46025.54272760417</v>
      </c>
      <c r="B317" s="1" t="s">
        <v>45</v>
      </c>
      <c r="C317" s="1" t="s">
        <v>81</v>
      </c>
      <c r="D317" s="1" t="s">
        <v>82</v>
      </c>
      <c r="E317" s="1" t="s">
        <v>94</v>
      </c>
      <c r="F317" s="1" t="s">
        <v>84</v>
      </c>
      <c r="G317" s="1" t="s">
        <v>85</v>
      </c>
      <c r="H317" s="1"/>
      <c r="I317" s="1" t="s">
        <v>221</v>
      </c>
      <c r="J317" s="15"/>
      <c r="K317" s="1" t="s">
        <v>222</v>
      </c>
      <c r="L317" s="8">
        <v>46025.0</v>
      </c>
    </row>
    <row r="318">
      <c r="A318" s="16">
        <v>46025.542815567125</v>
      </c>
      <c r="B318" s="1"/>
      <c r="C318" s="1" t="s">
        <v>76</v>
      </c>
      <c r="D318" s="1" t="s">
        <v>76</v>
      </c>
      <c r="E318" s="1" t="s">
        <v>88</v>
      </c>
      <c r="F318" s="1" t="s">
        <v>89</v>
      </c>
      <c r="G318" s="1" t="s">
        <v>89</v>
      </c>
      <c r="H318" s="1"/>
      <c r="I318" s="1"/>
      <c r="J318" s="15">
        <v>7537.0</v>
      </c>
      <c r="K318" s="1" t="s">
        <v>97</v>
      </c>
      <c r="L318" s="8">
        <v>46025.0</v>
      </c>
    </row>
    <row r="319">
      <c r="A319" s="16">
        <v>46025.54282004629</v>
      </c>
      <c r="B319" s="1"/>
      <c r="C319" s="1" t="s">
        <v>76</v>
      </c>
      <c r="D319" s="1" t="s">
        <v>76</v>
      </c>
      <c r="E319" s="1" t="s">
        <v>88</v>
      </c>
      <c r="F319" s="1" t="s">
        <v>78</v>
      </c>
      <c r="G319" s="1" t="s">
        <v>78</v>
      </c>
      <c r="H319" s="1"/>
      <c r="I319" s="1"/>
      <c r="J319" s="15">
        <v>8457.0</v>
      </c>
      <c r="K319" s="1" t="s">
        <v>90</v>
      </c>
      <c r="L319" s="8">
        <v>46025.0</v>
      </c>
    </row>
    <row r="320">
      <c r="A320" s="16">
        <v>46025.543212476856</v>
      </c>
      <c r="B320" s="1"/>
      <c r="C320" s="1"/>
      <c r="D320" s="1" t="s">
        <v>76</v>
      </c>
      <c r="E320" s="1" t="s">
        <v>77</v>
      </c>
      <c r="F320" s="1" t="s">
        <v>78</v>
      </c>
      <c r="G320" s="1" t="s">
        <v>79</v>
      </c>
      <c r="H320" s="1"/>
      <c r="I320" s="1"/>
      <c r="J320" s="15"/>
      <c r="K320" s="1" t="s">
        <v>80</v>
      </c>
      <c r="L320" s="8">
        <v>46025.0</v>
      </c>
    </row>
    <row r="321">
      <c r="A321" s="16">
        <v>46025.543217314815</v>
      </c>
      <c r="B321" s="1" t="s">
        <v>45</v>
      </c>
      <c r="C321" s="1" t="s">
        <v>81</v>
      </c>
      <c r="D321" s="1" t="s">
        <v>82</v>
      </c>
      <c r="E321" s="1" t="s">
        <v>83</v>
      </c>
      <c r="F321" s="1" t="s">
        <v>84</v>
      </c>
      <c r="G321" s="1" t="s">
        <v>85</v>
      </c>
      <c r="H321" s="1"/>
      <c r="I321" s="1" t="s">
        <v>86</v>
      </c>
      <c r="J321" s="15"/>
      <c r="K321" s="1" t="s">
        <v>87</v>
      </c>
      <c r="L321" s="8">
        <v>46025.0</v>
      </c>
    </row>
    <row r="322">
      <c r="A322" s="16">
        <v>46025.543225092595</v>
      </c>
      <c r="B322" s="1"/>
      <c r="C322" s="1" t="s">
        <v>76</v>
      </c>
      <c r="D322" s="1" t="s">
        <v>76</v>
      </c>
      <c r="E322" s="1" t="s">
        <v>88</v>
      </c>
      <c r="F322" s="1" t="s">
        <v>89</v>
      </c>
      <c r="G322" s="1" t="s">
        <v>89</v>
      </c>
      <c r="H322" s="1"/>
      <c r="I322" s="1"/>
      <c r="J322" s="15">
        <v>678.0</v>
      </c>
      <c r="K322" s="1" t="s">
        <v>87</v>
      </c>
      <c r="L322" s="8">
        <v>46025.0</v>
      </c>
    </row>
    <row r="323">
      <c r="A323" s="16">
        <v>46025.54322960648</v>
      </c>
      <c r="B323" s="1"/>
      <c r="C323" s="1" t="s">
        <v>76</v>
      </c>
      <c r="D323" s="1" t="s">
        <v>76</v>
      </c>
      <c r="E323" s="1" t="s">
        <v>88</v>
      </c>
      <c r="F323" s="1" t="s">
        <v>78</v>
      </c>
      <c r="G323" s="1" t="s">
        <v>78</v>
      </c>
      <c r="H323" s="1"/>
      <c r="I323" s="1"/>
      <c r="J323" s="15">
        <v>1578.0</v>
      </c>
      <c r="K323" s="1" t="s">
        <v>90</v>
      </c>
      <c r="L323" s="8">
        <v>46025.0</v>
      </c>
    </row>
    <row r="324">
      <c r="A324" s="16">
        <v>46025.54328211806</v>
      </c>
      <c r="B324" s="1"/>
      <c r="C324" s="1"/>
      <c r="D324" s="1" t="s">
        <v>76</v>
      </c>
      <c r="E324" s="1" t="s">
        <v>77</v>
      </c>
      <c r="F324" s="1" t="s">
        <v>78</v>
      </c>
      <c r="G324" s="1" t="s">
        <v>79</v>
      </c>
      <c r="H324" s="1"/>
      <c r="I324" s="1"/>
      <c r="J324" s="15"/>
      <c r="K324" s="1" t="s">
        <v>80</v>
      </c>
      <c r="L324" s="8">
        <v>46025.0</v>
      </c>
    </row>
    <row r="325">
      <c r="A325" s="16">
        <v>46025.54328614583</v>
      </c>
      <c r="B325" s="1" t="s">
        <v>45</v>
      </c>
      <c r="C325" s="1" t="s">
        <v>81</v>
      </c>
      <c r="D325" s="1" t="s">
        <v>82</v>
      </c>
      <c r="E325" s="1" t="s">
        <v>117</v>
      </c>
      <c r="F325" s="1" t="s">
        <v>84</v>
      </c>
      <c r="G325" s="1" t="s">
        <v>85</v>
      </c>
      <c r="H325" s="1"/>
      <c r="I325" s="1" t="s">
        <v>213</v>
      </c>
      <c r="J325" s="15"/>
      <c r="K325" s="1" t="s">
        <v>214</v>
      </c>
      <c r="L325" s="8">
        <v>46025.0</v>
      </c>
    </row>
    <row r="326">
      <c r="A326" s="16">
        <v>46025.54329641204</v>
      </c>
      <c r="B326" s="1"/>
      <c r="C326" s="1" t="s">
        <v>76</v>
      </c>
      <c r="D326" s="1" t="s">
        <v>76</v>
      </c>
      <c r="E326" s="1" t="s">
        <v>88</v>
      </c>
      <c r="F326" s="1" t="s">
        <v>89</v>
      </c>
      <c r="G326" s="1" t="s">
        <v>89</v>
      </c>
      <c r="H326" s="1"/>
      <c r="I326" s="1"/>
      <c r="J326" s="15">
        <v>892.0</v>
      </c>
      <c r="K326" s="1" t="s">
        <v>120</v>
      </c>
      <c r="L326" s="8">
        <v>46025.0</v>
      </c>
    </row>
    <row r="327">
      <c r="A327" s="16">
        <v>46025.54330020833</v>
      </c>
      <c r="B327" s="1"/>
      <c r="C327" s="1" t="s">
        <v>76</v>
      </c>
      <c r="D327" s="1" t="s">
        <v>76</v>
      </c>
      <c r="E327" s="1" t="s">
        <v>88</v>
      </c>
      <c r="F327" s="1" t="s">
        <v>78</v>
      </c>
      <c r="G327" s="1" t="s">
        <v>78</v>
      </c>
      <c r="H327" s="1"/>
      <c r="I327" s="1"/>
      <c r="J327" s="15">
        <v>1692.0</v>
      </c>
      <c r="K327" s="1" t="s">
        <v>90</v>
      </c>
      <c r="L327" s="8">
        <v>46025.0</v>
      </c>
    </row>
    <row r="328">
      <c r="A328" s="16">
        <v>46025.54333775463</v>
      </c>
      <c r="B328" s="1"/>
      <c r="C328" s="1"/>
      <c r="D328" s="1" t="s">
        <v>76</v>
      </c>
      <c r="E328" s="1" t="s">
        <v>77</v>
      </c>
      <c r="F328" s="1" t="s">
        <v>78</v>
      </c>
      <c r="G328" s="1" t="s">
        <v>79</v>
      </c>
      <c r="H328" s="1"/>
      <c r="I328" s="1"/>
      <c r="J328" s="15"/>
      <c r="K328" s="1" t="s">
        <v>80</v>
      </c>
      <c r="L328" s="8">
        <v>46025.0</v>
      </c>
    </row>
    <row r="329">
      <c r="A329" s="16">
        <v>46025.54334178241</v>
      </c>
      <c r="B329" s="1" t="s">
        <v>45</v>
      </c>
      <c r="C329" s="1" t="s">
        <v>81</v>
      </c>
      <c r="D329" s="1" t="s">
        <v>82</v>
      </c>
      <c r="E329" s="1" t="s">
        <v>94</v>
      </c>
      <c r="F329" s="1" t="s">
        <v>84</v>
      </c>
      <c r="G329" s="1" t="s">
        <v>85</v>
      </c>
      <c r="H329" s="1"/>
      <c r="I329" s="1" t="s">
        <v>223</v>
      </c>
      <c r="J329" s="15"/>
      <c r="K329" s="1" t="s">
        <v>224</v>
      </c>
      <c r="L329" s="8">
        <v>46025.0</v>
      </c>
    </row>
    <row r="330">
      <c r="A330" s="16">
        <v>46025.543411018516</v>
      </c>
      <c r="B330" s="1"/>
      <c r="C330" s="1" t="s">
        <v>76</v>
      </c>
      <c r="D330" s="1" t="s">
        <v>76</v>
      </c>
      <c r="E330" s="1" t="s">
        <v>88</v>
      </c>
      <c r="F330" s="1" t="s">
        <v>89</v>
      </c>
      <c r="G330" s="1" t="s">
        <v>89</v>
      </c>
      <c r="H330" s="1"/>
      <c r="I330" s="1"/>
      <c r="J330" s="15">
        <v>5228.0</v>
      </c>
      <c r="K330" s="1" t="s">
        <v>97</v>
      </c>
      <c r="L330" s="8">
        <v>46025.0</v>
      </c>
    </row>
    <row r="331">
      <c r="A331" s="16">
        <v>46025.54341515046</v>
      </c>
      <c r="B331" s="1"/>
      <c r="C331" s="1" t="s">
        <v>76</v>
      </c>
      <c r="D331" s="1" t="s">
        <v>76</v>
      </c>
      <c r="E331" s="1" t="s">
        <v>88</v>
      </c>
      <c r="F331" s="1" t="s">
        <v>78</v>
      </c>
      <c r="G331" s="1" t="s">
        <v>78</v>
      </c>
      <c r="H331" s="1"/>
      <c r="I331" s="1"/>
      <c r="J331" s="15">
        <v>6789.0</v>
      </c>
      <c r="K331" s="1" t="s">
        <v>90</v>
      </c>
      <c r="L331" s="8">
        <v>46025.0</v>
      </c>
    </row>
    <row r="332">
      <c r="A332" s="16">
        <v>46025.54372729167</v>
      </c>
      <c r="B332" s="1"/>
      <c r="C332" s="1"/>
      <c r="D332" s="1" t="s">
        <v>76</v>
      </c>
      <c r="E332" s="1" t="s">
        <v>77</v>
      </c>
      <c r="F332" s="1" t="s">
        <v>78</v>
      </c>
      <c r="G332" s="1" t="s">
        <v>79</v>
      </c>
      <c r="H332" s="1"/>
      <c r="I332" s="1"/>
      <c r="J332" s="15"/>
      <c r="K332" s="1" t="s">
        <v>80</v>
      </c>
      <c r="L332" s="8">
        <v>46025.0</v>
      </c>
    </row>
    <row r="333">
      <c r="A333" s="16">
        <v>46025.54373042824</v>
      </c>
      <c r="B333" s="1" t="s">
        <v>45</v>
      </c>
      <c r="C333" s="1" t="s">
        <v>81</v>
      </c>
      <c r="D333" s="1" t="s">
        <v>99</v>
      </c>
      <c r="E333" s="1" t="s">
        <v>107</v>
      </c>
      <c r="F333" s="1" t="s">
        <v>108</v>
      </c>
      <c r="G333" s="1" t="s">
        <v>109</v>
      </c>
      <c r="H333" s="1" t="s">
        <v>110</v>
      </c>
      <c r="I333" s="1"/>
      <c r="J333" s="15"/>
      <c r="K333" s="1"/>
      <c r="L333" s="8">
        <v>46025.0</v>
      </c>
    </row>
    <row r="334">
      <c r="A334" s="16">
        <v>46025.5437412037</v>
      </c>
      <c r="B334" s="1"/>
      <c r="C334" s="1" t="s">
        <v>76</v>
      </c>
      <c r="D334" s="1" t="s">
        <v>76</v>
      </c>
      <c r="E334" s="1" t="s">
        <v>88</v>
      </c>
      <c r="F334" s="1" t="s">
        <v>104</v>
      </c>
      <c r="G334" s="1" t="s">
        <v>104</v>
      </c>
      <c r="H334" s="1"/>
      <c r="I334" s="1"/>
      <c r="J334" s="15">
        <v>901.0</v>
      </c>
      <c r="K334" s="1" t="s">
        <v>111</v>
      </c>
      <c r="L334" s="8">
        <v>46025.0</v>
      </c>
    </row>
    <row r="335">
      <c r="A335" s="16">
        <v>46025.54374446759</v>
      </c>
      <c r="B335" s="1"/>
      <c r="C335" s="1" t="s">
        <v>76</v>
      </c>
      <c r="D335" s="1" t="s">
        <v>76</v>
      </c>
      <c r="E335" s="1" t="s">
        <v>88</v>
      </c>
      <c r="F335" s="1" t="s">
        <v>78</v>
      </c>
      <c r="G335" s="1" t="s">
        <v>78</v>
      </c>
      <c r="H335" s="1"/>
      <c r="I335" s="1"/>
      <c r="J335" s="15">
        <v>1561.0</v>
      </c>
      <c r="K335" s="1" t="s">
        <v>90</v>
      </c>
      <c r="L335" s="8">
        <v>46025.0</v>
      </c>
    </row>
    <row r="336">
      <c r="A336" s="16">
        <v>46025.54378965277</v>
      </c>
      <c r="B336" s="1"/>
      <c r="C336" s="1"/>
      <c r="D336" s="1" t="s">
        <v>76</v>
      </c>
      <c r="E336" s="1" t="s">
        <v>77</v>
      </c>
      <c r="F336" s="1" t="s">
        <v>78</v>
      </c>
      <c r="G336" s="1" t="s">
        <v>79</v>
      </c>
      <c r="H336" s="1"/>
      <c r="I336" s="1"/>
      <c r="J336" s="15"/>
      <c r="K336" s="1" t="s">
        <v>80</v>
      </c>
      <c r="L336" s="8">
        <v>46025.0</v>
      </c>
    </row>
    <row r="337">
      <c r="A337" s="16">
        <v>46025.54379304398</v>
      </c>
      <c r="B337" s="1" t="s">
        <v>45</v>
      </c>
      <c r="C337" s="1" t="s">
        <v>81</v>
      </c>
      <c r="D337" s="1" t="s">
        <v>82</v>
      </c>
      <c r="E337" s="1" t="s">
        <v>112</v>
      </c>
      <c r="F337" s="1" t="s">
        <v>84</v>
      </c>
      <c r="G337" s="1" t="s">
        <v>85</v>
      </c>
      <c r="H337" s="1"/>
      <c r="I337" s="1" t="s">
        <v>151</v>
      </c>
      <c r="J337" s="15"/>
      <c r="K337" s="1" t="s">
        <v>152</v>
      </c>
      <c r="L337" s="8">
        <v>46025.0</v>
      </c>
    </row>
    <row r="338">
      <c r="A338" s="16">
        <v>46025.54379685185</v>
      </c>
      <c r="B338" s="1" t="s">
        <v>45</v>
      </c>
      <c r="C338" s="1" t="s">
        <v>81</v>
      </c>
      <c r="D338" s="1" t="s">
        <v>82</v>
      </c>
      <c r="E338" s="1" t="s">
        <v>112</v>
      </c>
      <c r="F338" s="1" t="s">
        <v>108</v>
      </c>
      <c r="G338" s="1" t="s">
        <v>153</v>
      </c>
      <c r="H338" s="1"/>
      <c r="I338" s="1" t="s">
        <v>151</v>
      </c>
      <c r="J338" s="15"/>
      <c r="K338" s="1" t="s">
        <v>152</v>
      </c>
      <c r="L338" s="8">
        <v>46025.0</v>
      </c>
    </row>
    <row r="339">
      <c r="A339" s="16">
        <v>46025.543807071765</v>
      </c>
      <c r="B339" s="1"/>
      <c r="C339" s="1" t="s">
        <v>76</v>
      </c>
      <c r="D339" s="1" t="s">
        <v>76</v>
      </c>
      <c r="E339" s="1" t="s">
        <v>88</v>
      </c>
      <c r="F339" s="1" t="s">
        <v>89</v>
      </c>
      <c r="G339" s="1" t="s">
        <v>89</v>
      </c>
      <c r="H339" s="1"/>
      <c r="I339" s="1"/>
      <c r="J339" s="15">
        <v>1233.0</v>
      </c>
      <c r="K339" s="1" t="s">
        <v>116</v>
      </c>
      <c r="L339" s="8">
        <v>46025.0</v>
      </c>
    </row>
    <row r="340">
      <c r="A340" s="16">
        <v>46025.543810567135</v>
      </c>
      <c r="B340" s="1"/>
      <c r="C340" s="1" t="s">
        <v>76</v>
      </c>
      <c r="D340" s="1" t="s">
        <v>76</v>
      </c>
      <c r="E340" s="1" t="s">
        <v>88</v>
      </c>
      <c r="F340" s="1" t="s">
        <v>78</v>
      </c>
      <c r="G340" s="1" t="s">
        <v>78</v>
      </c>
      <c r="H340" s="1"/>
      <c r="I340" s="1"/>
      <c r="J340" s="15">
        <v>1877.0</v>
      </c>
      <c r="K340" s="1" t="s">
        <v>90</v>
      </c>
      <c r="L340" s="8">
        <v>46025.0</v>
      </c>
    </row>
    <row r="341">
      <c r="A341" s="16">
        <v>46025.54384230324</v>
      </c>
      <c r="B341" s="1"/>
      <c r="C341" s="1"/>
      <c r="D341" s="1" t="s">
        <v>76</v>
      </c>
      <c r="E341" s="1" t="s">
        <v>77</v>
      </c>
      <c r="F341" s="1" t="s">
        <v>78</v>
      </c>
      <c r="G341" s="1" t="s">
        <v>79</v>
      </c>
      <c r="H341" s="1"/>
      <c r="I341" s="1"/>
      <c r="J341" s="15"/>
      <c r="K341" s="1" t="s">
        <v>80</v>
      </c>
      <c r="L341" s="8">
        <v>46025.0</v>
      </c>
    </row>
    <row r="342">
      <c r="A342" s="16">
        <v>46025.543845821754</v>
      </c>
      <c r="B342" s="1" t="s">
        <v>45</v>
      </c>
      <c r="C342" s="1" t="s">
        <v>81</v>
      </c>
      <c r="D342" s="1" t="s">
        <v>82</v>
      </c>
      <c r="E342" s="1" t="s">
        <v>154</v>
      </c>
      <c r="F342" s="1" t="s">
        <v>84</v>
      </c>
      <c r="G342" s="1" t="s">
        <v>85</v>
      </c>
      <c r="H342" s="1"/>
      <c r="I342" s="1" t="s">
        <v>155</v>
      </c>
      <c r="J342" s="15"/>
      <c r="K342" s="1" t="s">
        <v>156</v>
      </c>
      <c r="L342" s="8">
        <v>46025.0</v>
      </c>
    </row>
    <row r="343">
      <c r="A343" s="16">
        <v>46025.5438487037</v>
      </c>
      <c r="B343" s="1" t="s">
        <v>45</v>
      </c>
      <c r="C343" s="1" t="s">
        <v>81</v>
      </c>
      <c r="D343" s="1" t="s">
        <v>82</v>
      </c>
      <c r="E343" s="1" t="s">
        <v>157</v>
      </c>
      <c r="F343" s="1" t="s">
        <v>158</v>
      </c>
      <c r="G343" s="1" t="s">
        <v>159</v>
      </c>
      <c r="H343" s="1"/>
      <c r="I343" s="1" t="s">
        <v>155</v>
      </c>
      <c r="J343" s="15"/>
      <c r="K343" s="1" t="s">
        <v>225</v>
      </c>
      <c r="L343" s="8">
        <v>46025.0</v>
      </c>
    </row>
    <row r="344">
      <c r="A344" s="16">
        <v>46025.543876979165</v>
      </c>
      <c r="B344" s="1"/>
      <c r="C344" s="1" t="s">
        <v>76</v>
      </c>
      <c r="D344" s="1" t="s">
        <v>76</v>
      </c>
      <c r="E344" s="1" t="s">
        <v>88</v>
      </c>
      <c r="F344" s="1" t="s">
        <v>161</v>
      </c>
      <c r="G344" s="1" t="s">
        <v>161</v>
      </c>
      <c r="H344" s="1"/>
      <c r="I344" s="1"/>
      <c r="J344" s="15">
        <v>2422.0</v>
      </c>
      <c r="K344" s="1" t="s">
        <v>226</v>
      </c>
      <c r="L344" s="8">
        <v>46025.0</v>
      </c>
    </row>
    <row r="345">
      <c r="A345" s="16">
        <v>46025.54388078704</v>
      </c>
      <c r="B345" s="1"/>
      <c r="C345" s="1" t="s">
        <v>76</v>
      </c>
      <c r="D345" s="1" t="s">
        <v>76</v>
      </c>
      <c r="E345" s="1" t="s">
        <v>88</v>
      </c>
      <c r="F345" s="1" t="s">
        <v>89</v>
      </c>
      <c r="G345" s="1" t="s">
        <v>89</v>
      </c>
      <c r="H345" s="1"/>
      <c r="I345" s="1"/>
      <c r="J345" s="15">
        <v>2979.0</v>
      </c>
      <c r="K345" s="1" t="s">
        <v>163</v>
      </c>
      <c r="L345" s="8">
        <v>46025.0</v>
      </c>
    </row>
    <row r="346">
      <c r="A346" s="16">
        <v>46025.54388363426</v>
      </c>
      <c r="B346" s="1"/>
      <c r="C346" s="1" t="s">
        <v>76</v>
      </c>
      <c r="D346" s="1" t="s">
        <v>76</v>
      </c>
      <c r="E346" s="1" t="s">
        <v>88</v>
      </c>
      <c r="F346" s="1" t="s">
        <v>78</v>
      </c>
      <c r="G346" s="1" t="s">
        <v>78</v>
      </c>
      <c r="H346" s="1"/>
      <c r="I346" s="1"/>
      <c r="J346" s="15">
        <v>3686.0</v>
      </c>
      <c r="K346" s="1" t="s">
        <v>90</v>
      </c>
      <c r="L346" s="8">
        <v>46025.0</v>
      </c>
    </row>
    <row r="347">
      <c r="A347" s="16">
        <v>46025.54393921296</v>
      </c>
      <c r="B347" s="1"/>
      <c r="C347" s="1"/>
      <c r="D347" s="1" t="s">
        <v>76</v>
      </c>
      <c r="E347" s="1" t="s">
        <v>77</v>
      </c>
      <c r="F347" s="1" t="s">
        <v>78</v>
      </c>
      <c r="G347" s="1" t="s">
        <v>79</v>
      </c>
      <c r="H347" s="1"/>
      <c r="I347" s="1"/>
      <c r="J347" s="15"/>
      <c r="K347" s="1" t="s">
        <v>80</v>
      </c>
      <c r="L347" s="8">
        <v>46025.0</v>
      </c>
    </row>
    <row r="348">
      <c r="A348" s="16">
        <v>46025.543943136574</v>
      </c>
      <c r="B348" s="1" t="s">
        <v>45</v>
      </c>
      <c r="C348" s="1" t="s">
        <v>81</v>
      </c>
      <c r="D348" s="1" t="s">
        <v>82</v>
      </c>
      <c r="E348" s="1" t="s">
        <v>164</v>
      </c>
      <c r="F348" s="1" t="s">
        <v>84</v>
      </c>
      <c r="G348" s="1" t="s">
        <v>85</v>
      </c>
      <c r="H348" s="1"/>
      <c r="I348" s="1" t="s">
        <v>227</v>
      </c>
      <c r="J348" s="15"/>
      <c r="K348" s="1" t="s">
        <v>228</v>
      </c>
      <c r="L348" s="8">
        <v>46025.0</v>
      </c>
    </row>
    <row r="349">
      <c r="A349" s="16">
        <v>46025.54394724537</v>
      </c>
      <c r="B349" s="1" t="s">
        <v>45</v>
      </c>
      <c r="C349" s="1" t="s">
        <v>81</v>
      </c>
      <c r="D349" s="1" t="s">
        <v>82</v>
      </c>
      <c r="E349" s="1" t="s">
        <v>167</v>
      </c>
      <c r="F349" s="1" t="s">
        <v>158</v>
      </c>
      <c r="G349" s="1" t="s">
        <v>168</v>
      </c>
      <c r="H349" s="1"/>
      <c r="I349" s="1" t="s">
        <v>227</v>
      </c>
      <c r="J349" s="15"/>
      <c r="K349" s="1" t="s">
        <v>63</v>
      </c>
      <c r="L349" s="8">
        <v>46025.0</v>
      </c>
    </row>
    <row r="350">
      <c r="A350" s="16">
        <v>46025.54397934028</v>
      </c>
      <c r="B350" s="1"/>
      <c r="C350" s="1" t="s">
        <v>76</v>
      </c>
      <c r="D350" s="1" t="s">
        <v>76</v>
      </c>
      <c r="E350" s="1" t="s">
        <v>88</v>
      </c>
      <c r="F350" s="1" t="s">
        <v>169</v>
      </c>
      <c r="G350" s="1" t="s">
        <v>169</v>
      </c>
      <c r="H350" s="1"/>
      <c r="I350" s="1"/>
      <c r="J350" s="15">
        <v>2802.0</v>
      </c>
      <c r="K350" s="1" t="s">
        <v>229</v>
      </c>
      <c r="L350" s="8">
        <v>46025.0</v>
      </c>
    </row>
    <row r="351">
      <c r="A351" s="16">
        <v>46025.54398328703</v>
      </c>
      <c r="B351" s="1"/>
      <c r="C351" s="1" t="s">
        <v>76</v>
      </c>
      <c r="D351" s="1" t="s">
        <v>76</v>
      </c>
      <c r="E351" s="1" t="s">
        <v>88</v>
      </c>
      <c r="F351" s="1" t="s">
        <v>89</v>
      </c>
      <c r="G351" s="1" t="s">
        <v>89</v>
      </c>
      <c r="H351" s="1"/>
      <c r="I351" s="1"/>
      <c r="J351" s="15">
        <v>3461.0</v>
      </c>
      <c r="K351" s="1" t="s">
        <v>171</v>
      </c>
      <c r="L351" s="8">
        <v>46025.0</v>
      </c>
    </row>
    <row r="352">
      <c r="A352" s="16">
        <v>46025.543986874996</v>
      </c>
      <c r="B352" s="1"/>
      <c r="C352" s="1" t="s">
        <v>76</v>
      </c>
      <c r="D352" s="1" t="s">
        <v>76</v>
      </c>
      <c r="E352" s="1" t="s">
        <v>88</v>
      </c>
      <c r="F352" s="1" t="s">
        <v>78</v>
      </c>
      <c r="G352" s="1" t="s">
        <v>78</v>
      </c>
      <c r="H352" s="1"/>
      <c r="I352" s="1"/>
      <c r="J352" s="15">
        <v>4617.0</v>
      </c>
      <c r="K352" s="1" t="s">
        <v>90</v>
      </c>
      <c r="L352" s="8">
        <v>46025.0</v>
      </c>
    </row>
    <row r="353">
      <c r="A353" s="16">
        <v>46025.544012314815</v>
      </c>
      <c r="B353" s="1"/>
      <c r="C353" s="1"/>
      <c r="D353" s="1" t="s">
        <v>76</v>
      </c>
      <c r="E353" s="1" t="s">
        <v>77</v>
      </c>
      <c r="F353" s="1" t="s">
        <v>78</v>
      </c>
      <c r="G353" s="1" t="s">
        <v>79</v>
      </c>
      <c r="H353" s="1"/>
      <c r="I353" s="1"/>
      <c r="J353" s="15"/>
      <c r="K353" s="1" t="s">
        <v>80</v>
      </c>
      <c r="L353" s="8">
        <v>46025.0</v>
      </c>
    </row>
    <row r="354">
      <c r="A354" s="16">
        <v>46025.54401506945</v>
      </c>
      <c r="B354" s="1" t="s">
        <v>45</v>
      </c>
      <c r="C354" s="1" t="s">
        <v>81</v>
      </c>
      <c r="D354" s="1" t="s">
        <v>82</v>
      </c>
      <c r="E354" s="1" t="s">
        <v>172</v>
      </c>
      <c r="F354" s="1" t="s">
        <v>84</v>
      </c>
      <c r="G354" s="1" t="s">
        <v>85</v>
      </c>
      <c r="H354" s="1"/>
      <c r="I354" s="1" t="s">
        <v>173</v>
      </c>
      <c r="J354" s="15"/>
      <c r="K354" s="1" t="s">
        <v>174</v>
      </c>
      <c r="L354" s="8">
        <v>46025.0</v>
      </c>
    </row>
    <row r="355">
      <c r="A355" s="16">
        <v>46025.544017939814</v>
      </c>
      <c r="B355" s="1" t="s">
        <v>45</v>
      </c>
      <c r="C355" s="1" t="s">
        <v>81</v>
      </c>
      <c r="D355" s="1" t="s">
        <v>82</v>
      </c>
      <c r="E355" s="1" t="s">
        <v>175</v>
      </c>
      <c r="F355" s="1" t="s">
        <v>158</v>
      </c>
      <c r="G355" s="1" t="s">
        <v>176</v>
      </c>
      <c r="H355" s="1"/>
      <c r="I355" s="1" t="s">
        <v>173</v>
      </c>
      <c r="J355" s="15"/>
      <c r="K355" s="1" t="s">
        <v>177</v>
      </c>
      <c r="L355" s="8">
        <v>46025.0</v>
      </c>
    </row>
    <row r="356">
      <c r="A356" s="16">
        <v>46025.54404168982</v>
      </c>
      <c r="B356" s="1"/>
      <c r="C356" s="1" t="s">
        <v>76</v>
      </c>
      <c r="D356" s="1" t="s">
        <v>76</v>
      </c>
      <c r="E356" s="1" t="s">
        <v>88</v>
      </c>
      <c r="F356" s="1" t="s">
        <v>178</v>
      </c>
      <c r="G356" s="1" t="s">
        <v>178</v>
      </c>
      <c r="H356" s="1"/>
      <c r="I356" s="1"/>
      <c r="J356" s="15">
        <v>2136.0</v>
      </c>
      <c r="K356" s="1" t="s">
        <v>179</v>
      </c>
      <c r="L356" s="8">
        <v>46025.0</v>
      </c>
    </row>
    <row r="357">
      <c r="A357" s="16">
        <v>46025.54404972222</v>
      </c>
      <c r="B357" s="1"/>
      <c r="C357" s="1" t="s">
        <v>76</v>
      </c>
      <c r="D357" s="1" t="s">
        <v>76</v>
      </c>
      <c r="E357" s="1" t="s">
        <v>88</v>
      </c>
      <c r="F357" s="1" t="s">
        <v>89</v>
      </c>
      <c r="G357" s="1" t="s">
        <v>89</v>
      </c>
      <c r="H357" s="1"/>
      <c r="I357" s="1"/>
      <c r="J357" s="15">
        <v>2975.0</v>
      </c>
      <c r="K357" s="1" t="s">
        <v>180</v>
      </c>
      <c r="L357" s="8">
        <v>46025.0</v>
      </c>
    </row>
    <row r="358">
      <c r="A358" s="16">
        <v>46025.54405314814</v>
      </c>
      <c r="B358" s="1"/>
      <c r="C358" s="1" t="s">
        <v>76</v>
      </c>
      <c r="D358" s="1" t="s">
        <v>76</v>
      </c>
      <c r="E358" s="1" t="s">
        <v>88</v>
      </c>
      <c r="F358" s="1" t="s">
        <v>78</v>
      </c>
      <c r="G358" s="1" t="s">
        <v>78</v>
      </c>
      <c r="H358" s="1"/>
      <c r="I358" s="1"/>
      <c r="J358" s="15">
        <v>3724.0</v>
      </c>
      <c r="K358" s="1" t="s">
        <v>90</v>
      </c>
      <c r="L358" s="8">
        <v>46025.0</v>
      </c>
    </row>
    <row r="359">
      <c r="A359" s="16">
        <v>46025.54408836806</v>
      </c>
      <c r="B359" s="1"/>
      <c r="C359" s="1"/>
      <c r="D359" s="1" t="s">
        <v>76</v>
      </c>
      <c r="E359" s="1" t="s">
        <v>77</v>
      </c>
      <c r="F359" s="1" t="s">
        <v>78</v>
      </c>
      <c r="G359" s="1" t="s">
        <v>79</v>
      </c>
      <c r="H359" s="1"/>
      <c r="I359" s="1"/>
      <c r="J359" s="15"/>
      <c r="K359" s="1" t="s">
        <v>80</v>
      </c>
      <c r="L359" s="8">
        <v>46025.0</v>
      </c>
    </row>
    <row r="360">
      <c r="A360" s="16">
        <v>46025.54409246528</v>
      </c>
      <c r="B360" s="1" t="s">
        <v>45</v>
      </c>
      <c r="C360" s="1" t="s">
        <v>81</v>
      </c>
      <c r="D360" s="1" t="s">
        <v>82</v>
      </c>
      <c r="E360" s="1" t="s">
        <v>181</v>
      </c>
      <c r="F360" s="1" t="s">
        <v>84</v>
      </c>
      <c r="G360" s="1" t="s">
        <v>85</v>
      </c>
      <c r="H360" s="1"/>
      <c r="I360" s="1" t="s">
        <v>199</v>
      </c>
      <c r="J360" s="15"/>
      <c r="K360" s="1" t="s">
        <v>200</v>
      </c>
      <c r="L360" s="8">
        <v>46025.0</v>
      </c>
    </row>
    <row r="361">
      <c r="A361" s="16">
        <v>46025.54409581018</v>
      </c>
      <c r="B361" s="1" t="s">
        <v>45</v>
      </c>
      <c r="C361" s="1" t="s">
        <v>81</v>
      </c>
      <c r="D361" s="1" t="s">
        <v>82</v>
      </c>
      <c r="E361" s="1" t="s">
        <v>184</v>
      </c>
      <c r="F361" s="1" t="s">
        <v>158</v>
      </c>
      <c r="G361" s="1" t="s">
        <v>185</v>
      </c>
      <c r="H361" s="1"/>
      <c r="I361" s="1" t="s">
        <v>199</v>
      </c>
      <c r="J361" s="15"/>
      <c r="K361" s="1" t="s">
        <v>61</v>
      </c>
      <c r="L361" s="8">
        <v>46025.0</v>
      </c>
    </row>
    <row r="362">
      <c r="A362" s="16">
        <v>46025.54413112269</v>
      </c>
      <c r="B362" s="1" t="s">
        <v>45</v>
      </c>
      <c r="C362" s="1" t="s">
        <v>81</v>
      </c>
      <c r="D362" s="1" t="s">
        <v>76</v>
      </c>
      <c r="E362" s="1" t="s">
        <v>186</v>
      </c>
      <c r="F362" s="1" t="s">
        <v>158</v>
      </c>
      <c r="G362" s="1" t="s">
        <v>187</v>
      </c>
      <c r="H362" s="1"/>
      <c r="I362" s="1"/>
      <c r="J362" s="15"/>
      <c r="K362" s="1" t="s">
        <v>230</v>
      </c>
      <c r="L362" s="8">
        <v>46025.0</v>
      </c>
    </row>
    <row r="363">
      <c r="A363" s="16">
        <v>46025.54413787037</v>
      </c>
      <c r="B363" s="1"/>
      <c r="C363" s="1" t="s">
        <v>76</v>
      </c>
      <c r="D363" s="1" t="s">
        <v>76</v>
      </c>
      <c r="E363" s="1" t="s">
        <v>88</v>
      </c>
      <c r="F363" s="1" t="s">
        <v>189</v>
      </c>
      <c r="G363" s="1" t="s">
        <v>189</v>
      </c>
      <c r="H363" s="1"/>
      <c r="I363" s="1"/>
      <c r="J363" s="15">
        <v>3653.0</v>
      </c>
      <c r="K363" s="1" t="s">
        <v>190</v>
      </c>
      <c r="L363" s="8">
        <v>46025.0</v>
      </c>
    </row>
    <row r="364">
      <c r="A364" s="16">
        <v>46025.54414109954</v>
      </c>
      <c r="B364" s="1"/>
      <c r="C364" s="1" t="s">
        <v>76</v>
      </c>
      <c r="D364" s="1" t="s">
        <v>76</v>
      </c>
      <c r="E364" s="1" t="s">
        <v>88</v>
      </c>
      <c r="F364" s="1" t="s">
        <v>89</v>
      </c>
      <c r="G364" s="1" t="s">
        <v>89</v>
      </c>
      <c r="H364" s="1"/>
      <c r="I364" s="1"/>
      <c r="J364" s="15">
        <v>4221.0</v>
      </c>
      <c r="K364" s="1" t="s">
        <v>191</v>
      </c>
      <c r="L364" s="8">
        <v>46025.0</v>
      </c>
    </row>
    <row r="365">
      <c r="A365" s="16">
        <v>46025.544144803236</v>
      </c>
      <c r="B365" s="1"/>
      <c r="C365" s="1" t="s">
        <v>76</v>
      </c>
      <c r="D365" s="1" t="s">
        <v>76</v>
      </c>
      <c r="E365" s="1" t="s">
        <v>88</v>
      </c>
      <c r="F365" s="1" t="s">
        <v>78</v>
      </c>
      <c r="G365" s="1" t="s">
        <v>78</v>
      </c>
      <c r="H365" s="1"/>
      <c r="I365" s="1"/>
      <c r="J365" s="15">
        <v>4930.0</v>
      </c>
      <c r="K365" s="1" t="s">
        <v>90</v>
      </c>
      <c r="L365" s="8">
        <v>46025.0</v>
      </c>
    </row>
    <row r="366">
      <c r="A366" s="16">
        <v>46026.319845833335</v>
      </c>
      <c r="B366" s="1"/>
      <c r="C366" s="1"/>
      <c r="D366" s="1" t="s">
        <v>76</v>
      </c>
      <c r="E366" s="1" t="s">
        <v>77</v>
      </c>
      <c r="F366" s="1" t="s">
        <v>78</v>
      </c>
      <c r="G366" s="1" t="s">
        <v>79</v>
      </c>
      <c r="H366" s="1"/>
      <c r="I366" s="1"/>
      <c r="J366" s="15"/>
      <c r="K366" s="1" t="s">
        <v>80</v>
      </c>
      <c r="L366" s="8">
        <v>46026.0</v>
      </c>
    </row>
    <row r="367">
      <c r="A367" s="16">
        <v>46026.31985202547</v>
      </c>
      <c r="B367" s="1" t="s">
        <v>141</v>
      </c>
      <c r="C367" s="1" t="s">
        <v>81</v>
      </c>
      <c r="D367" s="1" t="s">
        <v>99</v>
      </c>
      <c r="E367" s="1" t="s">
        <v>131</v>
      </c>
      <c r="F367" s="1" t="s">
        <v>78</v>
      </c>
      <c r="G367" s="1" t="s">
        <v>132</v>
      </c>
      <c r="H367" s="1"/>
      <c r="I367" s="1"/>
      <c r="J367" s="15"/>
      <c r="K367" s="1"/>
      <c r="L367" s="8">
        <v>46026.0</v>
      </c>
    </row>
    <row r="368">
      <c r="A368" s="16">
        <v>46026.31986364583</v>
      </c>
      <c r="B368" s="1"/>
      <c r="C368" s="1" t="s">
        <v>76</v>
      </c>
      <c r="D368" s="1" t="s">
        <v>76</v>
      </c>
      <c r="E368" s="1" t="s">
        <v>88</v>
      </c>
      <c r="F368" s="1" t="s">
        <v>78</v>
      </c>
      <c r="G368" s="1" t="s">
        <v>78</v>
      </c>
      <c r="H368" s="1"/>
      <c r="I368" s="1"/>
      <c r="J368" s="15">
        <v>2028.0</v>
      </c>
      <c r="K368" s="1" t="s">
        <v>90</v>
      </c>
      <c r="L368" s="8">
        <v>46026.0</v>
      </c>
    </row>
    <row r="369">
      <c r="A369" s="16">
        <v>46028.543958124996</v>
      </c>
      <c r="B369" s="1"/>
      <c r="C369" s="1"/>
      <c r="D369" s="1" t="s">
        <v>76</v>
      </c>
      <c r="E369" s="1" t="s">
        <v>77</v>
      </c>
      <c r="F369" s="1" t="s">
        <v>78</v>
      </c>
      <c r="G369" s="1" t="s">
        <v>79</v>
      </c>
      <c r="H369" s="1"/>
      <c r="I369" s="1"/>
      <c r="J369" s="15"/>
      <c r="K369" s="1" t="s">
        <v>80</v>
      </c>
      <c r="L369" s="8">
        <v>46028.0</v>
      </c>
    </row>
    <row r="370">
      <c r="A370" s="16">
        <v>46028.54396429398</v>
      </c>
      <c r="B370" s="1" t="s">
        <v>148</v>
      </c>
      <c r="C370" s="1" t="s">
        <v>81</v>
      </c>
      <c r="D370" s="1" t="s">
        <v>99</v>
      </c>
      <c r="E370" s="1" t="s">
        <v>100</v>
      </c>
      <c r="F370" s="1" t="s">
        <v>101</v>
      </c>
      <c r="G370" s="1" t="s">
        <v>102</v>
      </c>
      <c r="H370" s="1" t="s">
        <v>231</v>
      </c>
      <c r="I370" s="1"/>
      <c r="J370" s="15"/>
      <c r="K370" s="1"/>
      <c r="L370" s="8">
        <v>46028.0</v>
      </c>
    </row>
    <row r="371">
      <c r="A371" s="16">
        <v>46028.54398253473</v>
      </c>
      <c r="B371" s="1"/>
      <c r="C371" s="1" t="s">
        <v>76</v>
      </c>
      <c r="D371" s="1" t="s">
        <v>76</v>
      </c>
      <c r="E371" s="1" t="s">
        <v>88</v>
      </c>
      <c r="F371" s="1" t="s">
        <v>104</v>
      </c>
      <c r="G371" s="1" t="s">
        <v>104</v>
      </c>
      <c r="H371" s="1"/>
      <c r="I371" s="1"/>
      <c r="J371" s="15">
        <v>1607.0</v>
      </c>
      <c r="K371" s="1" t="s">
        <v>232</v>
      </c>
      <c r="L371" s="8">
        <v>46028.0</v>
      </c>
    </row>
    <row r="372">
      <c r="A372" s="16">
        <v>46028.54398980324</v>
      </c>
      <c r="B372" s="1"/>
      <c r="C372" s="1" t="s">
        <v>76</v>
      </c>
      <c r="D372" s="1" t="s">
        <v>76</v>
      </c>
      <c r="E372" s="1" t="s">
        <v>88</v>
      </c>
      <c r="F372" s="1" t="s">
        <v>78</v>
      </c>
      <c r="G372" s="1" t="s">
        <v>78</v>
      </c>
      <c r="H372" s="1"/>
      <c r="I372" s="1"/>
      <c r="J372" s="15">
        <v>3696.0</v>
      </c>
      <c r="K372" s="1" t="s">
        <v>90</v>
      </c>
      <c r="L372" s="8">
        <v>46028.0</v>
      </c>
    </row>
    <row r="373">
      <c r="A373" s="16">
        <v>46028.54402274305</v>
      </c>
      <c r="B373" s="1"/>
      <c r="C373" s="1"/>
      <c r="D373" s="1" t="s">
        <v>76</v>
      </c>
      <c r="E373" s="1" t="s">
        <v>77</v>
      </c>
      <c r="F373" s="1" t="s">
        <v>78</v>
      </c>
      <c r="G373" s="1" t="s">
        <v>79</v>
      </c>
      <c r="H373" s="1"/>
      <c r="I373" s="1"/>
      <c r="J373" s="15"/>
      <c r="K373" s="1" t="s">
        <v>80</v>
      </c>
      <c r="L373" s="8">
        <v>46028.0</v>
      </c>
    </row>
    <row r="374">
      <c r="A374" s="16">
        <v>46028.54403244213</v>
      </c>
      <c r="B374" s="1" t="s">
        <v>148</v>
      </c>
      <c r="C374" s="1" t="s">
        <v>81</v>
      </c>
      <c r="D374" s="1" t="s">
        <v>99</v>
      </c>
      <c r="E374" s="1" t="s">
        <v>100</v>
      </c>
      <c r="F374" s="1" t="s">
        <v>101</v>
      </c>
      <c r="G374" s="1" t="s">
        <v>102</v>
      </c>
      <c r="H374" s="1" t="s">
        <v>233</v>
      </c>
      <c r="I374" s="1"/>
      <c r="J374" s="15"/>
      <c r="K374" s="1"/>
      <c r="L374" s="8">
        <v>46028.0</v>
      </c>
    </row>
    <row r="375">
      <c r="A375" s="16">
        <v>46028.544038935186</v>
      </c>
      <c r="B375" s="1"/>
      <c r="C375" s="1" t="s">
        <v>76</v>
      </c>
      <c r="D375" s="1" t="s">
        <v>76</v>
      </c>
      <c r="E375" s="1" t="s">
        <v>88</v>
      </c>
      <c r="F375" s="1" t="s">
        <v>104</v>
      </c>
      <c r="G375" s="1" t="s">
        <v>104</v>
      </c>
      <c r="H375" s="1"/>
      <c r="I375" s="1"/>
      <c r="J375" s="15">
        <v>543.0</v>
      </c>
      <c r="K375" s="1" t="s">
        <v>234</v>
      </c>
      <c r="L375" s="8">
        <v>46028.0</v>
      </c>
    </row>
    <row r="376">
      <c r="A376" s="16">
        <v>46028.54404271991</v>
      </c>
      <c r="B376" s="1"/>
      <c r="C376" s="1" t="s">
        <v>76</v>
      </c>
      <c r="D376" s="1" t="s">
        <v>76</v>
      </c>
      <c r="E376" s="1" t="s">
        <v>88</v>
      </c>
      <c r="F376" s="1" t="s">
        <v>78</v>
      </c>
      <c r="G376" s="1" t="s">
        <v>78</v>
      </c>
      <c r="H376" s="1"/>
      <c r="I376" s="1"/>
      <c r="J376" s="15">
        <v>1723.0</v>
      </c>
      <c r="K376" s="1" t="s">
        <v>90</v>
      </c>
      <c r="L376" s="8">
        <v>46028.0</v>
      </c>
    </row>
    <row r="377">
      <c r="A377" s="16">
        <v>46028.54448604167</v>
      </c>
      <c r="B377" s="1"/>
      <c r="C377" s="1"/>
      <c r="D377" s="1" t="s">
        <v>76</v>
      </c>
      <c r="E377" s="1" t="s">
        <v>77</v>
      </c>
      <c r="F377" s="1" t="s">
        <v>78</v>
      </c>
      <c r="G377" s="1" t="s">
        <v>79</v>
      </c>
      <c r="H377" s="1"/>
      <c r="I377" s="1"/>
      <c r="J377" s="15"/>
      <c r="K377" s="1" t="s">
        <v>80</v>
      </c>
      <c r="L377" s="8">
        <v>46028.0</v>
      </c>
    </row>
    <row r="378">
      <c r="A378" s="16">
        <v>46028.54449078704</v>
      </c>
      <c r="B378" s="1" t="s">
        <v>148</v>
      </c>
      <c r="C378" s="1" t="s">
        <v>81</v>
      </c>
      <c r="D378" s="1" t="s">
        <v>99</v>
      </c>
      <c r="E378" s="1" t="s">
        <v>100</v>
      </c>
      <c r="F378" s="1" t="s">
        <v>101</v>
      </c>
      <c r="G378" s="1" t="s">
        <v>102</v>
      </c>
      <c r="H378" s="1" t="s">
        <v>235</v>
      </c>
      <c r="I378" s="1"/>
      <c r="J378" s="15"/>
      <c r="K378" s="1"/>
      <c r="L378" s="8">
        <v>46028.0</v>
      </c>
    </row>
    <row r="379">
      <c r="A379" s="16">
        <v>46028.544494918984</v>
      </c>
      <c r="B379" s="1"/>
      <c r="C379" s="1" t="s">
        <v>76</v>
      </c>
      <c r="D379" s="1" t="s">
        <v>76</v>
      </c>
      <c r="E379" s="1" t="s">
        <v>88</v>
      </c>
      <c r="F379" s="1" t="s">
        <v>104</v>
      </c>
      <c r="G379" s="1" t="s">
        <v>104</v>
      </c>
      <c r="H379" s="1"/>
      <c r="I379" s="1"/>
      <c r="J379" s="15">
        <v>395.0</v>
      </c>
      <c r="K379" s="1" t="s">
        <v>236</v>
      </c>
      <c r="L379" s="8">
        <v>46028.0</v>
      </c>
    </row>
    <row r="380">
      <c r="A380" s="16">
        <v>46028.544499456024</v>
      </c>
      <c r="B380" s="1"/>
      <c r="C380" s="1" t="s">
        <v>76</v>
      </c>
      <c r="D380" s="1" t="s">
        <v>76</v>
      </c>
      <c r="E380" s="1" t="s">
        <v>88</v>
      </c>
      <c r="F380" s="1" t="s">
        <v>78</v>
      </c>
      <c r="G380" s="1" t="s">
        <v>78</v>
      </c>
      <c r="H380" s="1"/>
      <c r="I380" s="1"/>
      <c r="J380" s="15">
        <v>1243.0</v>
      </c>
      <c r="K380" s="1" t="s">
        <v>90</v>
      </c>
      <c r="L380" s="8">
        <v>46028.0</v>
      </c>
    </row>
    <row r="381">
      <c r="A381" s="16">
        <v>46028.54584576389</v>
      </c>
      <c r="B381" s="1"/>
      <c r="C381" s="1"/>
      <c r="D381" s="1" t="s">
        <v>76</v>
      </c>
      <c r="E381" s="1" t="s">
        <v>77</v>
      </c>
      <c r="F381" s="1" t="s">
        <v>78</v>
      </c>
      <c r="G381" s="1" t="s">
        <v>79</v>
      </c>
      <c r="H381" s="1"/>
      <c r="I381" s="1"/>
      <c r="J381" s="15"/>
      <c r="K381" s="1" t="s">
        <v>80</v>
      </c>
      <c r="L381" s="8">
        <v>46028.0</v>
      </c>
    </row>
    <row r="382">
      <c r="A382" s="16">
        <v>46028.54584979167</v>
      </c>
      <c r="B382" s="1" t="s">
        <v>148</v>
      </c>
      <c r="C382" s="1" t="s">
        <v>81</v>
      </c>
      <c r="D382" s="1" t="s">
        <v>99</v>
      </c>
      <c r="E382" s="1" t="s">
        <v>100</v>
      </c>
      <c r="F382" s="1" t="s">
        <v>101</v>
      </c>
      <c r="G382" s="1" t="s">
        <v>102</v>
      </c>
      <c r="H382" s="1" t="s">
        <v>237</v>
      </c>
      <c r="I382" s="1"/>
      <c r="J382" s="15"/>
      <c r="K382" s="1"/>
      <c r="L382" s="8">
        <v>46028.0</v>
      </c>
    </row>
    <row r="383">
      <c r="A383" s="16">
        <v>46028.54585391204</v>
      </c>
      <c r="B383" s="1"/>
      <c r="C383" s="1" t="s">
        <v>76</v>
      </c>
      <c r="D383" s="1" t="s">
        <v>76</v>
      </c>
      <c r="E383" s="1" t="s">
        <v>88</v>
      </c>
      <c r="F383" s="1" t="s">
        <v>104</v>
      </c>
      <c r="G383" s="1" t="s">
        <v>104</v>
      </c>
      <c r="H383" s="1"/>
      <c r="I383" s="1"/>
      <c r="J383" s="15">
        <v>343.0</v>
      </c>
      <c r="K383" s="1" t="s">
        <v>238</v>
      </c>
      <c r="L383" s="8">
        <v>46028.0</v>
      </c>
    </row>
    <row r="384">
      <c r="A384" s="16">
        <v>46028.54585760417</v>
      </c>
      <c r="B384" s="1"/>
      <c r="C384" s="1" t="s">
        <v>76</v>
      </c>
      <c r="D384" s="1" t="s">
        <v>76</v>
      </c>
      <c r="E384" s="1" t="s">
        <v>88</v>
      </c>
      <c r="F384" s="1" t="s">
        <v>78</v>
      </c>
      <c r="G384" s="1" t="s">
        <v>78</v>
      </c>
      <c r="H384" s="1"/>
      <c r="I384" s="1"/>
      <c r="J384" s="15">
        <v>1926.0</v>
      </c>
      <c r="K384" s="1" t="s">
        <v>90</v>
      </c>
      <c r="L384" s="8">
        <v>46028.0</v>
      </c>
    </row>
    <row r="385">
      <c r="A385" s="16">
        <v>46028.61928358796</v>
      </c>
      <c r="B385" s="1"/>
      <c r="C385" s="1"/>
      <c r="D385" s="1" t="s">
        <v>76</v>
      </c>
      <c r="E385" s="1" t="s">
        <v>77</v>
      </c>
      <c r="F385" s="1" t="s">
        <v>78</v>
      </c>
      <c r="G385" s="1" t="s">
        <v>79</v>
      </c>
      <c r="H385" s="1"/>
      <c r="I385" s="1"/>
      <c r="J385" s="15"/>
      <c r="K385" s="1" t="s">
        <v>80</v>
      </c>
      <c r="L385" s="8">
        <v>46028.0</v>
      </c>
    </row>
    <row r="386">
      <c r="A386" s="16">
        <v>46028.61929171297</v>
      </c>
      <c r="B386" s="1" t="s">
        <v>98</v>
      </c>
      <c r="C386" s="1" t="s">
        <v>81</v>
      </c>
      <c r="D386" s="1" t="s">
        <v>99</v>
      </c>
      <c r="E386" s="1" t="s">
        <v>100</v>
      </c>
      <c r="F386" s="1" t="s">
        <v>101</v>
      </c>
      <c r="G386" s="1" t="s">
        <v>102</v>
      </c>
      <c r="H386" s="1" t="s">
        <v>239</v>
      </c>
      <c r="I386" s="1"/>
      <c r="J386" s="15"/>
      <c r="K386" s="1"/>
      <c r="L386" s="8">
        <v>46028.0</v>
      </c>
    </row>
    <row r="387">
      <c r="A387" s="16">
        <v>46028.619301631945</v>
      </c>
      <c r="B387" s="1"/>
      <c r="C387" s="1" t="s">
        <v>76</v>
      </c>
      <c r="D387" s="1" t="s">
        <v>76</v>
      </c>
      <c r="E387" s="1" t="s">
        <v>88</v>
      </c>
      <c r="F387" s="1" t="s">
        <v>104</v>
      </c>
      <c r="G387" s="1" t="s">
        <v>104</v>
      </c>
      <c r="H387" s="1"/>
      <c r="I387" s="1"/>
      <c r="J387" s="15">
        <v>855.0</v>
      </c>
      <c r="K387" s="1" t="s">
        <v>240</v>
      </c>
      <c r="L387" s="8">
        <v>46028.0</v>
      </c>
    </row>
    <row r="388">
      <c r="A388" s="16">
        <v>46028.61930534722</v>
      </c>
      <c r="B388" s="1"/>
      <c r="C388" s="1" t="s">
        <v>76</v>
      </c>
      <c r="D388" s="1" t="s">
        <v>76</v>
      </c>
      <c r="E388" s="1" t="s">
        <v>88</v>
      </c>
      <c r="F388" s="1" t="s">
        <v>78</v>
      </c>
      <c r="G388" s="1" t="s">
        <v>78</v>
      </c>
      <c r="H388" s="1"/>
      <c r="I388" s="1"/>
      <c r="J388" s="15">
        <v>2348.0</v>
      </c>
      <c r="K388" s="1" t="s">
        <v>90</v>
      </c>
      <c r="L388" s="8">
        <v>46028.0</v>
      </c>
    </row>
    <row r="389">
      <c r="A389" s="16">
        <v>46028.62000674769</v>
      </c>
      <c r="B389" s="1"/>
      <c r="C389" s="1"/>
      <c r="D389" s="1" t="s">
        <v>76</v>
      </c>
      <c r="E389" s="1" t="s">
        <v>77</v>
      </c>
      <c r="F389" s="1" t="s">
        <v>78</v>
      </c>
      <c r="G389" s="1" t="s">
        <v>79</v>
      </c>
      <c r="H389" s="1"/>
      <c r="I389" s="1"/>
      <c r="J389" s="15"/>
      <c r="K389" s="1" t="s">
        <v>80</v>
      </c>
      <c r="L389" s="8">
        <v>46028.0</v>
      </c>
    </row>
    <row r="390">
      <c r="A390" s="16">
        <v>46028.620010810184</v>
      </c>
      <c r="B390" s="1" t="s">
        <v>98</v>
      </c>
      <c r="C390" s="1" t="s">
        <v>81</v>
      </c>
      <c r="D390" s="1" t="s">
        <v>99</v>
      </c>
      <c r="E390" s="1" t="s">
        <v>100</v>
      </c>
      <c r="F390" s="1" t="s">
        <v>101</v>
      </c>
      <c r="G390" s="1" t="s">
        <v>102</v>
      </c>
      <c r="H390" s="1" t="s">
        <v>241</v>
      </c>
      <c r="I390" s="1"/>
      <c r="J390" s="15"/>
      <c r="K390" s="1"/>
      <c r="L390" s="8">
        <v>46028.0</v>
      </c>
    </row>
    <row r="391">
      <c r="A391" s="16">
        <v>46028.62001489583</v>
      </c>
      <c r="B391" s="1"/>
      <c r="C391" s="1" t="s">
        <v>76</v>
      </c>
      <c r="D391" s="1" t="s">
        <v>76</v>
      </c>
      <c r="E391" s="1" t="s">
        <v>88</v>
      </c>
      <c r="F391" s="1" t="s">
        <v>104</v>
      </c>
      <c r="G391" s="1" t="s">
        <v>104</v>
      </c>
      <c r="H391" s="1"/>
      <c r="I391" s="1"/>
      <c r="J391" s="15">
        <v>342.0</v>
      </c>
      <c r="K391" s="1" t="s">
        <v>242</v>
      </c>
      <c r="L391" s="8">
        <v>46028.0</v>
      </c>
    </row>
    <row r="392">
      <c r="A392" s="16">
        <v>46028.620018263886</v>
      </c>
      <c r="B392" s="1"/>
      <c r="C392" s="1" t="s">
        <v>76</v>
      </c>
      <c r="D392" s="1" t="s">
        <v>76</v>
      </c>
      <c r="E392" s="1" t="s">
        <v>88</v>
      </c>
      <c r="F392" s="1" t="s">
        <v>78</v>
      </c>
      <c r="G392" s="1" t="s">
        <v>78</v>
      </c>
      <c r="H392" s="1"/>
      <c r="I392" s="1"/>
      <c r="J392" s="15">
        <v>1050.0</v>
      </c>
      <c r="K392" s="1" t="s">
        <v>90</v>
      </c>
      <c r="L392" s="8">
        <v>46028.0</v>
      </c>
    </row>
    <row r="393">
      <c r="A393" s="16">
        <v>46029.421830625</v>
      </c>
      <c r="B393" s="1"/>
      <c r="C393" s="1"/>
      <c r="D393" s="1" t="s">
        <v>76</v>
      </c>
      <c r="E393" s="1" t="s">
        <v>77</v>
      </c>
      <c r="F393" s="1" t="s">
        <v>78</v>
      </c>
      <c r="G393" s="1" t="s">
        <v>79</v>
      </c>
      <c r="H393" s="1"/>
      <c r="I393" s="1"/>
      <c r="J393" s="15"/>
      <c r="K393" s="1" t="s">
        <v>80</v>
      </c>
      <c r="L393" s="8">
        <v>46029.0</v>
      </c>
    </row>
    <row r="394">
      <c r="A394" s="16">
        <v>46029.42183554398</v>
      </c>
      <c r="B394" s="1" t="s">
        <v>148</v>
      </c>
      <c r="C394" s="1" t="s">
        <v>81</v>
      </c>
      <c r="D394" s="1" t="s">
        <v>99</v>
      </c>
      <c r="E394" s="1" t="s">
        <v>100</v>
      </c>
      <c r="F394" s="1" t="s">
        <v>101</v>
      </c>
      <c r="G394" s="1" t="s">
        <v>102</v>
      </c>
      <c r="H394" s="1" t="s">
        <v>149</v>
      </c>
      <c r="I394" s="1"/>
      <c r="J394" s="15"/>
      <c r="K394" s="1"/>
      <c r="L394" s="8">
        <v>46029.0</v>
      </c>
    </row>
    <row r="395">
      <c r="A395" s="16">
        <v>46029.421847233796</v>
      </c>
      <c r="B395" s="1"/>
      <c r="C395" s="1" t="s">
        <v>76</v>
      </c>
      <c r="D395" s="1" t="s">
        <v>76</v>
      </c>
      <c r="E395" s="1" t="s">
        <v>88</v>
      </c>
      <c r="F395" s="1" t="s">
        <v>104</v>
      </c>
      <c r="G395" s="1" t="s">
        <v>104</v>
      </c>
      <c r="H395" s="1"/>
      <c r="I395" s="1"/>
      <c r="J395" s="15">
        <v>1031.0</v>
      </c>
      <c r="K395" s="1" t="s">
        <v>150</v>
      </c>
      <c r="L395" s="8">
        <v>46029.0</v>
      </c>
    </row>
    <row r="396">
      <c r="A396" s="16">
        <v>46029.421850439816</v>
      </c>
      <c r="B396" s="1"/>
      <c r="C396" s="1" t="s">
        <v>76</v>
      </c>
      <c r="D396" s="1" t="s">
        <v>76</v>
      </c>
      <c r="E396" s="1" t="s">
        <v>88</v>
      </c>
      <c r="F396" s="1" t="s">
        <v>78</v>
      </c>
      <c r="G396" s="1" t="s">
        <v>78</v>
      </c>
      <c r="H396" s="1"/>
      <c r="I396" s="1"/>
      <c r="J396" s="15">
        <v>2733.0</v>
      </c>
      <c r="K396" s="1" t="s">
        <v>90</v>
      </c>
      <c r="L396" s="8">
        <v>46029.0</v>
      </c>
    </row>
    <row r="397">
      <c r="A397" s="16">
        <v>46029.42201200232</v>
      </c>
      <c r="B397" s="1"/>
      <c r="C397" s="1"/>
      <c r="D397" s="1" t="s">
        <v>76</v>
      </c>
      <c r="E397" s="1" t="s">
        <v>77</v>
      </c>
      <c r="F397" s="1" t="s">
        <v>78</v>
      </c>
      <c r="G397" s="1" t="s">
        <v>79</v>
      </c>
      <c r="H397" s="1"/>
      <c r="I397" s="1"/>
      <c r="J397" s="15"/>
      <c r="K397" s="1" t="s">
        <v>80</v>
      </c>
      <c r="L397" s="8">
        <v>46029.0</v>
      </c>
    </row>
    <row r="398">
      <c r="A398" s="16">
        <v>46029.42201673611</v>
      </c>
      <c r="B398" s="1" t="s">
        <v>148</v>
      </c>
      <c r="C398" s="1" t="s">
        <v>81</v>
      </c>
      <c r="D398" s="1" t="s">
        <v>99</v>
      </c>
      <c r="E398" s="1" t="s">
        <v>100</v>
      </c>
      <c r="F398" s="1" t="s">
        <v>101</v>
      </c>
      <c r="G398" s="1" t="s">
        <v>102</v>
      </c>
      <c r="H398" s="1" t="s">
        <v>241</v>
      </c>
      <c r="I398" s="1"/>
      <c r="J398" s="15"/>
      <c r="K398" s="1"/>
      <c r="L398" s="8">
        <v>46029.0</v>
      </c>
    </row>
    <row r="399">
      <c r="A399" s="16">
        <v>46029.42202146991</v>
      </c>
      <c r="B399" s="1"/>
      <c r="C399" s="1" t="s">
        <v>76</v>
      </c>
      <c r="D399" s="1" t="s">
        <v>76</v>
      </c>
      <c r="E399" s="1" t="s">
        <v>88</v>
      </c>
      <c r="F399" s="1" t="s">
        <v>104</v>
      </c>
      <c r="G399" s="1" t="s">
        <v>104</v>
      </c>
      <c r="H399" s="1"/>
      <c r="I399" s="1"/>
      <c r="J399" s="15">
        <v>426.0</v>
      </c>
      <c r="K399" s="1" t="s">
        <v>242</v>
      </c>
      <c r="L399" s="8">
        <v>46029.0</v>
      </c>
    </row>
    <row r="400">
      <c r="A400" s="16">
        <v>46029.42202668982</v>
      </c>
      <c r="B400" s="1"/>
      <c r="C400" s="1" t="s">
        <v>76</v>
      </c>
      <c r="D400" s="1" t="s">
        <v>76</v>
      </c>
      <c r="E400" s="1" t="s">
        <v>88</v>
      </c>
      <c r="F400" s="1" t="s">
        <v>78</v>
      </c>
      <c r="G400" s="1" t="s">
        <v>78</v>
      </c>
      <c r="H400" s="1"/>
      <c r="I400" s="1"/>
      <c r="J400" s="15">
        <v>1388.0</v>
      </c>
      <c r="K400" s="1" t="s">
        <v>90</v>
      </c>
      <c r="L400" s="8">
        <v>46029.0</v>
      </c>
    </row>
    <row r="401">
      <c r="A401" s="16">
        <v>46029.71316472223</v>
      </c>
      <c r="B401" s="1"/>
      <c r="C401" s="1"/>
      <c r="D401" s="1" t="s">
        <v>76</v>
      </c>
      <c r="E401" s="1" t="s">
        <v>77</v>
      </c>
      <c r="F401" s="1" t="s">
        <v>78</v>
      </c>
      <c r="G401" s="1" t="s">
        <v>79</v>
      </c>
      <c r="H401" s="1"/>
      <c r="I401" s="1"/>
      <c r="J401" s="15"/>
      <c r="K401" s="1" t="s">
        <v>80</v>
      </c>
      <c r="L401" s="8">
        <v>46029.0</v>
      </c>
    </row>
    <row r="402">
      <c r="A402" s="16">
        <v>46029.71316828704</v>
      </c>
      <c r="B402" s="1" t="s">
        <v>243</v>
      </c>
      <c r="C402" s="1" t="s">
        <v>81</v>
      </c>
      <c r="D402" s="1" t="s">
        <v>99</v>
      </c>
      <c r="E402" s="1" t="s">
        <v>107</v>
      </c>
      <c r="F402" s="1" t="s">
        <v>108</v>
      </c>
      <c r="G402" s="1" t="s">
        <v>109</v>
      </c>
      <c r="H402" s="1" t="s">
        <v>110</v>
      </c>
      <c r="I402" s="1"/>
      <c r="J402" s="15"/>
      <c r="K402" s="1"/>
      <c r="L402" s="8">
        <v>46029.0</v>
      </c>
    </row>
    <row r="403">
      <c r="A403" s="16">
        <v>46029.71318641204</v>
      </c>
      <c r="B403" s="1"/>
      <c r="C403" s="1" t="s">
        <v>76</v>
      </c>
      <c r="D403" s="1" t="s">
        <v>76</v>
      </c>
      <c r="E403" s="1" t="s">
        <v>88</v>
      </c>
      <c r="F403" s="1" t="s">
        <v>104</v>
      </c>
      <c r="G403" s="1" t="s">
        <v>104</v>
      </c>
      <c r="H403" s="1"/>
      <c r="I403" s="1"/>
      <c r="J403" s="15">
        <v>1548.0</v>
      </c>
      <c r="K403" s="1" t="s">
        <v>111</v>
      </c>
      <c r="L403" s="8">
        <v>46029.0</v>
      </c>
    </row>
    <row r="404">
      <c r="A404" s="16">
        <v>46029.71318910879</v>
      </c>
      <c r="B404" s="1"/>
      <c r="C404" s="1" t="s">
        <v>76</v>
      </c>
      <c r="D404" s="1" t="s">
        <v>76</v>
      </c>
      <c r="E404" s="1" t="s">
        <v>88</v>
      </c>
      <c r="F404" s="1" t="s">
        <v>78</v>
      </c>
      <c r="G404" s="1" t="s">
        <v>78</v>
      </c>
      <c r="H404" s="1"/>
      <c r="I404" s="1"/>
      <c r="J404" s="15">
        <v>2618.0</v>
      </c>
      <c r="K404" s="1" t="s">
        <v>90</v>
      </c>
      <c r="L404" s="8">
        <v>46029.0</v>
      </c>
    </row>
    <row r="405">
      <c r="A405" s="16">
        <v>46030.83238792824</v>
      </c>
      <c r="B405" s="1"/>
      <c r="C405" s="1"/>
      <c r="D405" s="1" t="s">
        <v>76</v>
      </c>
      <c r="E405" s="1" t="s">
        <v>77</v>
      </c>
      <c r="F405" s="1" t="s">
        <v>78</v>
      </c>
      <c r="G405" s="1" t="s">
        <v>79</v>
      </c>
      <c r="H405" s="1"/>
      <c r="I405" s="1"/>
      <c r="J405" s="15"/>
      <c r="K405" s="1" t="s">
        <v>80</v>
      </c>
      <c r="L405" s="8">
        <v>46030.0</v>
      </c>
    </row>
    <row r="406">
      <c r="A406" s="16">
        <v>46030.83239571759</v>
      </c>
      <c r="B406" s="1" t="s">
        <v>244</v>
      </c>
      <c r="C406" s="1" t="s">
        <v>81</v>
      </c>
      <c r="D406" s="1" t="s">
        <v>99</v>
      </c>
      <c r="E406" s="1" t="s">
        <v>107</v>
      </c>
      <c r="F406" s="1" t="s">
        <v>108</v>
      </c>
      <c r="G406" s="1" t="s">
        <v>109</v>
      </c>
      <c r="H406" s="1" t="s">
        <v>110</v>
      </c>
      <c r="I406" s="1"/>
      <c r="J406" s="15"/>
      <c r="K406" s="1"/>
      <c r="L406" s="8">
        <v>46030.0</v>
      </c>
    </row>
    <row r="407">
      <c r="A407" s="16">
        <v>46030.83241199074</v>
      </c>
      <c r="B407" s="1"/>
      <c r="C407" s="1" t="s">
        <v>76</v>
      </c>
      <c r="D407" s="1" t="s">
        <v>76</v>
      </c>
      <c r="E407" s="1" t="s">
        <v>88</v>
      </c>
      <c r="F407" s="1" t="s">
        <v>104</v>
      </c>
      <c r="G407" s="1" t="s">
        <v>104</v>
      </c>
      <c r="H407" s="1"/>
      <c r="I407" s="1"/>
      <c r="J407" s="15">
        <v>1567.0</v>
      </c>
      <c r="K407" s="1" t="s">
        <v>111</v>
      </c>
      <c r="L407" s="8">
        <v>46030.0</v>
      </c>
    </row>
    <row r="408">
      <c r="A408" s="16">
        <v>46030.832417337966</v>
      </c>
      <c r="B408" s="1"/>
      <c r="C408" s="1" t="s">
        <v>76</v>
      </c>
      <c r="D408" s="1" t="s">
        <v>76</v>
      </c>
      <c r="E408" s="1" t="s">
        <v>88</v>
      </c>
      <c r="F408" s="1" t="s">
        <v>78</v>
      </c>
      <c r="G408" s="1" t="s">
        <v>78</v>
      </c>
      <c r="H408" s="1"/>
      <c r="I408" s="1"/>
      <c r="J408" s="15">
        <v>3126.0</v>
      </c>
      <c r="K408" s="1" t="s">
        <v>90</v>
      </c>
      <c r="L408" s="8">
        <v>46030.0</v>
      </c>
    </row>
    <row r="409">
      <c r="A409" s="16">
        <v>46030.83251502315</v>
      </c>
      <c r="B409" s="1"/>
      <c r="C409" s="1"/>
      <c r="D409" s="1" t="s">
        <v>76</v>
      </c>
      <c r="E409" s="1" t="s">
        <v>77</v>
      </c>
      <c r="F409" s="1" t="s">
        <v>78</v>
      </c>
      <c r="G409" s="1" t="s">
        <v>79</v>
      </c>
      <c r="H409" s="1"/>
      <c r="I409" s="1"/>
      <c r="J409" s="15"/>
      <c r="K409" s="1" t="s">
        <v>80</v>
      </c>
      <c r="L409" s="8">
        <v>46030.0</v>
      </c>
    </row>
    <row r="410">
      <c r="A410" s="16">
        <v>46030.83251950231</v>
      </c>
      <c r="B410" s="1" t="s">
        <v>244</v>
      </c>
      <c r="C410" s="1" t="s">
        <v>81</v>
      </c>
      <c r="D410" s="1" t="s">
        <v>99</v>
      </c>
      <c r="E410" s="1" t="s">
        <v>100</v>
      </c>
      <c r="F410" s="1" t="s">
        <v>101</v>
      </c>
      <c r="G410" s="1" t="s">
        <v>102</v>
      </c>
      <c r="H410" s="1" t="s">
        <v>245</v>
      </c>
      <c r="I410" s="1"/>
      <c r="J410" s="15"/>
      <c r="K410" s="1"/>
      <c r="L410" s="8">
        <v>46030.0</v>
      </c>
    </row>
    <row r="411">
      <c r="A411" s="16">
        <v>46030.83252332176</v>
      </c>
      <c r="B411" s="1"/>
      <c r="C411" s="1" t="s">
        <v>76</v>
      </c>
      <c r="D411" s="1" t="s">
        <v>76</v>
      </c>
      <c r="E411" s="1" t="s">
        <v>88</v>
      </c>
      <c r="F411" s="1" t="s">
        <v>104</v>
      </c>
      <c r="G411" s="1" t="s">
        <v>104</v>
      </c>
      <c r="H411" s="1"/>
      <c r="I411" s="1"/>
      <c r="J411" s="15">
        <v>389.0</v>
      </c>
      <c r="K411" s="1" t="s">
        <v>246</v>
      </c>
      <c r="L411" s="8">
        <v>46030.0</v>
      </c>
    </row>
    <row r="412">
      <c r="A412" s="16">
        <v>46030.832527453706</v>
      </c>
      <c r="B412" s="1"/>
      <c r="C412" s="1" t="s">
        <v>76</v>
      </c>
      <c r="D412" s="1" t="s">
        <v>76</v>
      </c>
      <c r="E412" s="1" t="s">
        <v>88</v>
      </c>
      <c r="F412" s="1" t="s">
        <v>78</v>
      </c>
      <c r="G412" s="1" t="s">
        <v>78</v>
      </c>
      <c r="H412" s="1"/>
      <c r="I412" s="1"/>
      <c r="J412" s="15">
        <v>1112.0</v>
      </c>
      <c r="K412" s="1" t="s">
        <v>90</v>
      </c>
      <c r="L412" s="8">
        <v>46030.0</v>
      </c>
    </row>
    <row r="413">
      <c r="A413" s="16">
        <v>46030.8328028588</v>
      </c>
      <c r="B413" s="1"/>
      <c r="C413" s="1"/>
      <c r="D413" s="1" t="s">
        <v>76</v>
      </c>
      <c r="E413" s="1" t="s">
        <v>77</v>
      </c>
      <c r="F413" s="1" t="s">
        <v>78</v>
      </c>
      <c r="G413" s="1" t="s">
        <v>79</v>
      </c>
      <c r="H413" s="1"/>
      <c r="I413" s="1"/>
      <c r="J413" s="15"/>
      <c r="K413" s="1" t="s">
        <v>80</v>
      </c>
      <c r="L413" s="8">
        <v>46030.0</v>
      </c>
    </row>
    <row r="414">
      <c r="A414" s="16">
        <v>46030.83280712963</v>
      </c>
      <c r="B414" s="1" t="s">
        <v>244</v>
      </c>
      <c r="C414" s="1" t="s">
        <v>81</v>
      </c>
      <c r="D414" s="1" t="s">
        <v>99</v>
      </c>
      <c r="E414" s="1" t="s">
        <v>100</v>
      </c>
      <c r="F414" s="1" t="s">
        <v>101</v>
      </c>
      <c r="G414" s="1" t="s">
        <v>102</v>
      </c>
      <c r="H414" s="1" t="s">
        <v>247</v>
      </c>
      <c r="I414" s="1"/>
      <c r="J414" s="15"/>
      <c r="K414" s="1"/>
      <c r="L414" s="8">
        <v>46030.0</v>
      </c>
    </row>
    <row r="415">
      <c r="A415" s="16">
        <v>46030.832810844906</v>
      </c>
      <c r="B415" s="1"/>
      <c r="C415" s="1" t="s">
        <v>76</v>
      </c>
      <c r="D415" s="1" t="s">
        <v>76</v>
      </c>
      <c r="E415" s="1" t="s">
        <v>88</v>
      </c>
      <c r="F415" s="1" t="s">
        <v>104</v>
      </c>
      <c r="G415" s="1" t="s">
        <v>104</v>
      </c>
      <c r="H415" s="1"/>
      <c r="I415" s="1"/>
      <c r="J415" s="15">
        <v>364.0</v>
      </c>
      <c r="K415" s="1" t="s">
        <v>248</v>
      </c>
      <c r="L415" s="8">
        <v>46030.0</v>
      </c>
    </row>
    <row r="416">
      <c r="A416" s="16">
        <v>46030.83281491898</v>
      </c>
      <c r="B416" s="1"/>
      <c r="C416" s="1" t="s">
        <v>76</v>
      </c>
      <c r="D416" s="1" t="s">
        <v>76</v>
      </c>
      <c r="E416" s="1" t="s">
        <v>88</v>
      </c>
      <c r="F416" s="1" t="s">
        <v>78</v>
      </c>
      <c r="G416" s="1" t="s">
        <v>78</v>
      </c>
      <c r="H416" s="1"/>
      <c r="I416" s="1"/>
      <c r="J416" s="15">
        <v>1116.0</v>
      </c>
      <c r="K416" s="1" t="s">
        <v>90</v>
      </c>
      <c r="L416" s="8">
        <v>46030.0</v>
      </c>
    </row>
    <row r="417">
      <c r="A417" s="16">
        <v>46030.833467777775</v>
      </c>
      <c r="B417" s="1"/>
      <c r="C417" s="1"/>
      <c r="D417" s="1" t="s">
        <v>76</v>
      </c>
      <c r="E417" s="1" t="s">
        <v>77</v>
      </c>
      <c r="F417" s="1" t="s">
        <v>78</v>
      </c>
      <c r="G417" s="1" t="s">
        <v>79</v>
      </c>
      <c r="H417" s="1"/>
      <c r="I417" s="1"/>
      <c r="J417" s="15"/>
      <c r="K417" s="1" t="s">
        <v>80</v>
      </c>
      <c r="L417" s="8">
        <v>46030.0</v>
      </c>
    </row>
    <row r="418">
      <c r="A418" s="16">
        <v>46030.83347199074</v>
      </c>
      <c r="B418" s="1" t="s">
        <v>244</v>
      </c>
      <c r="C418" s="1" t="s">
        <v>81</v>
      </c>
      <c r="D418" s="1" t="s">
        <v>99</v>
      </c>
      <c r="E418" s="1" t="s">
        <v>131</v>
      </c>
      <c r="F418" s="1" t="s">
        <v>78</v>
      </c>
      <c r="G418" s="1" t="s">
        <v>132</v>
      </c>
      <c r="H418" s="1"/>
      <c r="I418" s="1"/>
      <c r="J418" s="15"/>
      <c r="K418" s="1"/>
      <c r="L418" s="8">
        <v>46030.0</v>
      </c>
    </row>
    <row r="419">
      <c r="A419" s="16">
        <v>46030.833485613424</v>
      </c>
      <c r="B419" s="1"/>
      <c r="C419" s="1" t="s">
        <v>76</v>
      </c>
      <c r="D419" s="1" t="s">
        <v>76</v>
      </c>
      <c r="E419" s="1" t="s">
        <v>88</v>
      </c>
      <c r="F419" s="1" t="s">
        <v>78</v>
      </c>
      <c r="G419" s="1" t="s">
        <v>78</v>
      </c>
      <c r="H419" s="1"/>
      <c r="I419" s="1"/>
      <c r="J419" s="15">
        <v>931.0</v>
      </c>
      <c r="K419" s="1" t="s">
        <v>90</v>
      </c>
      <c r="L419" s="8">
        <v>46030.0</v>
      </c>
    </row>
    <row r="420">
      <c r="A420" s="16">
        <v>46030.833804062495</v>
      </c>
      <c r="B420" s="1"/>
      <c r="C420" s="1"/>
      <c r="D420" s="1" t="s">
        <v>76</v>
      </c>
      <c r="E420" s="1" t="s">
        <v>77</v>
      </c>
      <c r="F420" s="1" t="s">
        <v>78</v>
      </c>
      <c r="G420" s="1" t="s">
        <v>79</v>
      </c>
      <c r="H420" s="1"/>
      <c r="I420" s="1"/>
      <c r="J420" s="15"/>
      <c r="K420" s="1" t="s">
        <v>80</v>
      </c>
      <c r="L420" s="8">
        <v>46030.0</v>
      </c>
    </row>
    <row r="421">
      <c r="A421" s="16">
        <v>46030.833808854164</v>
      </c>
      <c r="B421" s="1" t="s">
        <v>244</v>
      </c>
      <c r="C421" s="1" t="s">
        <v>81</v>
      </c>
      <c r="D421" s="1" t="s">
        <v>99</v>
      </c>
      <c r="E421" s="1" t="s">
        <v>100</v>
      </c>
      <c r="F421" s="1" t="s">
        <v>101</v>
      </c>
      <c r="G421" s="1" t="s">
        <v>102</v>
      </c>
      <c r="H421" s="1" t="s">
        <v>249</v>
      </c>
      <c r="I421" s="1"/>
      <c r="J421" s="15"/>
      <c r="K421" s="1"/>
      <c r="L421" s="8">
        <v>46030.0</v>
      </c>
    </row>
    <row r="422">
      <c r="A422" s="16">
        <v>46030.83381353009</v>
      </c>
      <c r="B422" s="1"/>
      <c r="C422" s="1" t="s">
        <v>76</v>
      </c>
      <c r="D422" s="1" t="s">
        <v>76</v>
      </c>
      <c r="E422" s="1" t="s">
        <v>88</v>
      </c>
      <c r="F422" s="1" t="s">
        <v>104</v>
      </c>
      <c r="G422" s="1" t="s">
        <v>104</v>
      </c>
      <c r="H422" s="1"/>
      <c r="I422" s="1"/>
      <c r="J422" s="15">
        <v>400.0</v>
      </c>
      <c r="K422" s="1" t="s">
        <v>250</v>
      </c>
      <c r="L422" s="8">
        <v>46030.0</v>
      </c>
    </row>
    <row r="423">
      <c r="A423" s="16">
        <v>46030.833817453706</v>
      </c>
      <c r="B423" s="1"/>
      <c r="C423" s="1" t="s">
        <v>76</v>
      </c>
      <c r="D423" s="1" t="s">
        <v>76</v>
      </c>
      <c r="E423" s="1" t="s">
        <v>88</v>
      </c>
      <c r="F423" s="1" t="s">
        <v>78</v>
      </c>
      <c r="G423" s="1" t="s">
        <v>78</v>
      </c>
      <c r="H423" s="1"/>
      <c r="I423" s="1"/>
      <c r="J423" s="15">
        <v>1506.0</v>
      </c>
      <c r="K423" s="1" t="s">
        <v>90</v>
      </c>
      <c r="L423" s="8">
        <v>46030.0</v>
      </c>
    </row>
    <row r="424">
      <c r="A424" s="16">
        <v>46031.5241994213</v>
      </c>
      <c r="B424" s="1"/>
      <c r="C424" s="1"/>
      <c r="D424" s="1" t="s">
        <v>76</v>
      </c>
      <c r="E424" s="1" t="s">
        <v>77</v>
      </c>
      <c r="F424" s="1" t="s">
        <v>78</v>
      </c>
      <c r="G424" s="1" t="s">
        <v>79</v>
      </c>
      <c r="H424" s="1"/>
      <c r="I424" s="1"/>
      <c r="J424" s="15"/>
      <c r="K424" s="1" t="s">
        <v>80</v>
      </c>
      <c r="L424" s="8">
        <v>46031.0</v>
      </c>
    </row>
    <row r="425">
      <c r="A425" s="16">
        <v>46031.52420552084</v>
      </c>
      <c r="B425" s="1" t="s">
        <v>204</v>
      </c>
      <c r="C425" s="1" t="s">
        <v>81</v>
      </c>
      <c r="D425" s="1" t="s">
        <v>99</v>
      </c>
      <c r="E425" s="1" t="s">
        <v>100</v>
      </c>
      <c r="F425" s="1" t="s">
        <v>101</v>
      </c>
      <c r="G425" s="1" t="s">
        <v>102</v>
      </c>
      <c r="H425" s="1" t="s">
        <v>251</v>
      </c>
      <c r="I425" s="1"/>
      <c r="J425" s="15"/>
      <c r="K425" s="1"/>
      <c r="L425" s="8">
        <v>46031.0</v>
      </c>
    </row>
    <row r="426">
      <c r="A426" s="16">
        <v>46031.52422024305</v>
      </c>
      <c r="B426" s="1"/>
      <c r="C426" s="1" t="s">
        <v>76</v>
      </c>
      <c r="D426" s="1" t="s">
        <v>76</v>
      </c>
      <c r="E426" s="1" t="s">
        <v>88</v>
      </c>
      <c r="F426" s="1" t="s">
        <v>104</v>
      </c>
      <c r="G426" s="1" t="s">
        <v>104</v>
      </c>
      <c r="H426" s="1"/>
      <c r="I426" s="1"/>
      <c r="J426" s="15">
        <v>1300.0</v>
      </c>
      <c r="K426" s="1" t="s">
        <v>252</v>
      </c>
      <c r="L426" s="8">
        <v>46031.0</v>
      </c>
    </row>
    <row r="427">
      <c r="A427" s="16">
        <v>46031.524225</v>
      </c>
      <c r="B427" s="1"/>
      <c r="C427" s="1" t="s">
        <v>76</v>
      </c>
      <c r="D427" s="1" t="s">
        <v>76</v>
      </c>
      <c r="E427" s="1" t="s">
        <v>88</v>
      </c>
      <c r="F427" s="1" t="s">
        <v>78</v>
      </c>
      <c r="G427" s="1" t="s">
        <v>78</v>
      </c>
      <c r="H427" s="1"/>
      <c r="I427" s="1"/>
      <c r="J427" s="15">
        <v>2951.0</v>
      </c>
      <c r="K427" s="1" t="s">
        <v>90</v>
      </c>
      <c r="L427" s="8">
        <v>46031.0</v>
      </c>
    </row>
    <row r="428">
      <c r="A428" s="16">
        <v>46031.52649820602</v>
      </c>
      <c r="B428" s="1"/>
      <c r="C428" s="1"/>
      <c r="D428" s="1" t="s">
        <v>76</v>
      </c>
      <c r="E428" s="1" t="s">
        <v>77</v>
      </c>
      <c r="F428" s="1" t="s">
        <v>78</v>
      </c>
      <c r="G428" s="1" t="s">
        <v>79</v>
      </c>
      <c r="H428" s="1"/>
      <c r="I428" s="1"/>
      <c r="J428" s="15"/>
      <c r="K428" s="1" t="s">
        <v>80</v>
      </c>
      <c r="L428" s="8">
        <v>46031.0</v>
      </c>
    </row>
    <row r="429">
      <c r="A429" s="16">
        <v>46031.52650232639</v>
      </c>
      <c r="B429" s="1" t="s">
        <v>98</v>
      </c>
      <c r="C429" s="1" t="s">
        <v>81</v>
      </c>
      <c r="D429" s="1" t="s">
        <v>99</v>
      </c>
      <c r="E429" s="1" t="s">
        <v>100</v>
      </c>
      <c r="F429" s="1" t="s">
        <v>101</v>
      </c>
      <c r="G429" s="1" t="s">
        <v>102</v>
      </c>
      <c r="H429" s="1" t="s">
        <v>253</v>
      </c>
      <c r="I429" s="1"/>
      <c r="J429" s="15"/>
      <c r="K429" s="1"/>
      <c r="L429" s="8">
        <v>46031.0</v>
      </c>
    </row>
    <row r="430">
      <c r="A430" s="16">
        <v>46031.526506574075</v>
      </c>
      <c r="B430" s="1"/>
      <c r="C430" s="1" t="s">
        <v>76</v>
      </c>
      <c r="D430" s="1" t="s">
        <v>76</v>
      </c>
      <c r="E430" s="1" t="s">
        <v>88</v>
      </c>
      <c r="F430" s="1" t="s">
        <v>104</v>
      </c>
      <c r="G430" s="1" t="s">
        <v>104</v>
      </c>
      <c r="H430" s="1"/>
      <c r="I430" s="1"/>
      <c r="J430" s="15">
        <v>382.0</v>
      </c>
      <c r="K430" s="1" t="s">
        <v>254</v>
      </c>
      <c r="L430" s="8">
        <v>46031.0</v>
      </c>
    </row>
    <row r="431">
      <c r="A431" s="16">
        <v>46031.526510972224</v>
      </c>
      <c r="B431" s="1"/>
      <c r="C431" s="1" t="s">
        <v>76</v>
      </c>
      <c r="D431" s="1" t="s">
        <v>76</v>
      </c>
      <c r="E431" s="1" t="s">
        <v>88</v>
      </c>
      <c r="F431" s="1" t="s">
        <v>78</v>
      </c>
      <c r="G431" s="1" t="s">
        <v>78</v>
      </c>
      <c r="H431" s="1"/>
      <c r="I431" s="1"/>
      <c r="J431" s="15">
        <v>1150.0</v>
      </c>
      <c r="K431" s="1" t="s">
        <v>90</v>
      </c>
      <c r="L431" s="8">
        <v>46031.0</v>
      </c>
    </row>
    <row r="432">
      <c r="A432" s="16">
        <v>46031.60382853009</v>
      </c>
      <c r="B432" s="1"/>
      <c r="C432" s="1"/>
      <c r="D432" s="1" t="s">
        <v>76</v>
      </c>
      <c r="E432" s="1" t="s">
        <v>77</v>
      </c>
      <c r="F432" s="1" t="s">
        <v>78</v>
      </c>
      <c r="G432" s="1" t="s">
        <v>79</v>
      </c>
      <c r="H432" s="1"/>
      <c r="I432" s="1"/>
      <c r="J432" s="15"/>
      <c r="K432" s="1" t="s">
        <v>80</v>
      </c>
      <c r="L432" s="8">
        <v>46031.0</v>
      </c>
    </row>
    <row r="433">
      <c r="A433" s="16">
        <v>46031.60383290509</v>
      </c>
      <c r="B433" s="1" t="s">
        <v>204</v>
      </c>
      <c r="C433" s="1" t="s">
        <v>81</v>
      </c>
      <c r="D433" s="1" t="s">
        <v>99</v>
      </c>
      <c r="E433" s="1" t="s">
        <v>100</v>
      </c>
      <c r="F433" s="1" t="s">
        <v>101</v>
      </c>
      <c r="G433" s="1" t="s">
        <v>102</v>
      </c>
      <c r="H433" s="1" t="s">
        <v>255</v>
      </c>
      <c r="I433" s="1"/>
      <c r="J433" s="15"/>
      <c r="K433" s="1"/>
      <c r="L433" s="8">
        <v>46031.0</v>
      </c>
    </row>
    <row r="434">
      <c r="A434" s="16">
        <v>46031.60384253472</v>
      </c>
      <c r="B434" s="1"/>
      <c r="C434" s="1" t="s">
        <v>76</v>
      </c>
      <c r="D434" s="1" t="s">
        <v>76</v>
      </c>
      <c r="E434" s="1" t="s">
        <v>88</v>
      </c>
      <c r="F434" s="1" t="s">
        <v>104</v>
      </c>
      <c r="G434" s="1" t="s">
        <v>104</v>
      </c>
      <c r="H434" s="1"/>
      <c r="I434" s="1"/>
      <c r="J434" s="15">
        <v>820.0</v>
      </c>
      <c r="K434" s="1" t="s">
        <v>256</v>
      </c>
      <c r="L434" s="8">
        <v>46031.0</v>
      </c>
    </row>
    <row r="435">
      <c r="A435" s="16">
        <v>46031.60384623843</v>
      </c>
      <c r="B435" s="1"/>
      <c r="C435" s="1" t="s">
        <v>76</v>
      </c>
      <c r="D435" s="1" t="s">
        <v>76</v>
      </c>
      <c r="E435" s="1" t="s">
        <v>88</v>
      </c>
      <c r="F435" s="1" t="s">
        <v>78</v>
      </c>
      <c r="G435" s="1" t="s">
        <v>78</v>
      </c>
      <c r="H435" s="1"/>
      <c r="I435" s="1"/>
      <c r="J435" s="15">
        <v>1988.0</v>
      </c>
      <c r="K435" s="1" t="s">
        <v>90</v>
      </c>
      <c r="L435" s="8">
        <v>46031.0</v>
      </c>
    </row>
    <row r="436">
      <c r="A436" s="16">
        <v>46032.63413040509</v>
      </c>
      <c r="B436" s="1"/>
      <c r="C436" s="1"/>
      <c r="D436" s="1" t="s">
        <v>76</v>
      </c>
      <c r="E436" s="1" t="s">
        <v>77</v>
      </c>
      <c r="F436" s="1" t="s">
        <v>78</v>
      </c>
      <c r="G436" s="1" t="s">
        <v>79</v>
      </c>
      <c r="H436" s="1"/>
      <c r="I436" s="1"/>
      <c r="J436" s="15"/>
      <c r="K436" s="1" t="s">
        <v>80</v>
      </c>
      <c r="L436" s="8">
        <v>46032.0</v>
      </c>
    </row>
    <row r="437">
      <c r="A437" s="16">
        <v>46032.63413490741</v>
      </c>
      <c r="B437" s="1" t="s">
        <v>204</v>
      </c>
      <c r="C437" s="1" t="s">
        <v>81</v>
      </c>
      <c r="D437" s="1" t="s">
        <v>99</v>
      </c>
      <c r="E437" s="1" t="s">
        <v>100</v>
      </c>
      <c r="F437" s="1" t="s">
        <v>101</v>
      </c>
      <c r="G437" s="1" t="s">
        <v>102</v>
      </c>
      <c r="H437" s="1" t="s">
        <v>257</v>
      </c>
      <c r="I437" s="1"/>
      <c r="J437" s="15"/>
      <c r="K437" s="1"/>
      <c r="L437" s="8">
        <v>46032.0</v>
      </c>
    </row>
    <row r="438">
      <c r="A438" s="16">
        <v>46032.63414689815</v>
      </c>
      <c r="B438" s="1"/>
      <c r="C438" s="1" t="s">
        <v>76</v>
      </c>
      <c r="D438" s="1" t="s">
        <v>76</v>
      </c>
      <c r="E438" s="1" t="s">
        <v>88</v>
      </c>
      <c r="F438" s="1" t="s">
        <v>104</v>
      </c>
      <c r="G438" s="1" t="s">
        <v>104</v>
      </c>
      <c r="H438" s="1"/>
      <c r="I438" s="1"/>
      <c r="J438" s="15">
        <v>1022.0</v>
      </c>
      <c r="K438" s="1" t="s">
        <v>258</v>
      </c>
      <c r="L438" s="8">
        <v>46032.0</v>
      </c>
    </row>
    <row r="439">
      <c r="A439" s="16">
        <v>46032.634150983795</v>
      </c>
      <c r="B439" s="1"/>
      <c r="C439" s="1" t="s">
        <v>76</v>
      </c>
      <c r="D439" s="1" t="s">
        <v>76</v>
      </c>
      <c r="E439" s="1" t="s">
        <v>88</v>
      </c>
      <c r="F439" s="1" t="s">
        <v>78</v>
      </c>
      <c r="G439" s="1" t="s">
        <v>78</v>
      </c>
      <c r="H439" s="1"/>
      <c r="I439" s="1"/>
      <c r="J439" s="15">
        <v>2431.0</v>
      </c>
      <c r="K439" s="1" t="s">
        <v>90</v>
      </c>
      <c r="L439" s="8">
        <v>46032.0</v>
      </c>
    </row>
    <row r="440">
      <c r="A440" s="16">
        <v>46032.960136747686</v>
      </c>
      <c r="B440" s="1"/>
      <c r="C440" s="1"/>
      <c r="D440" s="1" t="s">
        <v>76</v>
      </c>
      <c r="E440" s="1" t="s">
        <v>77</v>
      </c>
      <c r="F440" s="1" t="s">
        <v>78</v>
      </c>
      <c r="G440" s="1" t="s">
        <v>79</v>
      </c>
      <c r="H440" s="1"/>
      <c r="I440" s="1"/>
      <c r="J440" s="15"/>
      <c r="K440" s="1" t="s">
        <v>80</v>
      </c>
      <c r="L440" s="8">
        <v>46032.0</v>
      </c>
    </row>
    <row r="441">
      <c r="A441" s="16">
        <v>46032.96014178241</v>
      </c>
      <c r="B441" s="1" t="s">
        <v>106</v>
      </c>
      <c r="C441" s="1" t="s">
        <v>81</v>
      </c>
      <c r="D441" s="1" t="s">
        <v>99</v>
      </c>
      <c r="E441" s="1" t="s">
        <v>131</v>
      </c>
      <c r="F441" s="1" t="s">
        <v>78</v>
      </c>
      <c r="G441" s="1" t="s">
        <v>132</v>
      </c>
      <c r="H441" s="1"/>
      <c r="I441" s="1"/>
      <c r="J441" s="15"/>
      <c r="K441" s="1"/>
      <c r="L441" s="8">
        <v>46032.0</v>
      </c>
    </row>
    <row r="442">
      <c r="A442" s="16">
        <v>46032.96015280092</v>
      </c>
      <c r="B442" s="1"/>
      <c r="C442" s="1" t="s">
        <v>76</v>
      </c>
      <c r="D442" s="1" t="s">
        <v>76</v>
      </c>
      <c r="E442" s="1" t="s">
        <v>88</v>
      </c>
      <c r="F442" s="1" t="s">
        <v>78</v>
      </c>
      <c r="G442" s="1" t="s">
        <v>78</v>
      </c>
      <c r="H442" s="1"/>
      <c r="I442" s="1"/>
      <c r="J442" s="15">
        <v>1749.0</v>
      </c>
      <c r="K442" s="1" t="s">
        <v>90</v>
      </c>
      <c r="L442" s="8">
        <v>46032.0</v>
      </c>
    </row>
    <row r="443">
      <c r="A443" s="16">
        <v>46032.99587924768</v>
      </c>
      <c r="B443" s="1"/>
      <c r="C443" s="1"/>
      <c r="D443" s="1" t="s">
        <v>76</v>
      </c>
      <c r="E443" s="1" t="s">
        <v>77</v>
      </c>
      <c r="F443" s="1" t="s">
        <v>78</v>
      </c>
      <c r="G443" s="1" t="s">
        <v>79</v>
      </c>
      <c r="H443" s="1"/>
      <c r="I443" s="1"/>
      <c r="J443" s="15"/>
      <c r="K443" s="1" t="s">
        <v>80</v>
      </c>
      <c r="L443" s="8">
        <v>46032.0</v>
      </c>
    </row>
    <row r="444">
      <c r="A444" s="16">
        <v>46032.9958833912</v>
      </c>
      <c r="B444" s="1" t="s">
        <v>130</v>
      </c>
      <c r="C444" s="1" t="s">
        <v>81</v>
      </c>
      <c r="D444" s="1" t="s">
        <v>99</v>
      </c>
      <c r="E444" s="1" t="s">
        <v>131</v>
      </c>
      <c r="F444" s="1" t="s">
        <v>78</v>
      </c>
      <c r="G444" s="1" t="s">
        <v>132</v>
      </c>
      <c r="H444" s="1"/>
      <c r="I444" s="1"/>
      <c r="J444" s="15"/>
      <c r="K444" s="1"/>
      <c r="L444" s="8">
        <v>46032.0</v>
      </c>
    </row>
    <row r="445">
      <c r="A445" s="16">
        <v>46032.99589056713</v>
      </c>
      <c r="B445" s="1"/>
      <c r="C445" s="1" t="s">
        <v>76</v>
      </c>
      <c r="D445" s="1" t="s">
        <v>76</v>
      </c>
      <c r="E445" s="1" t="s">
        <v>88</v>
      </c>
      <c r="F445" s="1" t="s">
        <v>78</v>
      </c>
      <c r="G445" s="1" t="s">
        <v>78</v>
      </c>
      <c r="H445" s="1"/>
      <c r="I445" s="1"/>
      <c r="J445" s="15">
        <v>1446.0</v>
      </c>
      <c r="K445" s="1" t="s">
        <v>90</v>
      </c>
      <c r="L445" s="8">
        <v>46032.0</v>
      </c>
    </row>
    <row r="446">
      <c r="A446" s="16">
        <v>46033.856121550925</v>
      </c>
      <c r="B446" s="1"/>
      <c r="C446" s="1"/>
      <c r="D446" s="1" t="s">
        <v>76</v>
      </c>
      <c r="E446" s="1" t="s">
        <v>77</v>
      </c>
      <c r="F446" s="1" t="s">
        <v>78</v>
      </c>
      <c r="G446" s="1" t="s">
        <v>79</v>
      </c>
      <c r="H446" s="1"/>
      <c r="I446" s="1"/>
      <c r="J446" s="15"/>
      <c r="K446" s="1" t="s">
        <v>80</v>
      </c>
      <c r="L446" s="8">
        <v>46033.0</v>
      </c>
    </row>
    <row r="447">
      <c r="A447" s="16">
        <v>46033.85612512731</v>
      </c>
      <c r="B447" s="1" t="s">
        <v>130</v>
      </c>
      <c r="C447" s="1" t="s">
        <v>81</v>
      </c>
      <c r="D447" s="1" t="s">
        <v>99</v>
      </c>
      <c r="E447" s="1" t="s">
        <v>131</v>
      </c>
      <c r="F447" s="1" t="s">
        <v>78</v>
      </c>
      <c r="G447" s="1" t="s">
        <v>132</v>
      </c>
      <c r="H447" s="1"/>
      <c r="I447" s="1"/>
      <c r="J447" s="15"/>
      <c r="K447" s="1"/>
      <c r="L447" s="8">
        <v>46033.0</v>
      </c>
    </row>
    <row r="448">
      <c r="A448" s="16">
        <v>46033.85613752315</v>
      </c>
      <c r="B448" s="1"/>
      <c r="C448" s="1" t="s">
        <v>76</v>
      </c>
      <c r="D448" s="1" t="s">
        <v>76</v>
      </c>
      <c r="E448" s="1" t="s">
        <v>88</v>
      </c>
      <c r="F448" s="1" t="s">
        <v>78</v>
      </c>
      <c r="G448" s="1" t="s">
        <v>78</v>
      </c>
      <c r="H448" s="1"/>
      <c r="I448" s="1"/>
      <c r="J448" s="15">
        <v>1825.0</v>
      </c>
      <c r="K448" s="1" t="s">
        <v>90</v>
      </c>
      <c r="L448" s="8">
        <v>46033.0</v>
      </c>
    </row>
    <row r="449">
      <c r="A449" s="16">
        <v>46034.54366917824</v>
      </c>
      <c r="B449" s="1"/>
      <c r="C449" s="1"/>
      <c r="D449" s="1" t="s">
        <v>76</v>
      </c>
      <c r="E449" s="1" t="s">
        <v>77</v>
      </c>
      <c r="F449" s="1" t="s">
        <v>78</v>
      </c>
      <c r="G449" s="1" t="s">
        <v>79</v>
      </c>
      <c r="H449" s="1"/>
      <c r="I449" s="1"/>
      <c r="J449" s="15"/>
      <c r="K449" s="1" t="s">
        <v>80</v>
      </c>
      <c r="L449" s="8">
        <v>46034.0</v>
      </c>
    </row>
    <row r="450">
      <c r="A450" s="16">
        <v>46034.54367914352</v>
      </c>
      <c r="B450" s="1" t="s">
        <v>244</v>
      </c>
      <c r="C450" s="1" t="s">
        <v>81</v>
      </c>
      <c r="D450" s="1" t="s">
        <v>99</v>
      </c>
      <c r="E450" s="1" t="s">
        <v>107</v>
      </c>
      <c r="F450" s="1" t="s">
        <v>108</v>
      </c>
      <c r="G450" s="1" t="s">
        <v>109</v>
      </c>
      <c r="H450" s="1" t="s">
        <v>110</v>
      </c>
      <c r="I450" s="1"/>
      <c r="J450" s="15"/>
      <c r="K450" s="1"/>
      <c r="L450" s="8">
        <v>46034.0</v>
      </c>
    </row>
    <row r="451">
      <c r="A451" s="16">
        <v>46034.54369402778</v>
      </c>
      <c r="B451" s="1"/>
      <c r="C451" s="1" t="s">
        <v>76</v>
      </c>
      <c r="D451" s="1" t="s">
        <v>76</v>
      </c>
      <c r="E451" s="1" t="s">
        <v>88</v>
      </c>
      <c r="F451" s="1" t="s">
        <v>104</v>
      </c>
      <c r="G451" s="1" t="s">
        <v>104</v>
      </c>
      <c r="H451" s="1"/>
      <c r="I451" s="1"/>
      <c r="J451" s="15">
        <v>1374.0</v>
      </c>
      <c r="K451" s="1" t="s">
        <v>111</v>
      </c>
      <c r="L451" s="8">
        <v>46034.0</v>
      </c>
    </row>
    <row r="452">
      <c r="A452" s="16">
        <v>46034.54369734954</v>
      </c>
      <c r="B452" s="1"/>
      <c r="C452" s="1" t="s">
        <v>76</v>
      </c>
      <c r="D452" s="1" t="s">
        <v>76</v>
      </c>
      <c r="E452" s="1" t="s">
        <v>88</v>
      </c>
      <c r="F452" s="1" t="s">
        <v>78</v>
      </c>
      <c r="G452" s="1" t="s">
        <v>78</v>
      </c>
      <c r="H452" s="1"/>
      <c r="I452" s="1"/>
      <c r="J452" s="15">
        <v>3130.0</v>
      </c>
      <c r="K452" s="1" t="s">
        <v>90</v>
      </c>
      <c r="L452" s="8">
        <v>46034.0</v>
      </c>
    </row>
    <row r="453">
      <c r="A453" s="16">
        <v>46034.54417837963</v>
      </c>
      <c r="B453" s="1"/>
      <c r="C453" s="1"/>
      <c r="D453" s="1" t="s">
        <v>76</v>
      </c>
      <c r="E453" s="1" t="s">
        <v>77</v>
      </c>
      <c r="F453" s="1" t="s">
        <v>78</v>
      </c>
      <c r="G453" s="1" t="s">
        <v>79</v>
      </c>
      <c r="H453" s="1"/>
      <c r="I453" s="1"/>
      <c r="J453" s="15"/>
      <c r="K453" s="1" t="s">
        <v>80</v>
      </c>
      <c r="L453" s="8">
        <v>46034.0</v>
      </c>
    </row>
    <row r="454">
      <c r="A454" s="16">
        <v>46034.544185439816</v>
      </c>
      <c r="B454" s="1" t="s">
        <v>244</v>
      </c>
      <c r="C454" s="1" t="s">
        <v>81</v>
      </c>
      <c r="D454" s="1" t="s">
        <v>99</v>
      </c>
      <c r="E454" s="1" t="s">
        <v>100</v>
      </c>
      <c r="F454" s="1" t="s">
        <v>101</v>
      </c>
      <c r="G454" s="1" t="s">
        <v>102</v>
      </c>
      <c r="H454" s="1" t="s">
        <v>259</v>
      </c>
      <c r="I454" s="1"/>
      <c r="J454" s="15"/>
      <c r="K454" s="1"/>
      <c r="L454" s="8">
        <v>46034.0</v>
      </c>
    </row>
    <row r="455">
      <c r="A455" s="16">
        <v>46034.5441937037</v>
      </c>
      <c r="B455" s="1"/>
      <c r="C455" s="1" t="s">
        <v>76</v>
      </c>
      <c r="D455" s="1" t="s">
        <v>76</v>
      </c>
      <c r="E455" s="1" t="s">
        <v>88</v>
      </c>
      <c r="F455" s="1" t="s">
        <v>104</v>
      </c>
      <c r="G455" s="1" t="s">
        <v>104</v>
      </c>
      <c r="H455" s="1"/>
      <c r="I455" s="1"/>
      <c r="J455" s="15">
        <v>942.0</v>
      </c>
      <c r="K455" s="1" t="s">
        <v>260</v>
      </c>
      <c r="L455" s="8">
        <v>46034.0</v>
      </c>
    </row>
    <row r="456">
      <c r="A456" s="16">
        <v>46034.54419868055</v>
      </c>
      <c r="B456" s="1"/>
      <c r="C456" s="1" t="s">
        <v>76</v>
      </c>
      <c r="D456" s="1" t="s">
        <v>76</v>
      </c>
      <c r="E456" s="1" t="s">
        <v>88</v>
      </c>
      <c r="F456" s="1" t="s">
        <v>78</v>
      </c>
      <c r="G456" s="1" t="s">
        <v>78</v>
      </c>
      <c r="H456" s="1"/>
      <c r="I456" s="1"/>
      <c r="J456" s="15">
        <v>1875.0</v>
      </c>
      <c r="K456" s="1" t="s">
        <v>90</v>
      </c>
      <c r="L456" s="8">
        <v>46034.0</v>
      </c>
    </row>
    <row r="457">
      <c r="A457" s="16">
        <v>46034.55587795139</v>
      </c>
      <c r="B457" s="1"/>
      <c r="C457" s="1"/>
      <c r="D457" s="1" t="s">
        <v>76</v>
      </c>
      <c r="E457" s="1" t="s">
        <v>77</v>
      </c>
      <c r="F457" s="1" t="s">
        <v>78</v>
      </c>
      <c r="G457" s="1" t="s">
        <v>79</v>
      </c>
      <c r="H457" s="1"/>
      <c r="I457" s="1"/>
      <c r="J457" s="15"/>
      <c r="K457" s="1" t="s">
        <v>80</v>
      </c>
      <c r="L457" s="8">
        <v>46034.0</v>
      </c>
    </row>
    <row r="458">
      <c r="A458" s="16">
        <v>46034.55588284723</v>
      </c>
      <c r="B458" s="1" t="s">
        <v>244</v>
      </c>
      <c r="C458" s="1" t="s">
        <v>81</v>
      </c>
      <c r="D458" s="1" t="s">
        <v>99</v>
      </c>
      <c r="E458" s="1" t="s">
        <v>100</v>
      </c>
      <c r="F458" s="1" t="s">
        <v>101</v>
      </c>
      <c r="G458" s="1" t="s">
        <v>102</v>
      </c>
      <c r="H458" s="1" t="s">
        <v>241</v>
      </c>
      <c r="I458" s="1"/>
      <c r="J458" s="15"/>
      <c r="K458" s="1"/>
      <c r="L458" s="8">
        <v>46034.0</v>
      </c>
    </row>
    <row r="459">
      <c r="A459" s="16">
        <v>46034.555893020835</v>
      </c>
      <c r="B459" s="1"/>
      <c r="C459" s="1" t="s">
        <v>76</v>
      </c>
      <c r="D459" s="1" t="s">
        <v>76</v>
      </c>
      <c r="E459" s="1" t="s">
        <v>88</v>
      </c>
      <c r="F459" s="1" t="s">
        <v>104</v>
      </c>
      <c r="G459" s="1" t="s">
        <v>104</v>
      </c>
      <c r="H459" s="1"/>
      <c r="I459" s="1"/>
      <c r="J459" s="15">
        <v>880.0</v>
      </c>
      <c r="K459" s="1" t="s">
        <v>242</v>
      </c>
      <c r="L459" s="8">
        <v>46034.0</v>
      </c>
    </row>
    <row r="460">
      <c r="A460" s="16">
        <v>46034.55589777778</v>
      </c>
      <c r="B460" s="1"/>
      <c r="C460" s="1" t="s">
        <v>76</v>
      </c>
      <c r="D460" s="1" t="s">
        <v>76</v>
      </c>
      <c r="E460" s="1" t="s">
        <v>88</v>
      </c>
      <c r="F460" s="1" t="s">
        <v>78</v>
      </c>
      <c r="G460" s="1" t="s">
        <v>78</v>
      </c>
      <c r="H460" s="1"/>
      <c r="I460" s="1"/>
      <c r="J460" s="15">
        <v>2335.0</v>
      </c>
      <c r="K460" s="1" t="s">
        <v>90</v>
      </c>
      <c r="L460" s="8">
        <v>46034.0</v>
      </c>
    </row>
    <row r="461">
      <c r="A461" s="16">
        <v>46034.55738668982</v>
      </c>
      <c r="B461" s="1"/>
      <c r="C461" s="1"/>
      <c r="D461" s="1" t="s">
        <v>76</v>
      </c>
      <c r="E461" s="1" t="s">
        <v>77</v>
      </c>
      <c r="F461" s="1" t="s">
        <v>78</v>
      </c>
      <c r="G461" s="1" t="s">
        <v>79</v>
      </c>
      <c r="H461" s="1"/>
      <c r="I461" s="1"/>
      <c r="J461" s="15"/>
      <c r="K461" s="1" t="s">
        <v>80</v>
      </c>
      <c r="L461" s="8">
        <v>46034.0</v>
      </c>
    </row>
    <row r="462">
      <c r="A462" s="16">
        <v>46034.55739091436</v>
      </c>
      <c r="B462" s="1" t="s">
        <v>244</v>
      </c>
      <c r="C462" s="1" t="s">
        <v>81</v>
      </c>
      <c r="D462" s="1" t="s">
        <v>99</v>
      </c>
      <c r="E462" s="1" t="s">
        <v>100</v>
      </c>
      <c r="F462" s="1" t="s">
        <v>101</v>
      </c>
      <c r="G462" s="1" t="s">
        <v>102</v>
      </c>
      <c r="H462" s="1" t="s">
        <v>241</v>
      </c>
      <c r="I462" s="1"/>
      <c r="J462" s="15"/>
      <c r="K462" s="1"/>
      <c r="L462" s="8">
        <v>46034.0</v>
      </c>
    </row>
    <row r="463">
      <c r="A463" s="16">
        <v>46034.55739497685</v>
      </c>
      <c r="B463" s="1"/>
      <c r="C463" s="1" t="s">
        <v>76</v>
      </c>
      <c r="D463" s="1" t="s">
        <v>76</v>
      </c>
      <c r="E463" s="1" t="s">
        <v>88</v>
      </c>
      <c r="F463" s="1" t="s">
        <v>104</v>
      </c>
      <c r="G463" s="1" t="s">
        <v>104</v>
      </c>
      <c r="H463" s="1"/>
      <c r="I463" s="1"/>
      <c r="J463" s="15">
        <v>358.0</v>
      </c>
      <c r="K463" s="1" t="s">
        <v>242</v>
      </c>
      <c r="L463" s="8">
        <v>46034.0</v>
      </c>
    </row>
    <row r="464">
      <c r="A464" s="16">
        <v>46034.55740157407</v>
      </c>
      <c r="B464" s="1"/>
      <c r="C464" s="1" t="s">
        <v>76</v>
      </c>
      <c r="D464" s="1" t="s">
        <v>76</v>
      </c>
      <c r="E464" s="1" t="s">
        <v>88</v>
      </c>
      <c r="F464" s="1" t="s">
        <v>78</v>
      </c>
      <c r="G464" s="1" t="s">
        <v>78</v>
      </c>
      <c r="H464" s="1"/>
      <c r="I464" s="1"/>
      <c r="J464" s="15">
        <v>1351.0</v>
      </c>
      <c r="K464" s="1" t="s">
        <v>90</v>
      </c>
      <c r="L464" s="8">
        <v>46034.0</v>
      </c>
    </row>
    <row r="465">
      <c r="A465" s="16">
        <v>46035.332479398145</v>
      </c>
      <c r="B465" s="1"/>
      <c r="C465" s="1"/>
      <c r="D465" s="1" t="s">
        <v>76</v>
      </c>
      <c r="E465" s="1" t="s">
        <v>77</v>
      </c>
      <c r="F465" s="1" t="s">
        <v>78</v>
      </c>
      <c r="G465" s="1" t="s">
        <v>79</v>
      </c>
      <c r="H465" s="1"/>
      <c r="I465" s="1"/>
      <c r="J465" s="15"/>
      <c r="K465" s="1" t="s">
        <v>80</v>
      </c>
      <c r="L465" s="8">
        <v>46035.0</v>
      </c>
    </row>
    <row r="466">
      <c r="A466" s="16">
        <v>46035.332487499996</v>
      </c>
      <c r="B466" s="1" t="s">
        <v>261</v>
      </c>
      <c r="C466" s="1" t="s">
        <v>81</v>
      </c>
      <c r="D466" s="1" t="s">
        <v>99</v>
      </c>
      <c r="E466" s="1" t="s">
        <v>107</v>
      </c>
      <c r="F466" s="1" t="s">
        <v>108</v>
      </c>
      <c r="G466" s="1" t="s">
        <v>109</v>
      </c>
      <c r="H466" s="1" t="s">
        <v>110</v>
      </c>
      <c r="I466" s="1"/>
      <c r="J466" s="15"/>
      <c r="K466" s="1"/>
      <c r="L466" s="8">
        <v>46035.0</v>
      </c>
    </row>
    <row r="467">
      <c r="A467" s="16">
        <v>46035.33250592592</v>
      </c>
      <c r="B467" s="1"/>
      <c r="C467" s="1" t="s">
        <v>76</v>
      </c>
      <c r="D467" s="1" t="s">
        <v>76</v>
      </c>
      <c r="E467" s="1" t="s">
        <v>88</v>
      </c>
      <c r="F467" s="1" t="s">
        <v>104</v>
      </c>
      <c r="G467" s="1" t="s">
        <v>104</v>
      </c>
      <c r="H467" s="1"/>
      <c r="I467" s="1"/>
      <c r="J467" s="15">
        <v>1593.0</v>
      </c>
      <c r="K467" s="1" t="s">
        <v>111</v>
      </c>
      <c r="L467" s="8">
        <v>46035.0</v>
      </c>
    </row>
    <row r="468">
      <c r="A468" s="16">
        <v>46035.332511099536</v>
      </c>
      <c r="B468" s="1"/>
      <c r="C468" s="1" t="s">
        <v>76</v>
      </c>
      <c r="D468" s="1" t="s">
        <v>76</v>
      </c>
      <c r="E468" s="1" t="s">
        <v>88</v>
      </c>
      <c r="F468" s="1" t="s">
        <v>78</v>
      </c>
      <c r="G468" s="1" t="s">
        <v>78</v>
      </c>
      <c r="H468" s="1"/>
      <c r="I468" s="1"/>
      <c r="J468" s="15">
        <v>3506.0</v>
      </c>
      <c r="K468" s="1" t="s">
        <v>90</v>
      </c>
      <c r="L468" s="8">
        <v>46035.0</v>
      </c>
    </row>
    <row r="469">
      <c r="A469" s="16">
        <v>46035.33265084491</v>
      </c>
      <c r="B469" s="1"/>
      <c r="C469" s="1"/>
      <c r="D469" s="1" t="s">
        <v>76</v>
      </c>
      <c r="E469" s="1" t="s">
        <v>77</v>
      </c>
      <c r="F469" s="1" t="s">
        <v>78</v>
      </c>
      <c r="G469" s="1" t="s">
        <v>79</v>
      </c>
      <c r="H469" s="1"/>
      <c r="I469" s="1"/>
      <c r="J469" s="15"/>
      <c r="K469" s="1" t="s">
        <v>80</v>
      </c>
      <c r="L469" s="8">
        <v>46035.0</v>
      </c>
    </row>
    <row r="470">
      <c r="A470" s="16">
        <v>46035.33265611111</v>
      </c>
      <c r="B470" s="1" t="s">
        <v>261</v>
      </c>
      <c r="C470" s="1" t="s">
        <v>81</v>
      </c>
      <c r="D470" s="1" t="s">
        <v>82</v>
      </c>
      <c r="E470" s="1" t="s">
        <v>112</v>
      </c>
      <c r="F470" s="1" t="s">
        <v>84</v>
      </c>
      <c r="G470" s="1" t="s">
        <v>85</v>
      </c>
      <c r="H470" s="1"/>
      <c r="I470" s="1" t="s">
        <v>113</v>
      </c>
      <c r="J470" s="15"/>
      <c r="K470" s="1" t="s">
        <v>114</v>
      </c>
      <c r="L470" s="8">
        <v>46035.0</v>
      </c>
    </row>
    <row r="471">
      <c r="A471" s="16">
        <v>46035.33266306713</v>
      </c>
      <c r="B471" s="1" t="s">
        <v>261</v>
      </c>
      <c r="C471" s="1" t="s">
        <v>81</v>
      </c>
      <c r="D471" s="1" t="s">
        <v>82</v>
      </c>
      <c r="E471" s="1" t="s">
        <v>112</v>
      </c>
      <c r="F471" s="1" t="s">
        <v>108</v>
      </c>
      <c r="G471" s="1" t="s">
        <v>115</v>
      </c>
      <c r="H471" s="1"/>
      <c r="I471" s="1" t="s">
        <v>113</v>
      </c>
      <c r="J471" s="15"/>
      <c r="K471" s="1" t="s">
        <v>114</v>
      </c>
      <c r="L471" s="8">
        <v>46035.0</v>
      </c>
    </row>
    <row r="472">
      <c r="A472" s="16">
        <v>46035.33267336806</v>
      </c>
      <c r="B472" s="1"/>
      <c r="C472" s="1" t="s">
        <v>76</v>
      </c>
      <c r="D472" s="1" t="s">
        <v>76</v>
      </c>
      <c r="E472" s="1" t="s">
        <v>88</v>
      </c>
      <c r="F472" s="1" t="s">
        <v>89</v>
      </c>
      <c r="G472" s="1" t="s">
        <v>89</v>
      </c>
      <c r="H472" s="1"/>
      <c r="I472" s="1"/>
      <c r="J472" s="15">
        <v>1467.0</v>
      </c>
      <c r="K472" s="1" t="s">
        <v>116</v>
      </c>
      <c r="L472" s="8">
        <v>46035.0</v>
      </c>
    </row>
    <row r="473">
      <c r="A473" s="16">
        <v>46035.33268125</v>
      </c>
      <c r="B473" s="1"/>
      <c r="C473" s="1" t="s">
        <v>76</v>
      </c>
      <c r="D473" s="1" t="s">
        <v>76</v>
      </c>
      <c r="E473" s="1" t="s">
        <v>88</v>
      </c>
      <c r="F473" s="1" t="s">
        <v>78</v>
      </c>
      <c r="G473" s="1" t="s">
        <v>78</v>
      </c>
      <c r="H473" s="1"/>
      <c r="I473" s="1"/>
      <c r="J473" s="15">
        <v>2480.0</v>
      </c>
      <c r="K473" s="1" t="s">
        <v>90</v>
      </c>
      <c r="L473" s="8">
        <v>46035.0</v>
      </c>
    </row>
    <row r="474">
      <c r="A474" s="16">
        <v>46035.3326859838</v>
      </c>
      <c r="B474" s="1"/>
      <c r="C474" s="1"/>
      <c r="D474" s="1" t="s">
        <v>76</v>
      </c>
      <c r="E474" s="1" t="s">
        <v>77</v>
      </c>
      <c r="F474" s="1" t="s">
        <v>78</v>
      </c>
      <c r="G474" s="1" t="s">
        <v>79</v>
      </c>
      <c r="H474" s="1"/>
      <c r="I474" s="1"/>
      <c r="J474" s="15"/>
      <c r="K474" s="1" t="s">
        <v>80</v>
      </c>
      <c r="L474" s="8">
        <v>46035.0</v>
      </c>
    </row>
    <row r="475">
      <c r="A475" s="16">
        <v>46035.33269077547</v>
      </c>
      <c r="B475" s="1" t="s">
        <v>261</v>
      </c>
      <c r="C475" s="1" t="s">
        <v>81</v>
      </c>
      <c r="D475" s="1" t="s">
        <v>82</v>
      </c>
      <c r="E475" s="1" t="s">
        <v>112</v>
      </c>
      <c r="F475" s="1" t="s">
        <v>84</v>
      </c>
      <c r="G475" s="1" t="s">
        <v>85</v>
      </c>
      <c r="H475" s="1"/>
      <c r="I475" s="1" t="s">
        <v>113</v>
      </c>
      <c r="J475" s="15"/>
      <c r="K475" s="1" t="s">
        <v>114</v>
      </c>
      <c r="L475" s="8">
        <v>46035.0</v>
      </c>
    </row>
    <row r="476">
      <c r="A476" s="16">
        <v>46035.33270621528</v>
      </c>
      <c r="B476" s="1" t="s">
        <v>261</v>
      </c>
      <c r="C476" s="1" t="s">
        <v>81</v>
      </c>
      <c r="D476" s="1" t="s">
        <v>82</v>
      </c>
      <c r="E476" s="1" t="s">
        <v>112</v>
      </c>
      <c r="F476" s="1" t="s">
        <v>108</v>
      </c>
      <c r="G476" s="1" t="s">
        <v>115</v>
      </c>
      <c r="H476" s="1"/>
      <c r="I476" s="1" t="s">
        <v>113</v>
      </c>
      <c r="J476" s="15"/>
      <c r="K476" s="1" t="s">
        <v>114</v>
      </c>
      <c r="L476" s="8">
        <v>46035.0</v>
      </c>
    </row>
    <row r="477">
      <c r="A477" s="16">
        <v>46035.332720011575</v>
      </c>
      <c r="B477" s="1"/>
      <c r="C477" s="1" t="s">
        <v>76</v>
      </c>
      <c r="D477" s="1" t="s">
        <v>76</v>
      </c>
      <c r="E477" s="1" t="s">
        <v>88</v>
      </c>
      <c r="F477" s="1" t="s">
        <v>89</v>
      </c>
      <c r="G477" s="1" t="s">
        <v>89</v>
      </c>
      <c r="H477" s="1"/>
      <c r="I477" s="1"/>
      <c r="J477" s="15">
        <v>2059.0</v>
      </c>
      <c r="K477" s="1" t="s">
        <v>116</v>
      </c>
      <c r="L477" s="8">
        <v>46035.0</v>
      </c>
    </row>
    <row r="478">
      <c r="A478" s="16">
        <v>46035.332724837965</v>
      </c>
      <c r="B478" s="1"/>
      <c r="C478" s="1" t="s">
        <v>76</v>
      </c>
      <c r="D478" s="1" t="s">
        <v>76</v>
      </c>
      <c r="E478" s="1" t="s">
        <v>88</v>
      </c>
      <c r="F478" s="1" t="s">
        <v>78</v>
      </c>
      <c r="G478" s="1" t="s">
        <v>78</v>
      </c>
      <c r="H478" s="1"/>
      <c r="I478" s="1"/>
      <c r="J478" s="15">
        <v>3411.0</v>
      </c>
      <c r="K478" s="1" t="s">
        <v>90</v>
      </c>
      <c r="L478" s="8">
        <v>46035.0</v>
      </c>
    </row>
    <row r="479">
      <c r="A479" s="16">
        <v>46035.332863240736</v>
      </c>
      <c r="B479" s="1"/>
      <c r="C479" s="1"/>
      <c r="D479" s="1" t="s">
        <v>76</v>
      </c>
      <c r="E479" s="1" t="s">
        <v>77</v>
      </c>
      <c r="F479" s="1" t="s">
        <v>78</v>
      </c>
      <c r="G479" s="1" t="s">
        <v>79</v>
      </c>
      <c r="H479" s="1"/>
      <c r="I479" s="1"/>
      <c r="J479" s="15"/>
      <c r="K479" s="1" t="s">
        <v>80</v>
      </c>
      <c r="L479" s="8">
        <v>46035.0</v>
      </c>
    </row>
    <row r="480">
      <c r="A480" s="16">
        <v>46035.332869363425</v>
      </c>
      <c r="B480" s="1" t="s">
        <v>261</v>
      </c>
      <c r="C480" s="1" t="s">
        <v>81</v>
      </c>
      <c r="D480" s="1" t="s">
        <v>82</v>
      </c>
      <c r="E480" s="1" t="s">
        <v>91</v>
      </c>
      <c r="F480" s="1" t="s">
        <v>84</v>
      </c>
      <c r="G480" s="1" t="s">
        <v>85</v>
      </c>
      <c r="H480" s="1"/>
      <c r="I480" s="1" t="s">
        <v>92</v>
      </c>
      <c r="J480" s="15"/>
      <c r="K480" s="1" t="s">
        <v>93</v>
      </c>
      <c r="L480" s="8">
        <v>46035.0</v>
      </c>
    </row>
    <row r="481">
      <c r="A481" s="16">
        <v>46035.33288484954</v>
      </c>
      <c r="B481" s="1"/>
      <c r="C481" s="1" t="s">
        <v>76</v>
      </c>
      <c r="D481" s="1" t="s">
        <v>76</v>
      </c>
      <c r="E481" s="1" t="s">
        <v>88</v>
      </c>
      <c r="F481" s="1" t="s">
        <v>89</v>
      </c>
      <c r="G481" s="1" t="s">
        <v>89</v>
      </c>
      <c r="H481" s="1"/>
      <c r="I481" s="1"/>
      <c r="J481" s="15">
        <v>1352.0</v>
      </c>
      <c r="K481" s="1" t="s">
        <v>93</v>
      </c>
      <c r="L481" s="8">
        <v>46035.0</v>
      </c>
    </row>
    <row r="482">
      <c r="A482" s="16">
        <v>46035.3328912037</v>
      </c>
      <c r="B482" s="1"/>
      <c r="C482" s="1" t="s">
        <v>76</v>
      </c>
      <c r="D482" s="1" t="s">
        <v>76</v>
      </c>
      <c r="E482" s="1" t="s">
        <v>88</v>
      </c>
      <c r="F482" s="1" t="s">
        <v>78</v>
      </c>
      <c r="G482" s="1" t="s">
        <v>78</v>
      </c>
      <c r="H482" s="1"/>
      <c r="I482" s="1"/>
      <c r="J482" s="15">
        <v>2569.0</v>
      </c>
      <c r="K482" s="1" t="s">
        <v>90</v>
      </c>
      <c r="L482" s="8">
        <v>46035.0</v>
      </c>
    </row>
    <row r="483">
      <c r="A483" s="16">
        <v>46035.33296255787</v>
      </c>
      <c r="B483" s="1"/>
      <c r="C483" s="1"/>
      <c r="D483" s="1" t="s">
        <v>76</v>
      </c>
      <c r="E483" s="1" t="s">
        <v>77</v>
      </c>
      <c r="F483" s="1" t="s">
        <v>78</v>
      </c>
      <c r="G483" s="1" t="s">
        <v>79</v>
      </c>
      <c r="H483" s="1"/>
      <c r="I483" s="1"/>
      <c r="J483" s="15"/>
      <c r="K483" s="1" t="s">
        <v>80</v>
      </c>
      <c r="L483" s="8">
        <v>46035.0</v>
      </c>
    </row>
    <row r="484">
      <c r="A484" s="16">
        <v>46035.33296875</v>
      </c>
      <c r="B484" s="1" t="s">
        <v>261</v>
      </c>
      <c r="C484" s="1" t="s">
        <v>81</v>
      </c>
      <c r="D484" s="1" t="s">
        <v>82</v>
      </c>
      <c r="E484" s="1" t="s">
        <v>94</v>
      </c>
      <c r="F484" s="1" t="s">
        <v>84</v>
      </c>
      <c r="G484" s="1" t="s">
        <v>85</v>
      </c>
      <c r="H484" s="1"/>
      <c r="I484" s="1" t="s">
        <v>262</v>
      </c>
      <c r="J484" s="15"/>
      <c r="K484" s="1" t="s">
        <v>263</v>
      </c>
      <c r="L484" s="8">
        <v>46035.0</v>
      </c>
    </row>
    <row r="485">
      <c r="A485" s="16">
        <v>46035.33304362268</v>
      </c>
      <c r="B485" s="1"/>
      <c r="C485" s="1" t="s">
        <v>76</v>
      </c>
      <c r="D485" s="1" t="s">
        <v>76</v>
      </c>
      <c r="E485" s="1" t="s">
        <v>88</v>
      </c>
      <c r="F485" s="1" t="s">
        <v>89</v>
      </c>
      <c r="G485" s="1" t="s">
        <v>89</v>
      </c>
      <c r="H485" s="1"/>
      <c r="I485" s="1"/>
      <c r="J485" s="15">
        <v>6481.0</v>
      </c>
      <c r="K485" s="1" t="s">
        <v>97</v>
      </c>
      <c r="L485" s="8">
        <v>46035.0</v>
      </c>
    </row>
    <row r="486">
      <c r="A486" s="16">
        <v>46035.333050138885</v>
      </c>
      <c r="B486" s="1"/>
      <c r="C486" s="1" t="s">
        <v>76</v>
      </c>
      <c r="D486" s="1" t="s">
        <v>76</v>
      </c>
      <c r="E486" s="1" t="s">
        <v>88</v>
      </c>
      <c r="F486" s="1" t="s">
        <v>78</v>
      </c>
      <c r="G486" s="1" t="s">
        <v>78</v>
      </c>
      <c r="H486" s="1"/>
      <c r="I486" s="1"/>
      <c r="J486" s="15">
        <v>7662.0</v>
      </c>
      <c r="K486" s="1" t="s">
        <v>90</v>
      </c>
      <c r="L486" s="8">
        <v>46035.0</v>
      </c>
    </row>
    <row r="487">
      <c r="A487" s="16">
        <v>46035.39479052083</v>
      </c>
      <c r="B487" s="1"/>
      <c r="C487" s="1"/>
      <c r="D487" s="1" t="s">
        <v>76</v>
      </c>
      <c r="E487" s="1" t="s">
        <v>77</v>
      </c>
      <c r="F487" s="1" t="s">
        <v>78</v>
      </c>
      <c r="G487" s="1" t="s">
        <v>79</v>
      </c>
      <c r="H487" s="1"/>
      <c r="I487" s="1"/>
      <c r="J487" s="15"/>
      <c r="K487" s="1" t="s">
        <v>80</v>
      </c>
      <c r="L487" s="8">
        <v>46035.0</v>
      </c>
    </row>
    <row r="488">
      <c r="A488" s="16">
        <v>46035.3947953125</v>
      </c>
      <c r="B488" s="1" t="s">
        <v>45</v>
      </c>
      <c r="C488" s="1" t="s">
        <v>81</v>
      </c>
      <c r="D488" s="1" t="s">
        <v>99</v>
      </c>
      <c r="E488" s="1" t="s">
        <v>107</v>
      </c>
      <c r="F488" s="1" t="s">
        <v>108</v>
      </c>
      <c r="G488" s="1" t="s">
        <v>109</v>
      </c>
      <c r="H488" s="1" t="s">
        <v>110</v>
      </c>
      <c r="I488" s="1"/>
      <c r="J488" s="15"/>
      <c r="K488" s="1"/>
      <c r="L488" s="8">
        <v>46035.0</v>
      </c>
    </row>
    <row r="489">
      <c r="A489" s="16">
        <v>46035.39480945602</v>
      </c>
      <c r="B489" s="1"/>
      <c r="C489" s="1" t="s">
        <v>76</v>
      </c>
      <c r="D489" s="1" t="s">
        <v>76</v>
      </c>
      <c r="E489" s="1" t="s">
        <v>88</v>
      </c>
      <c r="F489" s="1" t="s">
        <v>104</v>
      </c>
      <c r="G489" s="1" t="s">
        <v>104</v>
      </c>
      <c r="H489" s="1"/>
      <c r="I489" s="1"/>
      <c r="J489" s="15">
        <v>1235.0</v>
      </c>
      <c r="K489" s="1" t="s">
        <v>111</v>
      </c>
      <c r="L489" s="8">
        <v>46035.0</v>
      </c>
    </row>
    <row r="490">
      <c r="A490" s="16">
        <v>46035.394813391205</v>
      </c>
      <c r="B490" s="1"/>
      <c r="C490" s="1" t="s">
        <v>76</v>
      </c>
      <c r="D490" s="1" t="s">
        <v>76</v>
      </c>
      <c r="E490" s="1" t="s">
        <v>88</v>
      </c>
      <c r="F490" s="1" t="s">
        <v>78</v>
      </c>
      <c r="G490" s="1" t="s">
        <v>78</v>
      </c>
      <c r="H490" s="1"/>
      <c r="I490" s="1"/>
      <c r="J490" s="15">
        <v>2612.0</v>
      </c>
      <c r="K490" s="1" t="s">
        <v>90</v>
      </c>
      <c r="L490" s="8">
        <v>46035.0</v>
      </c>
    </row>
    <row r="491">
      <c r="A491" s="16">
        <v>46035.394856666666</v>
      </c>
      <c r="B491" s="1"/>
      <c r="C491" s="1"/>
      <c r="D491" s="1" t="s">
        <v>76</v>
      </c>
      <c r="E491" s="1" t="s">
        <v>77</v>
      </c>
      <c r="F491" s="1" t="s">
        <v>78</v>
      </c>
      <c r="G491" s="1" t="s">
        <v>79</v>
      </c>
      <c r="H491" s="1"/>
      <c r="I491" s="1"/>
      <c r="J491" s="15"/>
      <c r="K491" s="1" t="s">
        <v>80</v>
      </c>
      <c r="L491" s="8">
        <v>46035.0</v>
      </c>
    </row>
    <row r="492">
      <c r="A492" s="16">
        <v>46035.39486141204</v>
      </c>
      <c r="B492" s="1" t="s">
        <v>45</v>
      </c>
      <c r="C492" s="1" t="s">
        <v>81</v>
      </c>
      <c r="D492" s="1" t="s">
        <v>82</v>
      </c>
      <c r="E492" s="1" t="s">
        <v>112</v>
      </c>
      <c r="F492" s="1" t="s">
        <v>84</v>
      </c>
      <c r="G492" s="1" t="s">
        <v>85</v>
      </c>
      <c r="H492" s="1"/>
      <c r="I492" s="1" t="s">
        <v>113</v>
      </c>
      <c r="J492" s="15"/>
      <c r="K492" s="1" t="s">
        <v>114</v>
      </c>
      <c r="L492" s="8">
        <v>46035.0</v>
      </c>
    </row>
    <row r="493">
      <c r="A493" s="16">
        <v>46035.394866539355</v>
      </c>
      <c r="B493" s="1" t="s">
        <v>45</v>
      </c>
      <c r="C493" s="1" t="s">
        <v>81</v>
      </c>
      <c r="D493" s="1" t="s">
        <v>82</v>
      </c>
      <c r="E493" s="1" t="s">
        <v>112</v>
      </c>
      <c r="F493" s="1" t="s">
        <v>108</v>
      </c>
      <c r="G493" s="1" t="s">
        <v>115</v>
      </c>
      <c r="H493" s="1"/>
      <c r="I493" s="1" t="s">
        <v>113</v>
      </c>
      <c r="J493" s="15"/>
      <c r="K493" s="1" t="s">
        <v>114</v>
      </c>
      <c r="L493" s="8">
        <v>46035.0</v>
      </c>
    </row>
    <row r="494">
      <c r="A494" s="16">
        <v>46035.39487880787</v>
      </c>
      <c r="B494" s="1"/>
      <c r="C494" s="1" t="s">
        <v>76</v>
      </c>
      <c r="D494" s="1" t="s">
        <v>76</v>
      </c>
      <c r="E494" s="1" t="s">
        <v>88</v>
      </c>
      <c r="F494" s="1" t="s">
        <v>89</v>
      </c>
      <c r="G494" s="1" t="s">
        <v>89</v>
      </c>
      <c r="H494" s="1"/>
      <c r="I494" s="1"/>
      <c r="J494" s="15">
        <v>1458.0</v>
      </c>
      <c r="K494" s="1" t="s">
        <v>116</v>
      </c>
      <c r="L494" s="8">
        <v>46035.0</v>
      </c>
    </row>
    <row r="495">
      <c r="A495" s="16">
        <v>46035.39488414352</v>
      </c>
      <c r="B495" s="1"/>
      <c r="C495" s="1" t="s">
        <v>76</v>
      </c>
      <c r="D495" s="1" t="s">
        <v>76</v>
      </c>
      <c r="E495" s="1" t="s">
        <v>88</v>
      </c>
      <c r="F495" s="1" t="s">
        <v>78</v>
      </c>
      <c r="G495" s="1" t="s">
        <v>78</v>
      </c>
      <c r="H495" s="1"/>
      <c r="I495" s="1"/>
      <c r="J495" s="15">
        <v>2452.0</v>
      </c>
      <c r="K495" s="1" t="s">
        <v>90</v>
      </c>
      <c r="L495" s="8">
        <v>46035.0</v>
      </c>
    </row>
    <row r="496">
      <c r="A496" s="16">
        <v>46035.39504773148</v>
      </c>
      <c r="B496" s="1"/>
      <c r="C496" s="1"/>
      <c r="D496" s="1" t="s">
        <v>76</v>
      </c>
      <c r="E496" s="1" t="s">
        <v>77</v>
      </c>
      <c r="F496" s="1" t="s">
        <v>78</v>
      </c>
      <c r="G496" s="1" t="s">
        <v>79</v>
      </c>
      <c r="H496" s="1"/>
      <c r="I496" s="1"/>
      <c r="J496" s="15"/>
      <c r="K496" s="1" t="s">
        <v>80</v>
      </c>
      <c r="L496" s="8">
        <v>46035.0</v>
      </c>
    </row>
    <row r="497">
      <c r="A497" s="16">
        <v>46035.39505427083</v>
      </c>
      <c r="B497" s="1" t="s">
        <v>45</v>
      </c>
      <c r="C497" s="1" t="s">
        <v>81</v>
      </c>
      <c r="D497" s="1" t="s">
        <v>82</v>
      </c>
      <c r="E497" s="1" t="s">
        <v>91</v>
      </c>
      <c r="F497" s="1" t="s">
        <v>84</v>
      </c>
      <c r="G497" s="1" t="s">
        <v>85</v>
      </c>
      <c r="H497" s="1"/>
      <c r="I497" s="1" t="s">
        <v>92</v>
      </c>
      <c r="J497" s="15"/>
      <c r="K497" s="1" t="s">
        <v>93</v>
      </c>
      <c r="L497" s="8">
        <v>46035.0</v>
      </c>
    </row>
    <row r="498">
      <c r="A498" s="16">
        <v>46035.39506171296</v>
      </c>
      <c r="B498" s="1"/>
      <c r="C498" s="1" t="s">
        <v>76</v>
      </c>
      <c r="D498" s="1" t="s">
        <v>76</v>
      </c>
      <c r="E498" s="1" t="s">
        <v>88</v>
      </c>
      <c r="F498" s="1" t="s">
        <v>89</v>
      </c>
      <c r="G498" s="1" t="s">
        <v>89</v>
      </c>
      <c r="H498" s="1"/>
      <c r="I498" s="1"/>
      <c r="J498" s="15">
        <v>905.0</v>
      </c>
      <c r="K498" s="1" t="s">
        <v>93</v>
      </c>
      <c r="L498" s="8">
        <v>46035.0</v>
      </c>
    </row>
    <row r="499">
      <c r="A499" s="16">
        <v>46035.3950649537</v>
      </c>
      <c r="B499" s="1"/>
      <c r="C499" s="1" t="s">
        <v>76</v>
      </c>
      <c r="D499" s="1" t="s">
        <v>76</v>
      </c>
      <c r="E499" s="1" t="s">
        <v>88</v>
      </c>
      <c r="F499" s="1" t="s">
        <v>78</v>
      </c>
      <c r="G499" s="1" t="s">
        <v>78</v>
      </c>
      <c r="H499" s="1"/>
      <c r="I499" s="1"/>
      <c r="J499" s="15">
        <v>4835.0</v>
      </c>
      <c r="K499" s="1" t="s">
        <v>90</v>
      </c>
      <c r="L499" s="8">
        <v>46035.0</v>
      </c>
    </row>
    <row r="500">
      <c r="A500" s="16">
        <v>46035.395175150465</v>
      </c>
      <c r="B500" s="1"/>
      <c r="C500" s="1"/>
      <c r="D500" s="1" t="s">
        <v>76</v>
      </c>
      <c r="E500" s="1" t="s">
        <v>77</v>
      </c>
      <c r="F500" s="1" t="s">
        <v>78</v>
      </c>
      <c r="G500" s="1" t="s">
        <v>79</v>
      </c>
      <c r="H500" s="1"/>
      <c r="I500" s="1"/>
      <c r="J500" s="15"/>
      <c r="K500" s="1" t="s">
        <v>80</v>
      </c>
      <c r="L500" s="8">
        <v>46035.0</v>
      </c>
    </row>
    <row r="501">
      <c r="A501" s="16">
        <v>46035.39518221065</v>
      </c>
      <c r="B501" s="1" t="s">
        <v>45</v>
      </c>
      <c r="C501" s="1" t="s">
        <v>81</v>
      </c>
      <c r="D501" s="1" t="s">
        <v>82</v>
      </c>
      <c r="E501" s="1" t="s">
        <v>94</v>
      </c>
      <c r="F501" s="1" t="s">
        <v>84</v>
      </c>
      <c r="G501" s="1" t="s">
        <v>85</v>
      </c>
      <c r="H501" s="1"/>
      <c r="I501" s="1" t="s">
        <v>217</v>
      </c>
      <c r="J501" s="15"/>
      <c r="K501" s="1" t="s">
        <v>218</v>
      </c>
      <c r="L501" s="8">
        <v>46035.0</v>
      </c>
    </row>
    <row r="502">
      <c r="A502" s="16">
        <v>46035.395759652776</v>
      </c>
      <c r="B502" s="1"/>
      <c r="C502" s="1" t="s">
        <v>76</v>
      </c>
      <c r="D502" s="1" t="s">
        <v>76</v>
      </c>
      <c r="E502" s="1" t="s">
        <v>88</v>
      </c>
      <c r="F502" s="1" t="s">
        <v>89</v>
      </c>
      <c r="G502" s="1" t="s">
        <v>89</v>
      </c>
      <c r="H502" s="1"/>
      <c r="I502" s="1"/>
      <c r="J502" s="15">
        <v>49902.0</v>
      </c>
      <c r="K502" s="1" t="s">
        <v>97</v>
      </c>
      <c r="L502" s="8">
        <v>46035.0</v>
      </c>
    </row>
    <row r="503">
      <c r="A503" s="16">
        <v>46035.3957665625</v>
      </c>
      <c r="B503" s="1"/>
      <c r="C503" s="1" t="s">
        <v>76</v>
      </c>
      <c r="D503" s="1" t="s">
        <v>76</v>
      </c>
      <c r="E503" s="1" t="s">
        <v>88</v>
      </c>
      <c r="F503" s="1" t="s">
        <v>78</v>
      </c>
      <c r="G503" s="1" t="s">
        <v>78</v>
      </c>
      <c r="H503" s="1"/>
      <c r="I503" s="1"/>
      <c r="J503" s="15">
        <v>51594.0</v>
      </c>
      <c r="K503" s="1" t="s">
        <v>90</v>
      </c>
      <c r="L503" s="8">
        <v>46035.0</v>
      </c>
    </row>
    <row r="504">
      <c r="A504" s="16">
        <v>46035.396057488426</v>
      </c>
      <c r="B504" s="1"/>
      <c r="C504" s="1"/>
      <c r="D504" s="1" t="s">
        <v>76</v>
      </c>
      <c r="E504" s="1" t="s">
        <v>77</v>
      </c>
      <c r="F504" s="1" t="s">
        <v>78</v>
      </c>
      <c r="G504" s="1" t="s">
        <v>79</v>
      </c>
      <c r="H504" s="1"/>
      <c r="I504" s="1"/>
      <c r="J504" s="15"/>
      <c r="K504" s="1" t="s">
        <v>80</v>
      </c>
      <c r="L504" s="8">
        <v>46035.0</v>
      </c>
    </row>
    <row r="505">
      <c r="A505" s="16">
        <v>46035.39606254629</v>
      </c>
      <c r="B505" s="1" t="s">
        <v>45</v>
      </c>
      <c r="C505" s="1" t="s">
        <v>81</v>
      </c>
      <c r="D505" s="1" t="s">
        <v>82</v>
      </c>
      <c r="E505" s="1" t="s">
        <v>83</v>
      </c>
      <c r="F505" s="1" t="s">
        <v>84</v>
      </c>
      <c r="G505" s="1" t="s">
        <v>85</v>
      </c>
      <c r="H505" s="1"/>
      <c r="I505" s="1" t="s">
        <v>86</v>
      </c>
      <c r="J505" s="15"/>
      <c r="K505" s="1" t="s">
        <v>87</v>
      </c>
      <c r="L505" s="8">
        <v>46035.0</v>
      </c>
    </row>
    <row r="506">
      <c r="A506" s="16">
        <v>46035.396073993055</v>
      </c>
      <c r="B506" s="1"/>
      <c r="C506" s="1" t="s">
        <v>76</v>
      </c>
      <c r="D506" s="1" t="s">
        <v>76</v>
      </c>
      <c r="E506" s="1" t="s">
        <v>88</v>
      </c>
      <c r="F506" s="1" t="s">
        <v>89</v>
      </c>
      <c r="G506" s="1" t="s">
        <v>89</v>
      </c>
      <c r="H506" s="1"/>
      <c r="I506" s="1"/>
      <c r="J506" s="15">
        <v>1008.0</v>
      </c>
      <c r="K506" s="1" t="s">
        <v>87</v>
      </c>
      <c r="L506" s="8">
        <v>46035.0</v>
      </c>
    </row>
    <row r="507">
      <c r="A507" s="16">
        <v>46035.39607835648</v>
      </c>
      <c r="B507" s="1"/>
      <c r="C507" s="1" t="s">
        <v>76</v>
      </c>
      <c r="D507" s="1" t="s">
        <v>76</v>
      </c>
      <c r="E507" s="1" t="s">
        <v>88</v>
      </c>
      <c r="F507" s="1" t="s">
        <v>78</v>
      </c>
      <c r="G507" s="1" t="s">
        <v>78</v>
      </c>
      <c r="H507" s="1"/>
      <c r="I507" s="1"/>
      <c r="J507" s="15">
        <v>1882.0</v>
      </c>
      <c r="K507" s="1" t="s">
        <v>90</v>
      </c>
      <c r="L507" s="8">
        <v>46035.0</v>
      </c>
    </row>
    <row r="508">
      <c r="A508" s="16">
        <v>46035.39612284722</v>
      </c>
      <c r="B508" s="1"/>
      <c r="C508" s="1"/>
      <c r="D508" s="1" t="s">
        <v>76</v>
      </c>
      <c r="E508" s="1" t="s">
        <v>77</v>
      </c>
      <c r="F508" s="1" t="s">
        <v>78</v>
      </c>
      <c r="G508" s="1" t="s">
        <v>79</v>
      </c>
      <c r="H508" s="1"/>
      <c r="I508" s="1"/>
      <c r="J508" s="15"/>
      <c r="K508" s="1" t="s">
        <v>80</v>
      </c>
      <c r="L508" s="8">
        <v>46035.0</v>
      </c>
    </row>
    <row r="509">
      <c r="A509" s="16">
        <v>46035.39612582176</v>
      </c>
      <c r="B509" s="1" t="s">
        <v>45</v>
      </c>
      <c r="C509" s="1" t="s">
        <v>81</v>
      </c>
      <c r="D509" s="1" t="s">
        <v>82</v>
      </c>
      <c r="E509" s="1" t="s">
        <v>117</v>
      </c>
      <c r="F509" s="1" t="s">
        <v>84</v>
      </c>
      <c r="G509" s="1" t="s">
        <v>85</v>
      </c>
      <c r="H509" s="1"/>
      <c r="I509" s="1" t="s">
        <v>118</v>
      </c>
      <c r="J509" s="15"/>
      <c r="K509" s="1" t="s">
        <v>119</v>
      </c>
      <c r="L509" s="8">
        <v>46035.0</v>
      </c>
    </row>
    <row r="510">
      <c r="A510" s="16">
        <v>46035.396132291666</v>
      </c>
      <c r="B510" s="1"/>
      <c r="C510" s="1" t="s">
        <v>76</v>
      </c>
      <c r="D510" s="1" t="s">
        <v>76</v>
      </c>
      <c r="E510" s="1" t="s">
        <v>88</v>
      </c>
      <c r="F510" s="1" t="s">
        <v>89</v>
      </c>
      <c r="G510" s="1" t="s">
        <v>89</v>
      </c>
      <c r="H510" s="1"/>
      <c r="I510" s="1"/>
      <c r="J510" s="15">
        <v>520.0</v>
      </c>
      <c r="K510" s="1" t="s">
        <v>120</v>
      </c>
      <c r="L510" s="8">
        <v>46035.0</v>
      </c>
    </row>
    <row r="511">
      <c r="A511" s="16">
        <v>46035.39613826389</v>
      </c>
      <c r="B511" s="1"/>
      <c r="C511" s="1" t="s">
        <v>76</v>
      </c>
      <c r="D511" s="1" t="s">
        <v>76</v>
      </c>
      <c r="E511" s="1" t="s">
        <v>88</v>
      </c>
      <c r="F511" s="1" t="s">
        <v>78</v>
      </c>
      <c r="G511" s="1" t="s">
        <v>78</v>
      </c>
      <c r="H511" s="1"/>
      <c r="I511" s="1"/>
      <c r="J511" s="15">
        <v>1463.0</v>
      </c>
      <c r="K511" s="1" t="s">
        <v>90</v>
      </c>
      <c r="L511" s="8">
        <v>46035.0</v>
      </c>
    </row>
    <row r="512">
      <c r="A512" s="16">
        <v>46035.39622576389</v>
      </c>
      <c r="B512" s="1"/>
      <c r="C512" s="1"/>
      <c r="D512" s="1" t="s">
        <v>76</v>
      </c>
      <c r="E512" s="1" t="s">
        <v>77</v>
      </c>
      <c r="F512" s="1" t="s">
        <v>78</v>
      </c>
      <c r="G512" s="1" t="s">
        <v>79</v>
      </c>
      <c r="H512" s="1"/>
      <c r="I512" s="1"/>
      <c r="J512" s="15"/>
      <c r="K512" s="1" t="s">
        <v>80</v>
      </c>
      <c r="L512" s="8">
        <v>46035.0</v>
      </c>
    </row>
    <row r="513">
      <c r="A513" s="16">
        <v>46035.39622952546</v>
      </c>
      <c r="B513" s="1" t="s">
        <v>45</v>
      </c>
      <c r="C513" s="1" t="s">
        <v>81</v>
      </c>
      <c r="D513" s="1" t="s">
        <v>82</v>
      </c>
      <c r="E513" s="1" t="s">
        <v>94</v>
      </c>
      <c r="F513" s="1" t="s">
        <v>84</v>
      </c>
      <c r="G513" s="1" t="s">
        <v>85</v>
      </c>
      <c r="H513" s="1"/>
      <c r="I513" s="1" t="s">
        <v>264</v>
      </c>
      <c r="J513" s="15"/>
      <c r="K513" s="1" t="s">
        <v>265</v>
      </c>
      <c r="L513" s="8">
        <v>46035.0</v>
      </c>
    </row>
    <row r="514">
      <c r="A514" s="16">
        <v>46035.39658707176</v>
      </c>
      <c r="B514" s="1"/>
      <c r="C514" s="1" t="s">
        <v>76</v>
      </c>
      <c r="D514" s="1" t="s">
        <v>76</v>
      </c>
      <c r="E514" s="1" t="s">
        <v>88</v>
      </c>
      <c r="F514" s="1" t="s">
        <v>89</v>
      </c>
      <c r="G514" s="1" t="s">
        <v>89</v>
      </c>
      <c r="H514" s="1"/>
      <c r="I514" s="1"/>
      <c r="J514" s="15">
        <v>30887.0</v>
      </c>
      <c r="K514" s="1" t="s">
        <v>97</v>
      </c>
      <c r="L514" s="8">
        <v>46035.0</v>
      </c>
    </row>
    <row r="515">
      <c r="A515" s="16">
        <v>46035.396590578704</v>
      </c>
      <c r="B515" s="1"/>
      <c r="C515" s="1" t="s">
        <v>76</v>
      </c>
      <c r="D515" s="1" t="s">
        <v>76</v>
      </c>
      <c r="E515" s="1" t="s">
        <v>88</v>
      </c>
      <c r="F515" s="1" t="s">
        <v>78</v>
      </c>
      <c r="G515" s="1" t="s">
        <v>78</v>
      </c>
      <c r="H515" s="1"/>
      <c r="I515" s="1"/>
      <c r="J515" s="15">
        <v>32282.0</v>
      </c>
      <c r="K515" s="1" t="s">
        <v>90</v>
      </c>
      <c r="L515" s="8">
        <v>46035.0</v>
      </c>
    </row>
    <row r="516">
      <c r="A516" s="16">
        <v>46035.39742302083</v>
      </c>
      <c r="B516" s="1"/>
      <c r="C516" s="1"/>
      <c r="D516" s="1" t="s">
        <v>76</v>
      </c>
      <c r="E516" s="1" t="s">
        <v>77</v>
      </c>
      <c r="F516" s="1" t="s">
        <v>78</v>
      </c>
      <c r="G516" s="1" t="s">
        <v>79</v>
      </c>
      <c r="H516" s="1"/>
      <c r="I516" s="1"/>
      <c r="J516" s="15"/>
      <c r="K516" s="1" t="s">
        <v>80</v>
      </c>
      <c r="L516" s="8">
        <v>46035.0</v>
      </c>
    </row>
    <row r="517">
      <c r="A517" s="16">
        <v>46035.39742915509</v>
      </c>
      <c r="B517" s="1" t="s">
        <v>45</v>
      </c>
      <c r="C517" s="1" t="s">
        <v>81</v>
      </c>
      <c r="D517" s="1" t="s">
        <v>82</v>
      </c>
      <c r="E517" s="1" t="s">
        <v>126</v>
      </c>
      <c r="F517" s="1" t="s">
        <v>84</v>
      </c>
      <c r="G517" s="1" t="s">
        <v>85</v>
      </c>
      <c r="H517" s="1"/>
      <c r="I517" s="1" t="s">
        <v>266</v>
      </c>
      <c r="J517" s="15"/>
      <c r="K517" s="1" t="s">
        <v>267</v>
      </c>
      <c r="L517" s="8">
        <v>46035.0</v>
      </c>
    </row>
    <row r="518">
      <c r="A518" s="16">
        <v>46035.397449780095</v>
      </c>
      <c r="B518" s="1"/>
      <c r="C518" s="1" t="s">
        <v>76</v>
      </c>
      <c r="D518" s="1" t="s">
        <v>76</v>
      </c>
      <c r="E518" s="1" t="s">
        <v>88</v>
      </c>
      <c r="F518" s="1" t="s">
        <v>89</v>
      </c>
      <c r="G518" s="1" t="s">
        <v>89</v>
      </c>
      <c r="H518" s="1"/>
      <c r="I518" s="1"/>
      <c r="J518" s="15">
        <v>1819.0</v>
      </c>
      <c r="K518" s="1" t="s">
        <v>129</v>
      </c>
      <c r="L518" s="8">
        <v>46035.0</v>
      </c>
    </row>
    <row r="519">
      <c r="A519" s="16">
        <v>46035.39745251158</v>
      </c>
      <c r="B519" s="1"/>
      <c r="C519" s="1" t="s">
        <v>76</v>
      </c>
      <c r="D519" s="1" t="s">
        <v>76</v>
      </c>
      <c r="E519" s="1" t="s">
        <v>88</v>
      </c>
      <c r="F519" s="1" t="s">
        <v>78</v>
      </c>
      <c r="G519" s="1" t="s">
        <v>78</v>
      </c>
      <c r="H519" s="1"/>
      <c r="I519" s="1"/>
      <c r="J519" s="15">
        <v>2680.0</v>
      </c>
      <c r="K519" s="1" t="s">
        <v>90</v>
      </c>
      <c r="L519" s="8">
        <v>46035.0</v>
      </c>
    </row>
    <row r="520">
      <c r="A520" s="16">
        <v>46035.397539108795</v>
      </c>
      <c r="B520" s="1"/>
      <c r="C520" s="1"/>
      <c r="D520" s="1" t="s">
        <v>76</v>
      </c>
      <c r="E520" s="1" t="s">
        <v>77</v>
      </c>
      <c r="F520" s="1" t="s">
        <v>78</v>
      </c>
      <c r="G520" s="1" t="s">
        <v>79</v>
      </c>
      <c r="H520" s="1"/>
      <c r="I520" s="1"/>
      <c r="J520" s="15"/>
      <c r="K520" s="1" t="s">
        <v>80</v>
      </c>
      <c r="L520" s="8">
        <v>46035.0</v>
      </c>
    </row>
    <row r="521">
      <c r="A521" s="16">
        <v>46035.397542314815</v>
      </c>
      <c r="B521" s="1" t="s">
        <v>45</v>
      </c>
      <c r="C521" s="1" t="s">
        <v>81</v>
      </c>
      <c r="D521" s="1" t="s">
        <v>99</v>
      </c>
      <c r="E521" s="1" t="s">
        <v>107</v>
      </c>
      <c r="F521" s="1" t="s">
        <v>108</v>
      </c>
      <c r="G521" s="1" t="s">
        <v>109</v>
      </c>
      <c r="H521" s="1" t="s">
        <v>110</v>
      </c>
      <c r="I521" s="1"/>
      <c r="J521" s="15"/>
      <c r="K521" s="1"/>
      <c r="L521" s="8">
        <v>46035.0</v>
      </c>
    </row>
    <row r="522">
      <c r="A522" s="16">
        <v>46035.39754922454</v>
      </c>
      <c r="B522" s="1"/>
      <c r="C522" s="1" t="s">
        <v>76</v>
      </c>
      <c r="D522" s="1" t="s">
        <v>76</v>
      </c>
      <c r="E522" s="1" t="s">
        <v>88</v>
      </c>
      <c r="F522" s="1" t="s">
        <v>104</v>
      </c>
      <c r="G522" s="1" t="s">
        <v>104</v>
      </c>
      <c r="H522" s="1"/>
      <c r="I522" s="1"/>
      <c r="J522" s="15">
        <v>573.0</v>
      </c>
      <c r="K522" s="1" t="s">
        <v>111</v>
      </c>
      <c r="L522" s="8">
        <v>46035.0</v>
      </c>
    </row>
    <row r="523">
      <c r="A523" s="16">
        <v>46035.397552581024</v>
      </c>
      <c r="B523" s="1"/>
      <c r="C523" s="1" t="s">
        <v>76</v>
      </c>
      <c r="D523" s="1" t="s">
        <v>76</v>
      </c>
      <c r="E523" s="1" t="s">
        <v>88</v>
      </c>
      <c r="F523" s="1" t="s">
        <v>78</v>
      </c>
      <c r="G523" s="1" t="s">
        <v>78</v>
      </c>
      <c r="H523" s="1"/>
      <c r="I523" s="1"/>
      <c r="J523" s="15">
        <v>1201.0</v>
      </c>
      <c r="K523" s="1" t="s">
        <v>90</v>
      </c>
      <c r="L523" s="8">
        <v>46035.0</v>
      </c>
    </row>
    <row r="524">
      <c r="A524" s="16">
        <v>46035.39758831018</v>
      </c>
      <c r="B524" s="1"/>
      <c r="C524" s="1"/>
      <c r="D524" s="1" t="s">
        <v>76</v>
      </c>
      <c r="E524" s="1" t="s">
        <v>77</v>
      </c>
      <c r="F524" s="1" t="s">
        <v>78</v>
      </c>
      <c r="G524" s="1" t="s">
        <v>79</v>
      </c>
      <c r="H524" s="1"/>
      <c r="I524" s="1"/>
      <c r="J524" s="15"/>
      <c r="K524" s="1" t="s">
        <v>80</v>
      </c>
      <c r="L524" s="8">
        <v>46035.0</v>
      </c>
    </row>
    <row r="525">
      <c r="A525" s="16">
        <v>46035.39759537037</v>
      </c>
      <c r="B525" s="1" t="s">
        <v>45</v>
      </c>
      <c r="C525" s="1" t="s">
        <v>81</v>
      </c>
      <c r="D525" s="1" t="s">
        <v>82</v>
      </c>
      <c r="E525" s="1" t="s">
        <v>112</v>
      </c>
      <c r="F525" s="1" t="s">
        <v>84</v>
      </c>
      <c r="G525" s="1" t="s">
        <v>85</v>
      </c>
      <c r="H525" s="1"/>
      <c r="I525" s="1" t="s">
        <v>151</v>
      </c>
      <c r="J525" s="15"/>
      <c r="K525" s="1" t="s">
        <v>152</v>
      </c>
      <c r="L525" s="8">
        <v>46035.0</v>
      </c>
    </row>
    <row r="526">
      <c r="A526" s="16">
        <v>46035.39759811343</v>
      </c>
      <c r="B526" s="1" t="s">
        <v>45</v>
      </c>
      <c r="C526" s="1" t="s">
        <v>81</v>
      </c>
      <c r="D526" s="1" t="s">
        <v>82</v>
      </c>
      <c r="E526" s="1" t="s">
        <v>112</v>
      </c>
      <c r="F526" s="1" t="s">
        <v>108</v>
      </c>
      <c r="G526" s="1" t="s">
        <v>153</v>
      </c>
      <c r="H526" s="1"/>
      <c r="I526" s="1" t="s">
        <v>151</v>
      </c>
      <c r="J526" s="15"/>
      <c r="K526" s="1" t="s">
        <v>152</v>
      </c>
      <c r="L526" s="8">
        <v>46035.0</v>
      </c>
    </row>
    <row r="527">
      <c r="A527" s="16">
        <v>46035.39760660879</v>
      </c>
      <c r="B527" s="1"/>
      <c r="C527" s="1" t="s">
        <v>76</v>
      </c>
      <c r="D527" s="1" t="s">
        <v>76</v>
      </c>
      <c r="E527" s="1" t="s">
        <v>88</v>
      </c>
      <c r="F527" s="1" t="s">
        <v>89</v>
      </c>
      <c r="G527" s="1" t="s">
        <v>89</v>
      </c>
      <c r="H527" s="1"/>
      <c r="I527" s="1"/>
      <c r="J527" s="15">
        <v>1269.0</v>
      </c>
      <c r="K527" s="1" t="s">
        <v>116</v>
      </c>
      <c r="L527" s="8">
        <v>46035.0</v>
      </c>
    </row>
    <row r="528">
      <c r="A528" s="16">
        <v>46035.39761010416</v>
      </c>
      <c r="B528" s="1"/>
      <c r="C528" s="1" t="s">
        <v>76</v>
      </c>
      <c r="D528" s="1" t="s">
        <v>76</v>
      </c>
      <c r="E528" s="1" t="s">
        <v>88</v>
      </c>
      <c r="F528" s="1" t="s">
        <v>78</v>
      </c>
      <c r="G528" s="1" t="s">
        <v>78</v>
      </c>
      <c r="H528" s="1"/>
      <c r="I528" s="1"/>
      <c r="J528" s="15">
        <v>1909.0</v>
      </c>
      <c r="K528" s="1" t="s">
        <v>90</v>
      </c>
      <c r="L528" s="8">
        <v>46035.0</v>
      </c>
    </row>
    <row r="529">
      <c r="A529" s="16">
        <v>46035.39765144676</v>
      </c>
      <c r="B529" s="1"/>
      <c r="C529" s="1"/>
      <c r="D529" s="1" t="s">
        <v>76</v>
      </c>
      <c r="E529" s="1" t="s">
        <v>77</v>
      </c>
      <c r="F529" s="1" t="s">
        <v>78</v>
      </c>
      <c r="G529" s="1" t="s">
        <v>79</v>
      </c>
      <c r="H529" s="1"/>
      <c r="I529" s="1"/>
      <c r="J529" s="15"/>
      <c r="K529" s="1" t="s">
        <v>80</v>
      </c>
      <c r="L529" s="8">
        <v>46035.0</v>
      </c>
    </row>
    <row r="530">
      <c r="A530" s="16">
        <v>46035.39765564815</v>
      </c>
      <c r="B530" s="1" t="s">
        <v>45</v>
      </c>
      <c r="C530" s="1" t="s">
        <v>81</v>
      </c>
      <c r="D530" s="1" t="s">
        <v>82</v>
      </c>
      <c r="E530" s="1" t="s">
        <v>154</v>
      </c>
      <c r="F530" s="1" t="s">
        <v>84</v>
      </c>
      <c r="G530" s="1" t="s">
        <v>85</v>
      </c>
      <c r="H530" s="1"/>
      <c r="I530" s="1" t="s">
        <v>155</v>
      </c>
      <c r="J530" s="15"/>
      <c r="K530" s="1" t="s">
        <v>156</v>
      </c>
      <c r="L530" s="8">
        <v>46035.0</v>
      </c>
    </row>
    <row r="531">
      <c r="A531" s="16">
        <v>46035.39765983797</v>
      </c>
      <c r="B531" s="1" t="s">
        <v>45</v>
      </c>
      <c r="C531" s="1" t="s">
        <v>81</v>
      </c>
      <c r="D531" s="1" t="s">
        <v>82</v>
      </c>
      <c r="E531" s="1" t="s">
        <v>157</v>
      </c>
      <c r="F531" s="1" t="s">
        <v>158</v>
      </c>
      <c r="G531" s="1" t="s">
        <v>159</v>
      </c>
      <c r="H531" s="1"/>
      <c r="I531" s="1" t="s">
        <v>155</v>
      </c>
      <c r="J531" s="15"/>
      <c r="K531" s="1" t="s">
        <v>268</v>
      </c>
      <c r="L531" s="8">
        <v>46035.0</v>
      </c>
    </row>
    <row r="532">
      <c r="A532" s="16">
        <v>46035.39770927084</v>
      </c>
      <c r="B532" s="1"/>
      <c r="C532" s="1" t="s">
        <v>76</v>
      </c>
      <c r="D532" s="1" t="s">
        <v>76</v>
      </c>
      <c r="E532" s="1" t="s">
        <v>88</v>
      </c>
      <c r="F532" s="1" t="s">
        <v>161</v>
      </c>
      <c r="G532" s="1" t="s">
        <v>161</v>
      </c>
      <c r="H532" s="1"/>
      <c r="I532" s="1"/>
      <c r="J532" s="15">
        <v>4293.0</v>
      </c>
      <c r="K532" s="1" t="s">
        <v>269</v>
      </c>
      <c r="L532" s="8">
        <v>46035.0</v>
      </c>
    </row>
    <row r="533">
      <c r="A533" s="16">
        <v>46035.39771251158</v>
      </c>
      <c r="B533" s="1"/>
      <c r="C533" s="1" t="s">
        <v>76</v>
      </c>
      <c r="D533" s="1" t="s">
        <v>76</v>
      </c>
      <c r="E533" s="1" t="s">
        <v>88</v>
      </c>
      <c r="F533" s="1" t="s">
        <v>89</v>
      </c>
      <c r="G533" s="1" t="s">
        <v>89</v>
      </c>
      <c r="H533" s="1"/>
      <c r="I533" s="1"/>
      <c r="J533" s="15">
        <v>4996.0</v>
      </c>
      <c r="K533" s="1" t="s">
        <v>163</v>
      </c>
      <c r="L533" s="8">
        <v>46035.0</v>
      </c>
    </row>
    <row r="534">
      <c r="A534" s="16">
        <v>46035.39771609954</v>
      </c>
      <c r="B534" s="1"/>
      <c r="C534" s="1" t="s">
        <v>76</v>
      </c>
      <c r="D534" s="1" t="s">
        <v>76</v>
      </c>
      <c r="E534" s="1" t="s">
        <v>88</v>
      </c>
      <c r="F534" s="1" t="s">
        <v>78</v>
      </c>
      <c r="G534" s="1" t="s">
        <v>78</v>
      </c>
      <c r="H534" s="1"/>
      <c r="I534" s="1"/>
      <c r="J534" s="15">
        <v>5728.0</v>
      </c>
      <c r="K534" s="1" t="s">
        <v>90</v>
      </c>
      <c r="L534" s="8">
        <v>46035.0</v>
      </c>
    </row>
    <row r="535">
      <c r="A535" s="16">
        <v>46035.39783599537</v>
      </c>
      <c r="B535" s="1"/>
      <c r="C535" s="1"/>
      <c r="D535" s="1" t="s">
        <v>76</v>
      </c>
      <c r="E535" s="1" t="s">
        <v>77</v>
      </c>
      <c r="F535" s="1" t="s">
        <v>78</v>
      </c>
      <c r="G535" s="1" t="s">
        <v>79</v>
      </c>
      <c r="H535" s="1"/>
      <c r="I535" s="1"/>
      <c r="J535" s="15"/>
      <c r="K535" s="1" t="s">
        <v>80</v>
      </c>
      <c r="L535" s="8">
        <v>46035.0</v>
      </c>
    </row>
    <row r="536">
      <c r="A536" s="16">
        <v>46035.39784060185</v>
      </c>
      <c r="B536" s="1" t="s">
        <v>45</v>
      </c>
      <c r="C536" s="1" t="s">
        <v>81</v>
      </c>
      <c r="D536" s="1" t="s">
        <v>82</v>
      </c>
      <c r="E536" s="1" t="s">
        <v>164</v>
      </c>
      <c r="F536" s="1" t="s">
        <v>84</v>
      </c>
      <c r="G536" s="1" t="s">
        <v>85</v>
      </c>
      <c r="H536" s="1"/>
      <c r="I536" s="1" t="s">
        <v>165</v>
      </c>
      <c r="J536" s="15"/>
      <c r="K536" s="1" t="s">
        <v>166</v>
      </c>
      <c r="L536" s="8">
        <v>46035.0</v>
      </c>
    </row>
    <row r="537">
      <c r="A537" s="16">
        <v>46035.39784730324</v>
      </c>
      <c r="B537" s="1" t="s">
        <v>45</v>
      </c>
      <c r="C537" s="1" t="s">
        <v>81</v>
      </c>
      <c r="D537" s="1" t="s">
        <v>82</v>
      </c>
      <c r="E537" s="1" t="s">
        <v>167</v>
      </c>
      <c r="F537" s="1" t="s">
        <v>158</v>
      </c>
      <c r="G537" s="1" t="s">
        <v>168</v>
      </c>
      <c r="H537" s="1"/>
      <c r="I537" s="1" t="s">
        <v>165</v>
      </c>
      <c r="J537" s="15"/>
      <c r="K537" s="1" t="s">
        <v>58</v>
      </c>
      <c r="L537" s="8">
        <v>46035.0</v>
      </c>
    </row>
    <row r="538">
      <c r="A538" s="16">
        <v>46035.39787935185</v>
      </c>
      <c r="B538" s="1"/>
      <c r="C538" s="1" t="s">
        <v>76</v>
      </c>
      <c r="D538" s="1" t="s">
        <v>76</v>
      </c>
      <c r="E538" s="1" t="s">
        <v>88</v>
      </c>
      <c r="F538" s="1" t="s">
        <v>169</v>
      </c>
      <c r="G538" s="1" t="s">
        <v>169</v>
      </c>
      <c r="H538" s="1"/>
      <c r="I538" s="1"/>
      <c r="J538" s="15">
        <v>2814.0</v>
      </c>
      <c r="K538" s="1" t="s">
        <v>170</v>
      </c>
      <c r="L538" s="8">
        <v>46035.0</v>
      </c>
    </row>
    <row r="539">
      <c r="A539" s="16">
        <v>46035.397883206024</v>
      </c>
      <c r="B539" s="1"/>
      <c r="C539" s="1" t="s">
        <v>76</v>
      </c>
      <c r="D539" s="1" t="s">
        <v>76</v>
      </c>
      <c r="E539" s="1" t="s">
        <v>88</v>
      </c>
      <c r="F539" s="1" t="s">
        <v>89</v>
      </c>
      <c r="G539" s="1" t="s">
        <v>89</v>
      </c>
      <c r="H539" s="1"/>
      <c r="I539" s="1"/>
      <c r="J539" s="15">
        <v>3687.0</v>
      </c>
      <c r="K539" s="1" t="s">
        <v>171</v>
      </c>
      <c r="L539" s="8">
        <v>46035.0</v>
      </c>
    </row>
    <row r="540">
      <c r="A540" s="16">
        <v>46035.39788842593</v>
      </c>
      <c r="B540" s="1"/>
      <c r="C540" s="1" t="s">
        <v>76</v>
      </c>
      <c r="D540" s="1" t="s">
        <v>76</v>
      </c>
      <c r="E540" s="1" t="s">
        <v>88</v>
      </c>
      <c r="F540" s="1" t="s">
        <v>78</v>
      </c>
      <c r="G540" s="1" t="s">
        <v>78</v>
      </c>
      <c r="H540" s="1"/>
      <c r="I540" s="1"/>
      <c r="J540" s="15">
        <v>4619.0</v>
      </c>
      <c r="K540" s="1" t="s">
        <v>90</v>
      </c>
      <c r="L540" s="8">
        <v>46035.0</v>
      </c>
    </row>
    <row r="541">
      <c r="A541" s="16">
        <v>46035.397921041666</v>
      </c>
      <c r="B541" s="1"/>
      <c r="C541" s="1"/>
      <c r="D541" s="1" t="s">
        <v>76</v>
      </c>
      <c r="E541" s="1" t="s">
        <v>77</v>
      </c>
      <c r="F541" s="1" t="s">
        <v>78</v>
      </c>
      <c r="G541" s="1" t="s">
        <v>79</v>
      </c>
      <c r="H541" s="1"/>
      <c r="I541" s="1"/>
      <c r="J541" s="15"/>
      <c r="K541" s="1" t="s">
        <v>80</v>
      </c>
      <c r="L541" s="8">
        <v>46035.0</v>
      </c>
    </row>
    <row r="542">
      <c r="A542" s="16">
        <v>46035.397924386576</v>
      </c>
      <c r="B542" s="1" t="s">
        <v>45</v>
      </c>
      <c r="C542" s="1" t="s">
        <v>81</v>
      </c>
      <c r="D542" s="1" t="s">
        <v>82</v>
      </c>
      <c r="E542" s="1" t="s">
        <v>172</v>
      </c>
      <c r="F542" s="1" t="s">
        <v>84</v>
      </c>
      <c r="G542" s="1" t="s">
        <v>85</v>
      </c>
      <c r="H542" s="1"/>
      <c r="I542" s="1" t="s">
        <v>173</v>
      </c>
      <c r="J542" s="15"/>
      <c r="K542" s="1" t="s">
        <v>174</v>
      </c>
      <c r="L542" s="8">
        <v>46035.0</v>
      </c>
    </row>
    <row r="543">
      <c r="A543" s="16">
        <v>46035.397927881946</v>
      </c>
      <c r="B543" s="1" t="s">
        <v>45</v>
      </c>
      <c r="C543" s="1" t="s">
        <v>81</v>
      </c>
      <c r="D543" s="1" t="s">
        <v>82</v>
      </c>
      <c r="E543" s="1" t="s">
        <v>175</v>
      </c>
      <c r="F543" s="1" t="s">
        <v>158</v>
      </c>
      <c r="G543" s="1" t="s">
        <v>176</v>
      </c>
      <c r="H543" s="1"/>
      <c r="I543" s="1" t="s">
        <v>173</v>
      </c>
      <c r="J543" s="15"/>
      <c r="K543" s="1" t="s">
        <v>177</v>
      </c>
      <c r="L543" s="8">
        <v>46035.0</v>
      </c>
    </row>
    <row r="544">
      <c r="A544" s="16">
        <v>46035.39795490741</v>
      </c>
      <c r="B544" s="1"/>
      <c r="C544" s="1" t="s">
        <v>76</v>
      </c>
      <c r="D544" s="1" t="s">
        <v>76</v>
      </c>
      <c r="E544" s="1" t="s">
        <v>88</v>
      </c>
      <c r="F544" s="1" t="s">
        <v>178</v>
      </c>
      <c r="G544" s="1" t="s">
        <v>178</v>
      </c>
      <c r="H544" s="1"/>
      <c r="I544" s="1"/>
      <c r="J544" s="15">
        <v>2428.0</v>
      </c>
      <c r="K544" s="1" t="s">
        <v>179</v>
      </c>
      <c r="L544" s="8">
        <v>46035.0</v>
      </c>
    </row>
    <row r="545">
      <c r="A545" s="16">
        <v>46035.39795896991</v>
      </c>
      <c r="B545" s="1"/>
      <c r="C545" s="1" t="s">
        <v>76</v>
      </c>
      <c r="D545" s="1" t="s">
        <v>76</v>
      </c>
      <c r="E545" s="1" t="s">
        <v>88</v>
      </c>
      <c r="F545" s="1" t="s">
        <v>89</v>
      </c>
      <c r="G545" s="1" t="s">
        <v>89</v>
      </c>
      <c r="H545" s="1"/>
      <c r="I545" s="1"/>
      <c r="J545" s="15">
        <v>2966.0</v>
      </c>
      <c r="K545" s="1" t="s">
        <v>180</v>
      </c>
      <c r="L545" s="8">
        <v>46035.0</v>
      </c>
    </row>
    <row r="546">
      <c r="A546" s="16">
        <v>46035.397962766205</v>
      </c>
      <c r="B546" s="1"/>
      <c r="C546" s="1" t="s">
        <v>76</v>
      </c>
      <c r="D546" s="1" t="s">
        <v>76</v>
      </c>
      <c r="E546" s="1" t="s">
        <v>88</v>
      </c>
      <c r="F546" s="1" t="s">
        <v>78</v>
      </c>
      <c r="G546" s="1" t="s">
        <v>78</v>
      </c>
      <c r="H546" s="1"/>
      <c r="I546" s="1"/>
      <c r="J546" s="15">
        <v>3925.0</v>
      </c>
      <c r="K546" s="1" t="s">
        <v>90</v>
      </c>
      <c r="L546" s="8">
        <v>46035.0</v>
      </c>
    </row>
    <row r="547">
      <c r="A547" s="16">
        <v>46035.39801167824</v>
      </c>
      <c r="B547" s="1"/>
      <c r="C547" s="1"/>
      <c r="D547" s="1" t="s">
        <v>76</v>
      </c>
      <c r="E547" s="1" t="s">
        <v>77</v>
      </c>
      <c r="F547" s="1" t="s">
        <v>78</v>
      </c>
      <c r="G547" s="1" t="s">
        <v>79</v>
      </c>
      <c r="H547" s="1"/>
      <c r="I547" s="1"/>
      <c r="J547" s="15"/>
      <c r="K547" s="1" t="s">
        <v>80</v>
      </c>
      <c r="L547" s="8">
        <v>46035.0</v>
      </c>
    </row>
    <row r="548">
      <c r="A548" s="16">
        <v>46035.398015555555</v>
      </c>
      <c r="B548" s="1" t="s">
        <v>45</v>
      </c>
      <c r="C548" s="1" t="s">
        <v>81</v>
      </c>
      <c r="D548" s="1" t="s">
        <v>82</v>
      </c>
      <c r="E548" s="1" t="s">
        <v>181</v>
      </c>
      <c r="F548" s="1" t="s">
        <v>84</v>
      </c>
      <c r="G548" s="1" t="s">
        <v>85</v>
      </c>
      <c r="H548" s="1"/>
      <c r="I548" s="1" t="s">
        <v>270</v>
      </c>
      <c r="J548" s="15"/>
      <c r="K548" s="1" t="s">
        <v>271</v>
      </c>
      <c r="L548" s="8">
        <v>46035.0</v>
      </c>
    </row>
    <row r="549">
      <c r="A549" s="16">
        <v>46035.39801967592</v>
      </c>
      <c r="B549" s="1" t="s">
        <v>45</v>
      </c>
      <c r="C549" s="1" t="s">
        <v>81</v>
      </c>
      <c r="D549" s="1" t="s">
        <v>82</v>
      </c>
      <c r="E549" s="1" t="s">
        <v>184</v>
      </c>
      <c r="F549" s="1" t="s">
        <v>158</v>
      </c>
      <c r="G549" s="1" t="s">
        <v>185</v>
      </c>
      <c r="H549" s="1"/>
      <c r="I549" s="1" t="s">
        <v>270</v>
      </c>
      <c r="J549" s="15"/>
      <c r="K549" s="1" t="s">
        <v>65</v>
      </c>
      <c r="L549" s="8">
        <v>46035.0</v>
      </c>
    </row>
    <row r="550">
      <c r="A550" s="16">
        <v>46035.398068344904</v>
      </c>
      <c r="B550" s="1" t="s">
        <v>45</v>
      </c>
      <c r="C550" s="1" t="s">
        <v>81</v>
      </c>
      <c r="D550" s="1" t="s">
        <v>76</v>
      </c>
      <c r="E550" s="1" t="s">
        <v>186</v>
      </c>
      <c r="F550" s="1" t="s">
        <v>158</v>
      </c>
      <c r="G550" s="1" t="s">
        <v>187</v>
      </c>
      <c r="H550" s="1"/>
      <c r="I550" s="1"/>
      <c r="J550" s="15"/>
      <c r="K550" s="1" t="s">
        <v>272</v>
      </c>
      <c r="L550" s="8">
        <v>46035.0</v>
      </c>
    </row>
    <row r="551">
      <c r="A551" s="16">
        <v>46035.39807914352</v>
      </c>
      <c r="B551" s="1"/>
      <c r="C551" s="1" t="s">
        <v>76</v>
      </c>
      <c r="D551" s="1" t="s">
        <v>76</v>
      </c>
      <c r="E551" s="1" t="s">
        <v>88</v>
      </c>
      <c r="F551" s="1" t="s">
        <v>189</v>
      </c>
      <c r="G551" s="1" t="s">
        <v>189</v>
      </c>
      <c r="H551" s="1"/>
      <c r="I551" s="1"/>
      <c r="J551" s="15">
        <v>5142.0</v>
      </c>
      <c r="K551" s="1" t="s">
        <v>190</v>
      </c>
      <c r="L551" s="8">
        <v>46035.0</v>
      </c>
    </row>
    <row r="552">
      <c r="A552" s="16">
        <v>46035.398083356486</v>
      </c>
      <c r="B552" s="1"/>
      <c r="C552" s="1" t="s">
        <v>76</v>
      </c>
      <c r="D552" s="1" t="s">
        <v>76</v>
      </c>
      <c r="E552" s="1" t="s">
        <v>88</v>
      </c>
      <c r="F552" s="1" t="s">
        <v>89</v>
      </c>
      <c r="G552" s="1" t="s">
        <v>89</v>
      </c>
      <c r="H552" s="1"/>
      <c r="I552" s="1"/>
      <c r="J552" s="15">
        <v>5829.0</v>
      </c>
      <c r="K552" s="1" t="s">
        <v>191</v>
      </c>
      <c r="L552" s="8">
        <v>46035.0</v>
      </c>
    </row>
    <row r="553">
      <c r="A553" s="16">
        <v>46035.39808716435</v>
      </c>
      <c r="B553" s="1"/>
      <c r="C553" s="1" t="s">
        <v>76</v>
      </c>
      <c r="D553" s="1" t="s">
        <v>76</v>
      </c>
      <c r="E553" s="1" t="s">
        <v>88</v>
      </c>
      <c r="F553" s="1" t="s">
        <v>78</v>
      </c>
      <c r="G553" s="1" t="s">
        <v>78</v>
      </c>
      <c r="H553" s="1"/>
      <c r="I553" s="1"/>
      <c r="J553" s="15">
        <v>6647.0</v>
      </c>
      <c r="K553" s="1" t="s">
        <v>90</v>
      </c>
      <c r="L553" s="8">
        <v>46035.0</v>
      </c>
    </row>
    <row r="554">
      <c r="A554" s="16">
        <v>46035.39827554398</v>
      </c>
      <c r="B554" s="1"/>
      <c r="C554" s="1"/>
      <c r="D554" s="1" t="s">
        <v>76</v>
      </c>
      <c r="E554" s="1" t="s">
        <v>77</v>
      </c>
      <c r="F554" s="1" t="s">
        <v>78</v>
      </c>
      <c r="G554" s="1" t="s">
        <v>79</v>
      </c>
      <c r="H554" s="1"/>
      <c r="I554" s="1"/>
      <c r="J554" s="15"/>
      <c r="K554" s="1" t="s">
        <v>80</v>
      </c>
      <c r="L554" s="8">
        <v>46035.0</v>
      </c>
    </row>
    <row r="555">
      <c r="A555" s="16">
        <v>46035.398278981476</v>
      </c>
      <c r="B555" s="1" t="s">
        <v>45</v>
      </c>
      <c r="C555" s="1" t="s">
        <v>81</v>
      </c>
      <c r="D555" s="1" t="s">
        <v>99</v>
      </c>
      <c r="E555" s="1" t="s">
        <v>192</v>
      </c>
      <c r="F555" s="1" t="s">
        <v>158</v>
      </c>
      <c r="G555" s="1" t="s">
        <v>193</v>
      </c>
      <c r="H555" s="1" t="s">
        <v>194</v>
      </c>
      <c r="I555" s="1"/>
      <c r="J555" s="15"/>
      <c r="K555" s="1"/>
      <c r="L555" s="8">
        <v>46035.0</v>
      </c>
    </row>
    <row r="556">
      <c r="A556" s="16">
        <v>46035.39829974537</v>
      </c>
      <c r="B556" s="1"/>
      <c r="C556" s="1" t="s">
        <v>76</v>
      </c>
      <c r="D556" s="1" t="s">
        <v>76</v>
      </c>
      <c r="E556" s="1" t="s">
        <v>88</v>
      </c>
      <c r="F556" s="1" t="s">
        <v>104</v>
      </c>
      <c r="G556" s="1" t="s">
        <v>104</v>
      </c>
      <c r="H556" s="1"/>
      <c r="I556" s="1"/>
      <c r="J556" s="15">
        <v>1775.0</v>
      </c>
      <c r="K556" s="1" t="s">
        <v>195</v>
      </c>
      <c r="L556" s="8">
        <v>46035.0</v>
      </c>
    </row>
    <row r="557">
      <c r="A557" s="16">
        <v>46035.39830342593</v>
      </c>
      <c r="B557" s="1"/>
      <c r="C557" s="1" t="s">
        <v>76</v>
      </c>
      <c r="D557" s="1" t="s">
        <v>76</v>
      </c>
      <c r="E557" s="1" t="s">
        <v>88</v>
      </c>
      <c r="F557" s="1" t="s">
        <v>78</v>
      </c>
      <c r="G557" s="1" t="s">
        <v>78</v>
      </c>
      <c r="H557" s="1"/>
      <c r="I557" s="1"/>
      <c r="J557" s="15">
        <v>2452.0</v>
      </c>
      <c r="K557" s="1" t="s">
        <v>90</v>
      </c>
      <c r="L557" s="8">
        <v>46035.0</v>
      </c>
    </row>
    <row r="558">
      <c r="A558" s="16">
        <v>46035.47058010417</v>
      </c>
      <c r="B558" s="1"/>
      <c r="C558" s="1"/>
      <c r="D558" s="1" t="s">
        <v>76</v>
      </c>
      <c r="E558" s="1" t="s">
        <v>77</v>
      </c>
      <c r="F558" s="1" t="s">
        <v>78</v>
      </c>
      <c r="G558" s="1" t="s">
        <v>79</v>
      </c>
      <c r="H558" s="1"/>
      <c r="I558" s="1"/>
      <c r="J558" s="15"/>
      <c r="K558" s="1" t="s">
        <v>80</v>
      </c>
      <c r="L558" s="8">
        <v>46035.0</v>
      </c>
    </row>
    <row r="559">
      <c r="A559" s="16">
        <v>46035.470585682866</v>
      </c>
      <c r="B559" s="1" t="s">
        <v>148</v>
      </c>
      <c r="C559" s="1" t="s">
        <v>81</v>
      </c>
      <c r="D559" s="1" t="s">
        <v>99</v>
      </c>
      <c r="E559" s="1" t="s">
        <v>100</v>
      </c>
      <c r="F559" s="1" t="s">
        <v>101</v>
      </c>
      <c r="G559" s="1" t="s">
        <v>102</v>
      </c>
      <c r="H559" s="1" t="s">
        <v>149</v>
      </c>
      <c r="I559" s="1"/>
      <c r="J559" s="15"/>
      <c r="K559" s="1"/>
      <c r="L559" s="8">
        <v>46035.0</v>
      </c>
    </row>
    <row r="560">
      <c r="A560" s="16">
        <v>46035.47059384259</v>
      </c>
      <c r="B560" s="1"/>
      <c r="C560" s="1" t="s">
        <v>76</v>
      </c>
      <c r="D560" s="1" t="s">
        <v>76</v>
      </c>
      <c r="E560" s="1" t="s">
        <v>88</v>
      </c>
      <c r="F560" s="1" t="s">
        <v>104</v>
      </c>
      <c r="G560" s="1" t="s">
        <v>104</v>
      </c>
      <c r="H560" s="1"/>
      <c r="I560" s="1"/>
      <c r="J560" s="15">
        <v>784.0</v>
      </c>
      <c r="K560" s="1" t="s">
        <v>150</v>
      </c>
      <c r="L560" s="8">
        <v>46035.0</v>
      </c>
    </row>
    <row r="561">
      <c r="A561" s="16">
        <v>46035.47060043982</v>
      </c>
      <c r="B561" s="1"/>
      <c r="C561" s="1" t="s">
        <v>76</v>
      </c>
      <c r="D561" s="1" t="s">
        <v>76</v>
      </c>
      <c r="E561" s="1" t="s">
        <v>88</v>
      </c>
      <c r="F561" s="1" t="s">
        <v>78</v>
      </c>
      <c r="G561" s="1" t="s">
        <v>78</v>
      </c>
      <c r="H561" s="1"/>
      <c r="I561" s="1"/>
      <c r="J561" s="15">
        <v>2458.0</v>
      </c>
      <c r="K561" s="1" t="s">
        <v>90</v>
      </c>
      <c r="L561" s="8">
        <v>46035.0</v>
      </c>
    </row>
    <row r="562">
      <c r="A562" s="16">
        <v>46035.52729672454</v>
      </c>
      <c r="B562" s="1"/>
      <c r="C562" s="1"/>
      <c r="D562" s="1" t="s">
        <v>76</v>
      </c>
      <c r="E562" s="1" t="s">
        <v>77</v>
      </c>
      <c r="F562" s="1" t="s">
        <v>78</v>
      </c>
      <c r="G562" s="1" t="s">
        <v>79</v>
      </c>
      <c r="H562" s="1"/>
      <c r="I562" s="1"/>
      <c r="J562" s="15"/>
      <c r="K562" s="1" t="s">
        <v>80</v>
      </c>
      <c r="L562" s="8">
        <v>46035.0</v>
      </c>
    </row>
    <row r="563">
      <c r="A563" s="16">
        <v>46035.52730078704</v>
      </c>
      <c r="B563" s="1" t="s">
        <v>204</v>
      </c>
      <c r="C563" s="1" t="s">
        <v>81</v>
      </c>
      <c r="D563" s="1" t="s">
        <v>99</v>
      </c>
      <c r="E563" s="1" t="s">
        <v>131</v>
      </c>
      <c r="F563" s="1" t="s">
        <v>78</v>
      </c>
      <c r="G563" s="1" t="s">
        <v>132</v>
      </c>
      <c r="H563" s="1"/>
      <c r="I563" s="1"/>
      <c r="J563" s="15"/>
      <c r="K563" s="1"/>
      <c r="L563" s="8">
        <v>46035.0</v>
      </c>
    </row>
    <row r="564">
      <c r="A564" s="16">
        <v>46035.527309791665</v>
      </c>
      <c r="B564" s="1"/>
      <c r="C564" s="1" t="s">
        <v>76</v>
      </c>
      <c r="D564" s="1" t="s">
        <v>76</v>
      </c>
      <c r="E564" s="1" t="s">
        <v>88</v>
      </c>
      <c r="F564" s="1" t="s">
        <v>78</v>
      </c>
      <c r="G564" s="1" t="s">
        <v>78</v>
      </c>
      <c r="H564" s="1"/>
      <c r="I564" s="1"/>
      <c r="J564" s="15">
        <v>1618.0</v>
      </c>
      <c r="K564" s="1" t="s">
        <v>90</v>
      </c>
      <c r="L564" s="8">
        <v>46035.0</v>
      </c>
    </row>
    <row r="565">
      <c r="A565" s="16">
        <v>46035.59881243056</v>
      </c>
      <c r="B565" s="1"/>
      <c r="C565" s="1"/>
      <c r="D565" s="1" t="s">
        <v>76</v>
      </c>
      <c r="E565" s="1" t="s">
        <v>77</v>
      </c>
      <c r="F565" s="1" t="s">
        <v>78</v>
      </c>
      <c r="G565" s="1" t="s">
        <v>79</v>
      </c>
      <c r="H565" s="1"/>
      <c r="I565" s="1"/>
      <c r="J565" s="15"/>
      <c r="K565" s="1" t="s">
        <v>80</v>
      </c>
      <c r="L565" s="8">
        <v>46035.0</v>
      </c>
    </row>
    <row r="566">
      <c r="A566" s="16">
        <v>46035.598817488426</v>
      </c>
      <c r="B566" s="1" t="s">
        <v>98</v>
      </c>
      <c r="C566" s="1" t="s">
        <v>81</v>
      </c>
      <c r="D566" s="1" t="s">
        <v>99</v>
      </c>
      <c r="E566" s="1" t="s">
        <v>100</v>
      </c>
      <c r="F566" s="1" t="s">
        <v>101</v>
      </c>
      <c r="G566" s="1" t="s">
        <v>102</v>
      </c>
      <c r="H566" s="1" t="s">
        <v>273</v>
      </c>
      <c r="I566" s="1"/>
      <c r="J566" s="15"/>
      <c r="K566" s="1"/>
      <c r="L566" s="8">
        <v>46035.0</v>
      </c>
    </row>
    <row r="567">
      <c r="A567" s="16">
        <v>46035.59882888889</v>
      </c>
      <c r="B567" s="1"/>
      <c r="C567" s="1" t="s">
        <v>76</v>
      </c>
      <c r="D567" s="1" t="s">
        <v>76</v>
      </c>
      <c r="E567" s="1" t="s">
        <v>88</v>
      </c>
      <c r="F567" s="1" t="s">
        <v>104</v>
      </c>
      <c r="G567" s="1" t="s">
        <v>104</v>
      </c>
      <c r="H567" s="1"/>
      <c r="I567" s="1"/>
      <c r="J567" s="15">
        <v>989.0</v>
      </c>
      <c r="K567" s="1" t="s">
        <v>274</v>
      </c>
      <c r="L567" s="8">
        <v>46035.0</v>
      </c>
    </row>
    <row r="568">
      <c r="A568" s="16">
        <v>46035.59883258102</v>
      </c>
      <c r="B568" s="1"/>
      <c r="C568" s="1" t="s">
        <v>76</v>
      </c>
      <c r="D568" s="1" t="s">
        <v>76</v>
      </c>
      <c r="E568" s="1" t="s">
        <v>88</v>
      </c>
      <c r="F568" s="1" t="s">
        <v>78</v>
      </c>
      <c r="G568" s="1" t="s">
        <v>78</v>
      </c>
      <c r="H568" s="1"/>
      <c r="I568" s="1"/>
      <c r="J568" s="15">
        <v>2284.0</v>
      </c>
      <c r="K568" s="1" t="s">
        <v>90</v>
      </c>
      <c r="L568" s="8">
        <v>46035.0</v>
      </c>
    </row>
    <row r="569">
      <c r="A569" s="16">
        <v>46036.29376274305</v>
      </c>
      <c r="B569" s="1"/>
      <c r="C569" s="1"/>
      <c r="D569" s="1" t="s">
        <v>76</v>
      </c>
      <c r="E569" s="1" t="s">
        <v>77</v>
      </c>
      <c r="F569" s="1" t="s">
        <v>78</v>
      </c>
      <c r="G569" s="1" t="s">
        <v>79</v>
      </c>
      <c r="H569" s="1"/>
      <c r="I569" s="1"/>
      <c r="J569" s="15"/>
      <c r="K569" s="1" t="s">
        <v>80</v>
      </c>
      <c r="L569" s="8">
        <v>46036.0</v>
      </c>
    </row>
    <row r="570">
      <c r="A570" s="16">
        <v>46036.29376677083</v>
      </c>
      <c r="B570" s="1" t="s">
        <v>45</v>
      </c>
      <c r="C570" s="1" t="s">
        <v>81</v>
      </c>
      <c r="D570" s="1" t="s">
        <v>99</v>
      </c>
      <c r="E570" s="1" t="s">
        <v>107</v>
      </c>
      <c r="F570" s="1" t="s">
        <v>108</v>
      </c>
      <c r="G570" s="1" t="s">
        <v>109</v>
      </c>
      <c r="H570" s="1" t="s">
        <v>110</v>
      </c>
      <c r="I570" s="1"/>
      <c r="J570" s="15"/>
      <c r="K570" s="1"/>
      <c r="L570" s="8">
        <v>46036.0</v>
      </c>
    </row>
    <row r="571">
      <c r="A571" s="16">
        <v>46036.29380212963</v>
      </c>
      <c r="B571" s="1"/>
      <c r="C571" s="1" t="s">
        <v>76</v>
      </c>
      <c r="D571" s="1" t="s">
        <v>76</v>
      </c>
      <c r="E571" s="1" t="s">
        <v>88</v>
      </c>
      <c r="F571" s="1" t="s">
        <v>104</v>
      </c>
      <c r="G571" s="1" t="s">
        <v>104</v>
      </c>
      <c r="H571" s="1"/>
      <c r="I571" s="1"/>
      <c r="J571" s="15">
        <v>1836.0</v>
      </c>
      <c r="K571" s="1" t="s">
        <v>111</v>
      </c>
      <c r="L571" s="8">
        <v>46036.0</v>
      </c>
    </row>
    <row r="572">
      <c r="A572" s="16">
        <v>46036.29380568287</v>
      </c>
      <c r="B572" s="1"/>
      <c r="C572" s="1" t="s">
        <v>76</v>
      </c>
      <c r="D572" s="1" t="s">
        <v>76</v>
      </c>
      <c r="E572" s="1" t="s">
        <v>88</v>
      </c>
      <c r="F572" s="1" t="s">
        <v>78</v>
      </c>
      <c r="G572" s="1" t="s">
        <v>78</v>
      </c>
      <c r="H572" s="1"/>
      <c r="I572" s="1"/>
      <c r="J572" s="15">
        <v>4249.0</v>
      </c>
      <c r="K572" s="1" t="s">
        <v>90</v>
      </c>
      <c r="L572" s="8">
        <v>46036.0</v>
      </c>
    </row>
    <row r="573">
      <c r="A573" s="16">
        <v>46036.29383652778</v>
      </c>
      <c r="B573" s="1"/>
      <c r="C573" s="1"/>
      <c r="D573" s="1" t="s">
        <v>76</v>
      </c>
      <c r="E573" s="1" t="s">
        <v>77</v>
      </c>
      <c r="F573" s="1" t="s">
        <v>78</v>
      </c>
      <c r="G573" s="1" t="s">
        <v>79</v>
      </c>
      <c r="H573" s="1"/>
      <c r="I573" s="1"/>
      <c r="J573" s="15"/>
      <c r="K573" s="1" t="s">
        <v>80</v>
      </c>
      <c r="L573" s="8">
        <v>46036.0</v>
      </c>
    </row>
    <row r="574">
      <c r="A574" s="16">
        <v>46036.29383991898</v>
      </c>
      <c r="B574" s="1" t="s">
        <v>45</v>
      </c>
      <c r="C574" s="1" t="s">
        <v>81</v>
      </c>
      <c r="D574" s="1" t="s">
        <v>82</v>
      </c>
      <c r="E574" s="1" t="s">
        <v>112</v>
      </c>
      <c r="F574" s="1" t="s">
        <v>84</v>
      </c>
      <c r="G574" s="1" t="s">
        <v>85</v>
      </c>
      <c r="H574" s="1"/>
      <c r="I574" s="1" t="s">
        <v>113</v>
      </c>
      <c r="J574" s="15"/>
      <c r="K574" s="1" t="s">
        <v>114</v>
      </c>
      <c r="L574" s="8">
        <v>46036.0</v>
      </c>
    </row>
    <row r="575">
      <c r="A575" s="16">
        <v>46036.29384342593</v>
      </c>
      <c r="B575" s="1" t="s">
        <v>45</v>
      </c>
      <c r="C575" s="1" t="s">
        <v>81</v>
      </c>
      <c r="D575" s="1" t="s">
        <v>82</v>
      </c>
      <c r="E575" s="1" t="s">
        <v>112</v>
      </c>
      <c r="F575" s="1" t="s">
        <v>108</v>
      </c>
      <c r="G575" s="1" t="s">
        <v>115</v>
      </c>
      <c r="H575" s="1"/>
      <c r="I575" s="1" t="s">
        <v>113</v>
      </c>
      <c r="J575" s="15"/>
      <c r="K575" s="1" t="s">
        <v>114</v>
      </c>
      <c r="L575" s="8">
        <v>46036.0</v>
      </c>
    </row>
    <row r="576">
      <c r="A576" s="16">
        <v>46036.293853043986</v>
      </c>
      <c r="B576" s="1"/>
      <c r="C576" s="1" t="s">
        <v>76</v>
      </c>
      <c r="D576" s="1" t="s">
        <v>76</v>
      </c>
      <c r="E576" s="1" t="s">
        <v>88</v>
      </c>
      <c r="F576" s="1" t="s">
        <v>89</v>
      </c>
      <c r="G576" s="1" t="s">
        <v>89</v>
      </c>
      <c r="H576" s="1"/>
      <c r="I576" s="1"/>
      <c r="J576" s="15">
        <v>1042.0</v>
      </c>
      <c r="K576" s="1" t="s">
        <v>116</v>
      </c>
      <c r="L576" s="8">
        <v>46036.0</v>
      </c>
    </row>
    <row r="577">
      <c r="A577" s="16">
        <v>46036.29385650463</v>
      </c>
      <c r="B577" s="1"/>
      <c r="C577" s="1" t="s">
        <v>76</v>
      </c>
      <c r="D577" s="1" t="s">
        <v>76</v>
      </c>
      <c r="E577" s="1" t="s">
        <v>88</v>
      </c>
      <c r="F577" s="1" t="s">
        <v>78</v>
      </c>
      <c r="G577" s="1" t="s">
        <v>78</v>
      </c>
      <c r="H577" s="1"/>
      <c r="I577" s="1"/>
      <c r="J577" s="15">
        <v>1876.0</v>
      </c>
      <c r="K577" s="1" t="s">
        <v>90</v>
      </c>
      <c r="L577" s="8">
        <v>46036.0</v>
      </c>
    </row>
    <row r="578">
      <c r="A578" s="16">
        <v>46036.293910775465</v>
      </c>
      <c r="B578" s="1"/>
      <c r="C578" s="1"/>
      <c r="D578" s="1" t="s">
        <v>76</v>
      </c>
      <c r="E578" s="1" t="s">
        <v>77</v>
      </c>
      <c r="F578" s="1" t="s">
        <v>78</v>
      </c>
      <c r="G578" s="1" t="s">
        <v>79</v>
      </c>
      <c r="H578" s="1"/>
      <c r="I578" s="1"/>
      <c r="J578" s="15"/>
      <c r="K578" s="1" t="s">
        <v>80</v>
      </c>
      <c r="L578" s="8">
        <v>46036.0</v>
      </c>
    </row>
    <row r="579">
      <c r="A579" s="16">
        <v>46036.293920543976</v>
      </c>
      <c r="B579" s="1" t="s">
        <v>45</v>
      </c>
      <c r="C579" s="1" t="s">
        <v>81</v>
      </c>
      <c r="D579" s="1" t="s">
        <v>82</v>
      </c>
      <c r="E579" s="1" t="s">
        <v>117</v>
      </c>
      <c r="F579" s="1" t="s">
        <v>84</v>
      </c>
      <c r="G579" s="1" t="s">
        <v>85</v>
      </c>
      <c r="H579" s="1"/>
      <c r="I579" s="1" t="s">
        <v>118</v>
      </c>
      <c r="J579" s="15"/>
      <c r="K579" s="1" t="s">
        <v>119</v>
      </c>
      <c r="L579" s="8">
        <v>46036.0</v>
      </c>
    </row>
    <row r="580">
      <c r="A580" s="16">
        <v>46036.29392840278</v>
      </c>
      <c r="B580" s="1"/>
      <c r="C580" s="1" t="s">
        <v>76</v>
      </c>
      <c r="D580" s="1" t="s">
        <v>76</v>
      </c>
      <c r="E580" s="1" t="s">
        <v>88</v>
      </c>
      <c r="F580" s="1" t="s">
        <v>89</v>
      </c>
      <c r="G580" s="1" t="s">
        <v>89</v>
      </c>
      <c r="H580" s="1"/>
      <c r="I580" s="1"/>
      <c r="J580" s="15">
        <v>710.0</v>
      </c>
      <c r="K580" s="1" t="s">
        <v>120</v>
      </c>
      <c r="L580" s="8">
        <v>46036.0</v>
      </c>
    </row>
    <row r="581">
      <c r="A581" s="16">
        <v>46036.29393328704</v>
      </c>
      <c r="B581" s="1"/>
      <c r="C581" s="1" t="s">
        <v>76</v>
      </c>
      <c r="D581" s="1" t="s">
        <v>76</v>
      </c>
      <c r="E581" s="1" t="s">
        <v>88</v>
      </c>
      <c r="F581" s="1" t="s">
        <v>78</v>
      </c>
      <c r="G581" s="1" t="s">
        <v>78</v>
      </c>
      <c r="H581" s="1"/>
      <c r="I581" s="1"/>
      <c r="J581" s="15">
        <v>2498.0</v>
      </c>
      <c r="K581" s="1" t="s">
        <v>90</v>
      </c>
      <c r="L581" s="8">
        <v>46036.0</v>
      </c>
    </row>
    <row r="582">
      <c r="A582" s="16">
        <v>46036.293975636574</v>
      </c>
      <c r="B582" s="1"/>
      <c r="C582" s="1"/>
      <c r="D582" s="1" t="s">
        <v>76</v>
      </c>
      <c r="E582" s="1" t="s">
        <v>77</v>
      </c>
      <c r="F582" s="1" t="s">
        <v>78</v>
      </c>
      <c r="G582" s="1" t="s">
        <v>79</v>
      </c>
      <c r="H582" s="1"/>
      <c r="I582" s="1"/>
      <c r="J582" s="15"/>
      <c r="K582" s="1" t="s">
        <v>80</v>
      </c>
      <c r="L582" s="8">
        <v>46036.0</v>
      </c>
    </row>
    <row r="583">
      <c r="A583" s="16">
        <v>46036.29397878472</v>
      </c>
      <c r="B583" s="1" t="s">
        <v>45</v>
      </c>
      <c r="C583" s="1" t="s">
        <v>81</v>
      </c>
      <c r="D583" s="1" t="s">
        <v>82</v>
      </c>
      <c r="E583" s="1" t="s">
        <v>94</v>
      </c>
      <c r="F583" s="1" t="s">
        <v>84</v>
      </c>
      <c r="G583" s="1" t="s">
        <v>85</v>
      </c>
      <c r="H583" s="1"/>
      <c r="I583" s="1" t="s">
        <v>275</v>
      </c>
      <c r="J583" s="15"/>
      <c r="K583" s="1" t="s">
        <v>276</v>
      </c>
      <c r="L583" s="8">
        <v>46036.0</v>
      </c>
    </row>
    <row r="584">
      <c r="A584" s="16">
        <v>46036.29429185185</v>
      </c>
      <c r="B584" s="1"/>
      <c r="C584" s="1" t="s">
        <v>76</v>
      </c>
      <c r="D584" s="1" t="s">
        <v>76</v>
      </c>
      <c r="E584" s="1" t="s">
        <v>88</v>
      </c>
      <c r="F584" s="1" t="s">
        <v>89</v>
      </c>
      <c r="G584" s="1" t="s">
        <v>89</v>
      </c>
      <c r="H584" s="1"/>
      <c r="I584" s="1"/>
      <c r="J584" s="15">
        <v>27039.0</v>
      </c>
      <c r="K584" s="1" t="s">
        <v>97</v>
      </c>
      <c r="L584" s="8">
        <v>46036.0</v>
      </c>
    </row>
    <row r="585">
      <c r="A585" s="16">
        <v>46036.29429662037</v>
      </c>
      <c r="B585" s="1"/>
      <c r="C585" s="1" t="s">
        <v>76</v>
      </c>
      <c r="D585" s="1" t="s">
        <v>76</v>
      </c>
      <c r="E585" s="1" t="s">
        <v>88</v>
      </c>
      <c r="F585" s="1" t="s">
        <v>78</v>
      </c>
      <c r="G585" s="1" t="s">
        <v>78</v>
      </c>
      <c r="H585" s="1"/>
      <c r="I585" s="1"/>
      <c r="J585" s="15">
        <v>27827.0</v>
      </c>
      <c r="K585" s="1" t="s">
        <v>90</v>
      </c>
      <c r="L585" s="8">
        <v>46036.0</v>
      </c>
    </row>
    <row r="586">
      <c r="A586" s="16">
        <v>46036.29478505787</v>
      </c>
      <c r="B586" s="1"/>
      <c r="C586" s="1"/>
      <c r="D586" s="1" t="s">
        <v>76</v>
      </c>
      <c r="E586" s="1" t="s">
        <v>77</v>
      </c>
      <c r="F586" s="1" t="s">
        <v>78</v>
      </c>
      <c r="G586" s="1" t="s">
        <v>79</v>
      </c>
      <c r="H586" s="1"/>
      <c r="I586" s="1"/>
      <c r="J586" s="15"/>
      <c r="K586" s="1" t="s">
        <v>80</v>
      </c>
      <c r="L586" s="8">
        <v>46036.0</v>
      </c>
    </row>
    <row r="587">
      <c r="A587" s="16">
        <v>46036.29478836806</v>
      </c>
      <c r="B587" s="1" t="s">
        <v>45</v>
      </c>
      <c r="C587" s="1" t="s">
        <v>81</v>
      </c>
      <c r="D587" s="1" t="s">
        <v>82</v>
      </c>
      <c r="E587" s="1" t="s">
        <v>83</v>
      </c>
      <c r="F587" s="1" t="s">
        <v>84</v>
      </c>
      <c r="G587" s="1" t="s">
        <v>85</v>
      </c>
      <c r="H587" s="1"/>
      <c r="I587" s="1" t="s">
        <v>86</v>
      </c>
      <c r="J587" s="15"/>
      <c r="K587" s="1" t="s">
        <v>87</v>
      </c>
      <c r="L587" s="8">
        <v>46036.0</v>
      </c>
    </row>
    <row r="588">
      <c r="A588" s="16">
        <v>46036.29479487269</v>
      </c>
      <c r="B588" s="1"/>
      <c r="C588" s="1" t="s">
        <v>76</v>
      </c>
      <c r="D588" s="1" t="s">
        <v>76</v>
      </c>
      <c r="E588" s="1" t="s">
        <v>88</v>
      </c>
      <c r="F588" s="1" t="s">
        <v>89</v>
      </c>
      <c r="G588" s="1" t="s">
        <v>89</v>
      </c>
      <c r="H588" s="1"/>
      <c r="I588" s="1"/>
      <c r="J588" s="15">
        <v>555.0</v>
      </c>
      <c r="K588" s="1" t="s">
        <v>87</v>
      </c>
      <c r="L588" s="8">
        <v>46036.0</v>
      </c>
    </row>
    <row r="589">
      <c r="A589" s="16">
        <v>46036.294799421295</v>
      </c>
      <c r="B589" s="1"/>
      <c r="C589" s="1" t="s">
        <v>76</v>
      </c>
      <c r="D589" s="1" t="s">
        <v>76</v>
      </c>
      <c r="E589" s="1" t="s">
        <v>88</v>
      </c>
      <c r="F589" s="1" t="s">
        <v>78</v>
      </c>
      <c r="G589" s="1" t="s">
        <v>78</v>
      </c>
      <c r="H589" s="1"/>
      <c r="I589" s="1"/>
      <c r="J589" s="15">
        <v>1318.0</v>
      </c>
      <c r="K589" s="1" t="s">
        <v>90</v>
      </c>
      <c r="L589" s="8">
        <v>46036.0</v>
      </c>
    </row>
    <row r="590">
      <c r="A590" s="16">
        <v>46036.29485467593</v>
      </c>
      <c r="B590" s="1"/>
      <c r="C590" s="1"/>
      <c r="D590" s="1" t="s">
        <v>76</v>
      </c>
      <c r="E590" s="1" t="s">
        <v>77</v>
      </c>
      <c r="F590" s="1" t="s">
        <v>78</v>
      </c>
      <c r="G590" s="1" t="s">
        <v>79</v>
      </c>
      <c r="H590" s="1"/>
      <c r="I590" s="1"/>
      <c r="J590" s="15"/>
      <c r="K590" s="1" t="s">
        <v>80</v>
      </c>
      <c r="L590" s="8">
        <v>46036.0</v>
      </c>
    </row>
    <row r="591">
      <c r="A591" s="16">
        <v>46036.29485792824</v>
      </c>
      <c r="B591" s="1" t="s">
        <v>45</v>
      </c>
      <c r="C591" s="1" t="s">
        <v>81</v>
      </c>
      <c r="D591" s="1" t="s">
        <v>82</v>
      </c>
      <c r="E591" s="1" t="s">
        <v>126</v>
      </c>
      <c r="F591" s="1" t="s">
        <v>84</v>
      </c>
      <c r="G591" s="1" t="s">
        <v>85</v>
      </c>
      <c r="H591" s="1"/>
      <c r="I591" s="1" t="s">
        <v>277</v>
      </c>
      <c r="J591" s="15"/>
      <c r="K591" s="1" t="s">
        <v>278</v>
      </c>
      <c r="L591" s="8">
        <v>46036.0</v>
      </c>
    </row>
    <row r="592">
      <c r="A592" s="16">
        <v>46036.294887951386</v>
      </c>
      <c r="B592" s="1"/>
      <c r="C592" s="1" t="s">
        <v>76</v>
      </c>
      <c r="D592" s="1" t="s">
        <v>76</v>
      </c>
      <c r="E592" s="1" t="s">
        <v>88</v>
      </c>
      <c r="F592" s="1" t="s">
        <v>89</v>
      </c>
      <c r="G592" s="1" t="s">
        <v>89</v>
      </c>
      <c r="H592" s="1"/>
      <c r="I592" s="1"/>
      <c r="J592" s="15">
        <v>2321.0</v>
      </c>
      <c r="K592" s="1" t="s">
        <v>129</v>
      </c>
      <c r="L592" s="8">
        <v>46036.0</v>
      </c>
    </row>
    <row r="593">
      <c r="A593" s="16">
        <v>46036.29489114584</v>
      </c>
      <c r="B593" s="1"/>
      <c r="C593" s="1" t="s">
        <v>76</v>
      </c>
      <c r="D593" s="1" t="s">
        <v>76</v>
      </c>
      <c r="E593" s="1" t="s">
        <v>88</v>
      </c>
      <c r="F593" s="1" t="s">
        <v>78</v>
      </c>
      <c r="G593" s="1" t="s">
        <v>78</v>
      </c>
      <c r="H593" s="1"/>
      <c r="I593" s="1"/>
      <c r="J593" s="15">
        <v>3210.0</v>
      </c>
      <c r="K593" s="1" t="s">
        <v>90</v>
      </c>
      <c r="L593" s="8">
        <v>46036.0</v>
      </c>
    </row>
    <row r="594">
      <c r="A594" s="16">
        <v>46036.38254993055</v>
      </c>
      <c r="B594" s="1"/>
      <c r="C594" s="1"/>
      <c r="D594" s="1" t="s">
        <v>76</v>
      </c>
      <c r="E594" s="1" t="s">
        <v>77</v>
      </c>
      <c r="F594" s="1" t="s">
        <v>78</v>
      </c>
      <c r="G594" s="1" t="s">
        <v>79</v>
      </c>
      <c r="H594" s="1"/>
      <c r="I594" s="1"/>
      <c r="J594" s="15"/>
      <c r="K594" s="1" t="s">
        <v>80</v>
      </c>
      <c r="L594" s="8">
        <v>46036.0</v>
      </c>
    </row>
    <row r="595">
      <c r="A595" s="16">
        <v>46036.38256586806</v>
      </c>
      <c r="B595" s="1" t="s">
        <v>45</v>
      </c>
      <c r="C595" s="1" t="s">
        <v>81</v>
      </c>
      <c r="D595" s="1" t="s">
        <v>99</v>
      </c>
      <c r="E595" s="1" t="s">
        <v>131</v>
      </c>
      <c r="F595" s="1" t="s">
        <v>78</v>
      </c>
      <c r="G595" s="1" t="s">
        <v>132</v>
      </c>
      <c r="H595" s="1"/>
      <c r="I595" s="1"/>
      <c r="J595" s="15"/>
      <c r="K595" s="1"/>
      <c r="L595" s="8">
        <v>46036.0</v>
      </c>
    </row>
    <row r="596">
      <c r="A596" s="16">
        <v>46036.38257894676</v>
      </c>
      <c r="B596" s="1"/>
      <c r="C596" s="1"/>
      <c r="D596" s="1" t="s">
        <v>76</v>
      </c>
      <c r="E596" s="1" t="s">
        <v>77</v>
      </c>
      <c r="F596" s="1" t="s">
        <v>78</v>
      </c>
      <c r="G596" s="1" t="s">
        <v>79</v>
      </c>
      <c r="H596" s="1"/>
      <c r="I596" s="1"/>
      <c r="J596" s="15"/>
      <c r="K596" s="1" t="s">
        <v>279</v>
      </c>
      <c r="L596" s="8">
        <v>46036.0</v>
      </c>
    </row>
    <row r="597">
      <c r="A597" s="16">
        <v>46036.38257908565</v>
      </c>
      <c r="B597" s="1"/>
      <c r="C597" s="1" t="s">
        <v>76</v>
      </c>
      <c r="D597" s="1" t="s">
        <v>76</v>
      </c>
      <c r="E597" s="1" t="s">
        <v>88</v>
      </c>
      <c r="F597" s="1" t="s">
        <v>78</v>
      </c>
      <c r="G597" s="1" t="s">
        <v>78</v>
      </c>
      <c r="H597" s="1"/>
      <c r="I597" s="1"/>
      <c r="J597" s="15">
        <v>2911.0</v>
      </c>
      <c r="K597" s="1" t="s">
        <v>90</v>
      </c>
      <c r="L597" s="8">
        <v>46036.0</v>
      </c>
    </row>
    <row r="598">
      <c r="A598" s="16">
        <v>46036.38258427083</v>
      </c>
      <c r="B598" s="1" t="s">
        <v>45</v>
      </c>
      <c r="C598" s="1" t="s">
        <v>81</v>
      </c>
      <c r="D598" s="1" t="s">
        <v>99</v>
      </c>
      <c r="E598" s="1" t="s">
        <v>131</v>
      </c>
      <c r="F598" s="1" t="s">
        <v>78</v>
      </c>
      <c r="G598" s="1" t="s">
        <v>132</v>
      </c>
      <c r="H598" s="1"/>
      <c r="I598" s="1"/>
      <c r="J598" s="15"/>
      <c r="K598" s="1"/>
      <c r="L598" s="8">
        <v>46036.0</v>
      </c>
    </row>
    <row r="599">
      <c r="A599" s="16">
        <v>46036.382589305555</v>
      </c>
      <c r="B599" s="1" t="s">
        <v>45</v>
      </c>
      <c r="C599" s="1" t="s">
        <v>81</v>
      </c>
      <c r="D599" s="1" t="s">
        <v>99</v>
      </c>
      <c r="E599" s="1" t="s">
        <v>131</v>
      </c>
      <c r="F599" s="1" t="s">
        <v>78</v>
      </c>
      <c r="G599" s="1" t="s">
        <v>132</v>
      </c>
      <c r="H599" s="1"/>
      <c r="I599" s="1"/>
      <c r="J599" s="15"/>
      <c r="K599" s="1"/>
      <c r="L599" s="8">
        <v>46036.0</v>
      </c>
    </row>
    <row r="600">
      <c r="A600" s="16">
        <v>46036.382595821764</v>
      </c>
      <c r="B600" s="1"/>
      <c r="C600" s="1" t="s">
        <v>76</v>
      </c>
      <c r="D600" s="1" t="s">
        <v>76</v>
      </c>
      <c r="E600" s="1" t="s">
        <v>88</v>
      </c>
      <c r="F600" s="1" t="s">
        <v>78</v>
      </c>
      <c r="G600" s="1" t="s">
        <v>78</v>
      </c>
      <c r="H600" s="1"/>
      <c r="I600" s="1"/>
      <c r="J600" s="15">
        <v>2362.0</v>
      </c>
      <c r="K600" s="1" t="s">
        <v>90</v>
      </c>
      <c r="L600" s="8">
        <v>46036.0</v>
      </c>
    </row>
    <row r="601">
      <c r="A601" s="16">
        <v>46036.38792444444</v>
      </c>
      <c r="B601" s="1"/>
      <c r="C601" s="1"/>
      <c r="D601" s="1" t="s">
        <v>76</v>
      </c>
      <c r="E601" s="1" t="s">
        <v>77</v>
      </c>
      <c r="F601" s="1" t="s">
        <v>78</v>
      </c>
      <c r="G601" s="1" t="s">
        <v>79</v>
      </c>
      <c r="H601" s="1"/>
      <c r="I601" s="1"/>
      <c r="J601" s="15"/>
      <c r="K601" s="1" t="s">
        <v>80</v>
      </c>
      <c r="L601" s="8">
        <v>46036.0</v>
      </c>
    </row>
    <row r="602">
      <c r="A602" s="16">
        <v>46036.38793326389</v>
      </c>
      <c r="B602" s="1" t="s">
        <v>45</v>
      </c>
      <c r="C602" s="1" t="s">
        <v>81</v>
      </c>
      <c r="D602" s="1" t="s">
        <v>99</v>
      </c>
      <c r="E602" s="1" t="s">
        <v>131</v>
      </c>
      <c r="F602" s="1" t="s">
        <v>78</v>
      </c>
      <c r="G602" s="1" t="s">
        <v>132</v>
      </c>
      <c r="H602" s="1"/>
      <c r="I602" s="1"/>
      <c r="J602" s="15"/>
      <c r="K602" s="1"/>
      <c r="L602" s="8">
        <v>46036.0</v>
      </c>
    </row>
    <row r="603">
      <c r="A603" s="16">
        <v>46036.38794170139</v>
      </c>
      <c r="B603" s="1"/>
      <c r="C603" s="1" t="s">
        <v>76</v>
      </c>
      <c r="D603" s="1" t="s">
        <v>76</v>
      </c>
      <c r="E603" s="1" t="s">
        <v>88</v>
      </c>
      <c r="F603" s="1" t="s">
        <v>78</v>
      </c>
      <c r="G603" s="1" t="s">
        <v>78</v>
      </c>
      <c r="H603" s="1"/>
      <c r="I603" s="1"/>
      <c r="J603" s="15">
        <v>2031.0</v>
      </c>
      <c r="K603" s="1" t="s">
        <v>90</v>
      </c>
      <c r="L603" s="8">
        <v>46036.0</v>
      </c>
    </row>
    <row r="604">
      <c r="A604" s="16">
        <v>46036.3891478125</v>
      </c>
      <c r="B604" s="1"/>
      <c r="C604" s="1"/>
      <c r="D604" s="1" t="s">
        <v>76</v>
      </c>
      <c r="E604" s="1" t="s">
        <v>77</v>
      </c>
      <c r="F604" s="1" t="s">
        <v>78</v>
      </c>
      <c r="G604" s="1" t="s">
        <v>79</v>
      </c>
      <c r="H604" s="1"/>
      <c r="I604" s="1"/>
      <c r="J604" s="15"/>
      <c r="K604" s="1" t="s">
        <v>80</v>
      </c>
      <c r="L604" s="8">
        <v>46036.0</v>
      </c>
    </row>
    <row r="605">
      <c r="A605" s="16">
        <v>46036.38915253472</v>
      </c>
      <c r="B605" s="1" t="s">
        <v>45</v>
      </c>
      <c r="C605" s="1" t="s">
        <v>81</v>
      </c>
      <c r="D605" s="1" t="s">
        <v>99</v>
      </c>
      <c r="E605" s="1" t="s">
        <v>100</v>
      </c>
      <c r="F605" s="1" t="s">
        <v>101</v>
      </c>
      <c r="G605" s="1" t="s">
        <v>102</v>
      </c>
      <c r="H605" s="17" t="s">
        <v>280</v>
      </c>
      <c r="I605" s="1"/>
      <c r="J605" s="15"/>
      <c r="K605" s="1"/>
      <c r="L605" s="8">
        <v>46036.0</v>
      </c>
    </row>
    <row r="606">
      <c r="A606" s="16">
        <v>46036.38915569444</v>
      </c>
      <c r="B606" s="1"/>
      <c r="C606" s="1" t="s">
        <v>76</v>
      </c>
      <c r="D606" s="1" t="s">
        <v>76</v>
      </c>
      <c r="E606" s="1" t="s">
        <v>88</v>
      </c>
      <c r="F606" s="1" t="s">
        <v>104</v>
      </c>
      <c r="G606" s="1" t="s">
        <v>104</v>
      </c>
      <c r="H606" s="1"/>
      <c r="I606" s="1"/>
      <c r="J606" s="15">
        <v>282.0</v>
      </c>
      <c r="K606" s="1" t="s">
        <v>281</v>
      </c>
      <c r="L606" s="8">
        <v>46036.0</v>
      </c>
    </row>
    <row r="607">
      <c r="A607" s="16">
        <v>46036.38915872685</v>
      </c>
      <c r="B607" s="1"/>
      <c r="C607" s="1" t="s">
        <v>76</v>
      </c>
      <c r="D607" s="1" t="s">
        <v>76</v>
      </c>
      <c r="E607" s="1" t="s">
        <v>88</v>
      </c>
      <c r="F607" s="1" t="s">
        <v>78</v>
      </c>
      <c r="G607" s="1" t="s">
        <v>78</v>
      </c>
      <c r="H607" s="1"/>
      <c r="I607" s="1"/>
      <c r="J607" s="15">
        <v>1023.0</v>
      </c>
      <c r="K607" s="1" t="s">
        <v>90</v>
      </c>
      <c r="L607" s="8">
        <v>46036.0</v>
      </c>
    </row>
    <row r="608">
      <c r="A608" s="16">
        <v>46036.3901353588</v>
      </c>
      <c r="B608" s="1"/>
      <c r="C608" s="1"/>
      <c r="D608" s="1" t="s">
        <v>76</v>
      </c>
      <c r="E608" s="1" t="s">
        <v>77</v>
      </c>
      <c r="F608" s="1" t="s">
        <v>78</v>
      </c>
      <c r="G608" s="1" t="s">
        <v>79</v>
      </c>
      <c r="H608" s="1"/>
      <c r="I608" s="1"/>
      <c r="J608" s="15"/>
      <c r="K608" s="1" t="s">
        <v>80</v>
      </c>
      <c r="L608" s="8">
        <v>46036.0</v>
      </c>
    </row>
    <row r="609">
      <c r="A609" s="16">
        <v>46036.39013917824</v>
      </c>
      <c r="B609" s="1" t="s">
        <v>45</v>
      </c>
      <c r="C609" s="1" t="s">
        <v>81</v>
      </c>
      <c r="D609" s="1" t="s">
        <v>99</v>
      </c>
      <c r="E609" s="1" t="s">
        <v>131</v>
      </c>
      <c r="F609" s="1" t="s">
        <v>78</v>
      </c>
      <c r="G609" s="1" t="s">
        <v>132</v>
      </c>
      <c r="H609" s="1"/>
      <c r="I609" s="1"/>
      <c r="J609" s="15"/>
      <c r="K609" s="1"/>
      <c r="L609" s="8">
        <v>46036.0</v>
      </c>
    </row>
    <row r="610">
      <c r="A610" s="16">
        <v>46036.39014390046</v>
      </c>
      <c r="B610" s="1"/>
      <c r="C610" s="1" t="s">
        <v>76</v>
      </c>
      <c r="D610" s="1" t="s">
        <v>76</v>
      </c>
      <c r="E610" s="1" t="s">
        <v>88</v>
      </c>
      <c r="F610" s="1" t="s">
        <v>78</v>
      </c>
      <c r="G610" s="1" t="s">
        <v>78</v>
      </c>
      <c r="H610" s="1"/>
      <c r="I610" s="1"/>
      <c r="J610" s="15">
        <v>825.0</v>
      </c>
      <c r="K610" s="1" t="s">
        <v>90</v>
      </c>
      <c r="L610" s="8">
        <v>46036.0</v>
      </c>
    </row>
    <row r="611">
      <c r="A611" s="16">
        <v>46036.39018004629</v>
      </c>
      <c r="B611" s="1"/>
      <c r="C611" s="1"/>
      <c r="D611" s="1" t="s">
        <v>76</v>
      </c>
      <c r="E611" s="1" t="s">
        <v>77</v>
      </c>
      <c r="F611" s="1" t="s">
        <v>78</v>
      </c>
      <c r="G611" s="1" t="s">
        <v>79</v>
      </c>
      <c r="H611" s="1"/>
      <c r="I611" s="1"/>
      <c r="J611" s="15"/>
      <c r="K611" s="1" t="s">
        <v>80</v>
      </c>
      <c r="L611" s="8">
        <v>46036.0</v>
      </c>
    </row>
    <row r="612">
      <c r="A612" s="16">
        <v>46036.39018336806</v>
      </c>
      <c r="B612" s="1" t="s">
        <v>45</v>
      </c>
      <c r="C612" s="1" t="s">
        <v>81</v>
      </c>
      <c r="D612" s="1" t="s">
        <v>99</v>
      </c>
      <c r="E612" s="1" t="s">
        <v>131</v>
      </c>
      <c r="F612" s="1" t="s">
        <v>78</v>
      </c>
      <c r="G612" s="1" t="s">
        <v>132</v>
      </c>
      <c r="H612" s="1"/>
      <c r="I612" s="1"/>
      <c r="J612" s="15"/>
      <c r="K612" s="1"/>
      <c r="L612" s="8">
        <v>46036.0</v>
      </c>
    </row>
    <row r="613">
      <c r="A613" s="16">
        <v>46036.39018663194</v>
      </c>
      <c r="B613" s="1"/>
      <c r="C613" s="1" t="s">
        <v>76</v>
      </c>
      <c r="D613" s="1" t="s">
        <v>76</v>
      </c>
      <c r="E613" s="1" t="s">
        <v>88</v>
      </c>
      <c r="F613" s="1" t="s">
        <v>78</v>
      </c>
      <c r="G613" s="1" t="s">
        <v>78</v>
      </c>
      <c r="H613" s="1"/>
      <c r="I613" s="1"/>
      <c r="J613" s="15">
        <v>657.0</v>
      </c>
      <c r="K613" s="1" t="s">
        <v>90</v>
      </c>
      <c r="L613" s="8">
        <v>46036.0</v>
      </c>
    </row>
    <row r="614">
      <c r="A614" s="16">
        <v>46036.42463929398</v>
      </c>
      <c r="B614" s="1"/>
      <c r="C614" s="1"/>
      <c r="D614" s="1" t="s">
        <v>76</v>
      </c>
      <c r="E614" s="1" t="s">
        <v>77</v>
      </c>
      <c r="F614" s="1" t="s">
        <v>78</v>
      </c>
      <c r="G614" s="1" t="s">
        <v>79</v>
      </c>
      <c r="H614" s="1"/>
      <c r="I614" s="1"/>
      <c r="J614" s="15"/>
      <c r="K614" s="1" t="s">
        <v>80</v>
      </c>
      <c r="L614" s="8">
        <v>46036.0</v>
      </c>
    </row>
    <row r="615">
      <c r="A615" s="16">
        <v>46036.42464488426</v>
      </c>
      <c r="B615" s="1" t="s">
        <v>45</v>
      </c>
      <c r="C615" s="1" t="s">
        <v>81</v>
      </c>
      <c r="D615" s="1" t="s">
        <v>99</v>
      </c>
      <c r="E615" s="1" t="s">
        <v>100</v>
      </c>
      <c r="F615" s="1" t="s">
        <v>101</v>
      </c>
      <c r="G615" s="1" t="s">
        <v>102</v>
      </c>
      <c r="H615" s="17" t="s">
        <v>282</v>
      </c>
      <c r="I615" s="1"/>
      <c r="J615" s="15"/>
      <c r="K615" s="1"/>
      <c r="L615" s="8">
        <v>46036.0</v>
      </c>
    </row>
    <row r="616">
      <c r="A616" s="16">
        <v>46036.42465892361</v>
      </c>
      <c r="B616" s="1"/>
      <c r="C616" s="1" t="s">
        <v>76</v>
      </c>
      <c r="D616" s="1" t="s">
        <v>76</v>
      </c>
      <c r="E616" s="1" t="s">
        <v>88</v>
      </c>
      <c r="F616" s="1" t="s">
        <v>104</v>
      </c>
      <c r="G616" s="1" t="s">
        <v>104</v>
      </c>
      <c r="H616" s="1"/>
      <c r="I616" s="1"/>
      <c r="J616" s="15">
        <v>1214.0</v>
      </c>
      <c r="K616" s="1" t="s">
        <v>283</v>
      </c>
      <c r="L616" s="8">
        <v>46036.0</v>
      </c>
    </row>
    <row r="617">
      <c r="A617" s="16">
        <v>46036.42466268518</v>
      </c>
      <c r="B617" s="1"/>
      <c r="C617" s="1" t="s">
        <v>76</v>
      </c>
      <c r="D617" s="1" t="s">
        <v>76</v>
      </c>
      <c r="E617" s="1" t="s">
        <v>88</v>
      </c>
      <c r="F617" s="1" t="s">
        <v>78</v>
      </c>
      <c r="G617" s="1" t="s">
        <v>78</v>
      </c>
      <c r="H617" s="1"/>
      <c r="I617" s="1"/>
      <c r="J617" s="15">
        <v>2664.0</v>
      </c>
      <c r="K617" s="1" t="s">
        <v>90</v>
      </c>
      <c r="L617" s="8">
        <v>46036.0</v>
      </c>
    </row>
    <row r="618">
      <c r="A618" s="16">
        <v>46036.4955628125</v>
      </c>
      <c r="B618" s="1"/>
      <c r="C618" s="1"/>
      <c r="D618" s="1" t="s">
        <v>76</v>
      </c>
      <c r="E618" s="1" t="s">
        <v>77</v>
      </c>
      <c r="F618" s="1" t="s">
        <v>78</v>
      </c>
      <c r="G618" s="1" t="s">
        <v>79</v>
      </c>
      <c r="H618" s="1"/>
      <c r="I618" s="1"/>
      <c r="J618" s="15"/>
      <c r="K618" s="1" t="s">
        <v>80</v>
      </c>
      <c r="L618" s="8">
        <v>46036.0</v>
      </c>
    </row>
    <row r="619">
      <c r="A619" s="16">
        <v>46036.49556740741</v>
      </c>
      <c r="B619" s="1" t="s">
        <v>148</v>
      </c>
      <c r="C619" s="1" t="s">
        <v>81</v>
      </c>
      <c r="D619" s="1" t="s">
        <v>99</v>
      </c>
      <c r="E619" s="1" t="s">
        <v>100</v>
      </c>
      <c r="F619" s="1" t="s">
        <v>101</v>
      </c>
      <c r="G619" s="1" t="s">
        <v>102</v>
      </c>
      <c r="H619" s="1" t="s">
        <v>149</v>
      </c>
      <c r="I619" s="1"/>
      <c r="J619" s="15"/>
      <c r="K619" s="1"/>
      <c r="L619" s="8">
        <v>46036.0</v>
      </c>
    </row>
    <row r="620">
      <c r="A620" s="16">
        <v>46036.49557782407</v>
      </c>
      <c r="B620" s="1"/>
      <c r="C620" s="1" t="s">
        <v>76</v>
      </c>
      <c r="D620" s="1" t="s">
        <v>76</v>
      </c>
      <c r="E620" s="1" t="s">
        <v>88</v>
      </c>
      <c r="F620" s="1" t="s">
        <v>104</v>
      </c>
      <c r="G620" s="1" t="s">
        <v>104</v>
      </c>
      <c r="H620" s="1"/>
      <c r="I620" s="1"/>
      <c r="J620" s="15">
        <v>931.0</v>
      </c>
      <c r="K620" s="1" t="s">
        <v>150</v>
      </c>
      <c r="L620" s="8">
        <v>46036.0</v>
      </c>
    </row>
    <row r="621">
      <c r="A621" s="16">
        <v>46036.495584502314</v>
      </c>
      <c r="B621" s="1"/>
      <c r="C621" s="1" t="s">
        <v>76</v>
      </c>
      <c r="D621" s="1" t="s">
        <v>76</v>
      </c>
      <c r="E621" s="1" t="s">
        <v>88</v>
      </c>
      <c r="F621" s="1" t="s">
        <v>78</v>
      </c>
      <c r="G621" s="1" t="s">
        <v>78</v>
      </c>
      <c r="H621" s="1"/>
      <c r="I621" s="1"/>
      <c r="J621" s="15">
        <v>2313.0</v>
      </c>
      <c r="K621" s="1" t="s">
        <v>90</v>
      </c>
      <c r="L621" s="8">
        <v>46036.0</v>
      </c>
    </row>
    <row r="622">
      <c r="A622" s="16">
        <v>46036.53615144676</v>
      </c>
      <c r="B622" s="1"/>
      <c r="C622" s="1"/>
      <c r="D622" s="1" t="s">
        <v>76</v>
      </c>
      <c r="E622" s="1" t="s">
        <v>77</v>
      </c>
      <c r="F622" s="1" t="s">
        <v>78</v>
      </c>
      <c r="G622" s="1" t="s">
        <v>79</v>
      </c>
      <c r="H622" s="1"/>
      <c r="I622" s="1"/>
      <c r="J622" s="15"/>
      <c r="K622" s="1" t="s">
        <v>80</v>
      </c>
      <c r="L622" s="8">
        <v>46036.0</v>
      </c>
    </row>
    <row r="623">
      <c r="A623" s="16">
        <v>46036.53615714121</v>
      </c>
      <c r="B623" s="1" t="s">
        <v>45</v>
      </c>
      <c r="C623" s="1" t="s">
        <v>81</v>
      </c>
      <c r="D623" s="1" t="s">
        <v>99</v>
      </c>
      <c r="E623" s="1" t="s">
        <v>100</v>
      </c>
      <c r="F623" s="1" t="s">
        <v>101</v>
      </c>
      <c r="G623" s="1" t="s">
        <v>102</v>
      </c>
      <c r="H623" s="17" t="s">
        <v>284</v>
      </c>
      <c r="I623" s="1"/>
      <c r="J623" s="15"/>
      <c r="K623" s="1"/>
      <c r="L623" s="8">
        <v>46036.0</v>
      </c>
    </row>
    <row r="624">
      <c r="A624" s="16">
        <v>46036.53617814815</v>
      </c>
      <c r="B624" s="1"/>
      <c r="C624" s="1" t="s">
        <v>76</v>
      </c>
      <c r="D624" s="1" t="s">
        <v>76</v>
      </c>
      <c r="E624" s="1" t="s">
        <v>88</v>
      </c>
      <c r="F624" s="1" t="s">
        <v>104</v>
      </c>
      <c r="G624" s="1" t="s">
        <v>104</v>
      </c>
      <c r="H624" s="1"/>
      <c r="I624" s="1"/>
      <c r="J624" s="15">
        <v>1212.0</v>
      </c>
      <c r="K624" s="1" t="s">
        <v>285</v>
      </c>
      <c r="L624" s="8">
        <v>46036.0</v>
      </c>
    </row>
    <row r="625">
      <c r="A625" s="16">
        <v>46036.536182118056</v>
      </c>
      <c r="B625" s="1"/>
      <c r="C625" s="1" t="s">
        <v>76</v>
      </c>
      <c r="D625" s="1" t="s">
        <v>76</v>
      </c>
      <c r="E625" s="1" t="s">
        <v>88</v>
      </c>
      <c r="F625" s="1" t="s">
        <v>78</v>
      </c>
      <c r="G625" s="1" t="s">
        <v>78</v>
      </c>
      <c r="H625" s="1"/>
      <c r="I625" s="1"/>
      <c r="J625" s="15">
        <v>3782.0</v>
      </c>
      <c r="K625" s="1" t="s">
        <v>90</v>
      </c>
      <c r="L625" s="8">
        <v>46036.0</v>
      </c>
    </row>
    <row r="626">
      <c r="A626" s="16">
        <v>46036.78209099537</v>
      </c>
      <c r="B626" s="1"/>
      <c r="C626" s="1"/>
      <c r="D626" s="1" t="s">
        <v>76</v>
      </c>
      <c r="E626" s="1" t="s">
        <v>77</v>
      </c>
      <c r="F626" s="1" t="s">
        <v>78</v>
      </c>
      <c r="G626" s="1" t="s">
        <v>79</v>
      </c>
      <c r="H626" s="1"/>
      <c r="I626" s="1"/>
      <c r="J626" s="15"/>
      <c r="K626" s="1" t="s">
        <v>80</v>
      </c>
      <c r="L626" s="8">
        <v>46036.0</v>
      </c>
    </row>
    <row r="627">
      <c r="A627" s="16">
        <v>46036.782095787035</v>
      </c>
      <c r="B627" s="1" t="s">
        <v>286</v>
      </c>
      <c r="C627" s="1" t="s">
        <v>81</v>
      </c>
      <c r="D627" s="1" t="s">
        <v>142</v>
      </c>
      <c r="E627" s="1" t="s">
        <v>131</v>
      </c>
      <c r="F627" s="1" t="s">
        <v>78</v>
      </c>
      <c r="G627" s="1" t="s">
        <v>132</v>
      </c>
      <c r="H627" s="1"/>
      <c r="I627" s="1"/>
      <c r="J627" s="15"/>
      <c r="K627" s="1"/>
      <c r="L627" s="8">
        <v>46036.0</v>
      </c>
    </row>
    <row r="628">
      <c r="A628" s="16">
        <v>46036.78210744213</v>
      </c>
      <c r="B628" s="1"/>
      <c r="C628" s="1" t="s">
        <v>76</v>
      </c>
      <c r="D628" s="1" t="s">
        <v>76</v>
      </c>
      <c r="E628" s="1" t="s">
        <v>88</v>
      </c>
      <c r="F628" s="1" t="s">
        <v>78</v>
      </c>
      <c r="G628" s="1" t="s">
        <v>78</v>
      </c>
      <c r="H628" s="1"/>
      <c r="I628" s="1"/>
      <c r="J628" s="15">
        <v>2076.0</v>
      </c>
      <c r="K628" s="1" t="s">
        <v>90</v>
      </c>
      <c r="L628" s="8">
        <v>46036.0</v>
      </c>
    </row>
    <row r="629">
      <c r="A629" s="16">
        <v>46036.821279826385</v>
      </c>
      <c r="B629" s="1"/>
      <c r="C629" s="1"/>
      <c r="D629" s="1" t="s">
        <v>76</v>
      </c>
      <c r="E629" s="1" t="s">
        <v>77</v>
      </c>
      <c r="F629" s="1" t="s">
        <v>78</v>
      </c>
      <c r="G629" s="1" t="s">
        <v>79</v>
      </c>
      <c r="H629" s="1"/>
      <c r="I629" s="1"/>
      <c r="J629" s="15"/>
      <c r="K629" s="1" t="s">
        <v>80</v>
      </c>
      <c r="L629" s="8">
        <v>46036.0</v>
      </c>
    </row>
    <row r="630">
      <c r="A630" s="16">
        <v>46036.82128703703</v>
      </c>
      <c r="B630" s="1" t="s">
        <v>261</v>
      </c>
      <c r="C630" s="1" t="s">
        <v>81</v>
      </c>
      <c r="D630" s="1" t="s">
        <v>82</v>
      </c>
      <c r="E630" s="1" t="s">
        <v>83</v>
      </c>
      <c r="F630" s="1" t="s">
        <v>84</v>
      </c>
      <c r="G630" s="1" t="s">
        <v>85</v>
      </c>
      <c r="H630" s="1"/>
      <c r="I630" s="1" t="s">
        <v>86</v>
      </c>
      <c r="J630" s="15"/>
      <c r="K630" s="1" t="s">
        <v>87</v>
      </c>
      <c r="L630" s="8">
        <v>46036.0</v>
      </c>
    </row>
    <row r="631">
      <c r="A631" s="16">
        <v>46036.821297118055</v>
      </c>
      <c r="B631" s="1"/>
      <c r="C631" s="1"/>
      <c r="D631" s="1" t="s">
        <v>76</v>
      </c>
      <c r="E631" s="1" t="s">
        <v>77</v>
      </c>
      <c r="F631" s="1" t="s">
        <v>78</v>
      </c>
      <c r="G631" s="1" t="s">
        <v>79</v>
      </c>
      <c r="H631" s="1"/>
      <c r="I631" s="1"/>
      <c r="J631" s="15"/>
      <c r="K631" s="1" t="s">
        <v>80</v>
      </c>
      <c r="L631" s="8">
        <v>46036.0</v>
      </c>
    </row>
    <row r="632">
      <c r="A632" s="16">
        <v>46036.82130105324</v>
      </c>
      <c r="B632" s="1"/>
      <c r="C632" s="1" t="s">
        <v>76</v>
      </c>
      <c r="D632" s="1" t="s">
        <v>76</v>
      </c>
      <c r="E632" s="1" t="s">
        <v>88</v>
      </c>
      <c r="F632" s="1" t="s">
        <v>89</v>
      </c>
      <c r="G632" s="1" t="s">
        <v>89</v>
      </c>
      <c r="H632" s="1"/>
      <c r="I632" s="1"/>
      <c r="J632" s="15">
        <v>1319.0</v>
      </c>
      <c r="K632" s="1" t="s">
        <v>87</v>
      </c>
      <c r="L632" s="8">
        <v>46036.0</v>
      </c>
    </row>
    <row r="633">
      <c r="A633" s="16">
        <v>46036.82130277778</v>
      </c>
      <c r="B633" s="1" t="s">
        <v>261</v>
      </c>
      <c r="C633" s="1" t="s">
        <v>81</v>
      </c>
      <c r="D633" s="1" t="s">
        <v>82</v>
      </c>
      <c r="E633" s="1" t="s">
        <v>83</v>
      </c>
      <c r="F633" s="1" t="s">
        <v>84</v>
      </c>
      <c r="G633" s="1" t="s">
        <v>85</v>
      </c>
      <c r="H633" s="1"/>
      <c r="I633" s="1" t="s">
        <v>86</v>
      </c>
      <c r="J633" s="15"/>
      <c r="K633" s="1" t="s">
        <v>87</v>
      </c>
      <c r="L633" s="8">
        <v>46036.0</v>
      </c>
    </row>
    <row r="634">
      <c r="A634" s="16">
        <v>46036.82130733796</v>
      </c>
      <c r="B634" s="1"/>
      <c r="C634" s="1" t="s">
        <v>76</v>
      </c>
      <c r="D634" s="1" t="s">
        <v>76</v>
      </c>
      <c r="E634" s="1" t="s">
        <v>88</v>
      </c>
      <c r="F634" s="1" t="s">
        <v>78</v>
      </c>
      <c r="G634" s="1" t="s">
        <v>78</v>
      </c>
      <c r="H634" s="1"/>
      <c r="I634" s="1"/>
      <c r="J634" s="15">
        <v>3024.0</v>
      </c>
      <c r="K634" s="1" t="s">
        <v>90</v>
      </c>
      <c r="L634" s="8">
        <v>46036.0</v>
      </c>
    </row>
    <row r="635">
      <c r="A635" s="16">
        <v>46036.82131121527</v>
      </c>
      <c r="B635" s="1"/>
      <c r="C635" s="1" t="s">
        <v>76</v>
      </c>
      <c r="D635" s="1" t="s">
        <v>76</v>
      </c>
      <c r="E635" s="1" t="s">
        <v>88</v>
      </c>
      <c r="F635" s="1" t="s">
        <v>89</v>
      </c>
      <c r="G635" s="1" t="s">
        <v>89</v>
      </c>
      <c r="H635" s="1"/>
      <c r="I635" s="1"/>
      <c r="J635" s="15">
        <v>767.0</v>
      </c>
      <c r="K635" s="1" t="s">
        <v>87</v>
      </c>
      <c r="L635" s="8">
        <v>46036.0</v>
      </c>
    </row>
    <row r="636">
      <c r="A636" s="16">
        <v>46036.821316574074</v>
      </c>
      <c r="B636" s="1"/>
      <c r="C636" s="1" t="s">
        <v>76</v>
      </c>
      <c r="D636" s="1" t="s">
        <v>76</v>
      </c>
      <c r="E636" s="1" t="s">
        <v>88</v>
      </c>
      <c r="F636" s="1" t="s">
        <v>78</v>
      </c>
      <c r="G636" s="1" t="s">
        <v>78</v>
      </c>
      <c r="H636" s="1"/>
      <c r="I636" s="1"/>
      <c r="J636" s="15">
        <v>1960.0</v>
      </c>
      <c r="K636" s="1" t="s">
        <v>90</v>
      </c>
      <c r="L636" s="8">
        <v>46036.0</v>
      </c>
    </row>
    <row r="637">
      <c r="A637" s="16">
        <v>46036.821354479165</v>
      </c>
      <c r="B637" s="1"/>
      <c r="C637" s="1"/>
      <c r="D637" s="1" t="s">
        <v>76</v>
      </c>
      <c r="E637" s="1" t="s">
        <v>77</v>
      </c>
      <c r="F637" s="1" t="s">
        <v>78</v>
      </c>
      <c r="G637" s="1" t="s">
        <v>79</v>
      </c>
      <c r="H637" s="1"/>
      <c r="I637" s="1"/>
      <c r="J637" s="15"/>
      <c r="K637" s="1" t="s">
        <v>80</v>
      </c>
      <c r="L637" s="8">
        <v>46036.0</v>
      </c>
    </row>
    <row r="638">
      <c r="A638" s="16">
        <v>46036.82136054398</v>
      </c>
      <c r="B638" s="1" t="s">
        <v>261</v>
      </c>
      <c r="C638" s="1" t="s">
        <v>81</v>
      </c>
      <c r="D638" s="1" t="s">
        <v>82</v>
      </c>
      <c r="E638" s="1" t="s">
        <v>83</v>
      </c>
      <c r="F638" s="1" t="s">
        <v>84</v>
      </c>
      <c r="G638" s="1" t="s">
        <v>85</v>
      </c>
      <c r="H638" s="1"/>
      <c r="I638" s="1" t="s">
        <v>86</v>
      </c>
      <c r="J638" s="15"/>
      <c r="K638" s="1" t="s">
        <v>87</v>
      </c>
      <c r="L638" s="8">
        <v>46036.0</v>
      </c>
    </row>
    <row r="639">
      <c r="A639" s="16">
        <v>46036.82136864583</v>
      </c>
      <c r="B639" s="1"/>
      <c r="C639" s="1" t="s">
        <v>76</v>
      </c>
      <c r="D639" s="1" t="s">
        <v>76</v>
      </c>
      <c r="E639" s="1" t="s">
        <v>88</v>
      </c>
      <c r="F639" s="1" t="s">
        <v>89</v>
      </c>
      <c r="G639" s="1" t="s">
        <v>89</v>
      </c>
      <c r="H639" s="1"/>
      <c r="I639" s="1"/>
      <c r="J639" s="15">
        <v>706.0</v>
      </c>
      <c r="K639" s="1" t="s">
        <v>87</v>
      </c>
      <c r="L639" s="8">
        <v>46036.0</v>
      </c>
    </row>
    <row r="640">
      <c r="A640" s="16">
        <v>46036.82137803241</v>
      </c>
      <c r="B640" s="1"/>
      <c r="C640" s="1" t="s">
        <v>76</v>
      </c>
      <c r="D640" s="1" t="s">
        <v>76</v>
      </c>
      <c r="E640" s="1" t="s">
        <v>88</v>
      </c>
      <c r="F640" s="1" t="s">
        <v>78</v>
      </c>
      <c r="G640" s="1" t="s">
        <v>78</v>
      </c>
      <c r="H640" s="1"/>
      <c r="I640" s="1"/>
      <c r="J640" s="15">
        <v>1779.0</v>
      </c>
      <c r="K640" s="1" t="s">
        <v>90</v>
      </c>
      <c r="L640" s="8">
        <v>46036.0</v>
      </c>
    </row>
    <row r="641">
      <c r="A641" s="16">
        <v>46036.821425636575</v>
      </c>
      <c r="B641" s="1"/>
      <c r="C641" s="1"/>
      <c r="D641" s="1" t="s">
        <v>76</v>
      </c>
      <c r="E641" s="1" t="s">
        <v>77</v>
      </c>
      <c r="F641" s="1" t="s">
        <v>78</v>
      </c>
      <c r="G641" s="1" t="s">
        <v>79</v>
      </c>
      <c r="H641" s="1"/>
      <c r="I641" s="1"/>
      <c r="J641" s="15"/>
      <c r="K641" s="1" t="s">
        <v>80</v>
      </c>
      <c r="L641" s="8">
        <v>46036.0</v>
      </c>
    </row>
    <row r="642">
      <c r="A642" s="16">
        <v>46036.82142961805</v>
      </c>
      <c r="B642" s="1" t="s">
        <v>261</v>
      </c>
      <c r="C642" s="1" t="s">
        <v>81</v>
      </c>
      <c r="D642" s="1" t="s">
        <v>82</v>
      </c>
      <c r="E642" s="1" t="s">
        <v>117</v>
      </c>
      <c r="F642" s="1" t="s">
        <v>84</v>
      </c>
      <c r="G642" s="1" t="s">
        <v>85</v>
      </c>
      <c r="H642" s="1"/>
      <c r="I642" s="1" t="s">
        <v>213</v>
      </c>
      <c r="J642" s="15"/>
      <c r="K642" s="1" t="s">
        <v>214</v>
      </c>
      <c r="L642" s="8">
        <v>46036.0</v>
      </c>
    </row>
    <row r="643">
      <c r="A643" s="16">
        <v>46036.8214368287</v>
      </c>
      <c r="B643" s="1"/>
      <c r="C643" s="1" t="s">
        <v>76</v>
      </c>
      <c r="D643" s="1" t="s">
        <v>76</v>
      </c>
      <c r="E643" s="1" t="s">
        <v>88</v>
      </c>
      <c r="F643" s="1" t="s">
        <v>89</v>
      </c>
      <c r="G643" s="1" t="s">
        <v>89</v>
      </c>
      <c r="H643" s="1"/>
      <c r="I643" s="1"/>
      <c r="J643" s="15">
        <v>649.0</v>
      </c>
      <c r="K643" s="1" t="s">
        <v>120</v>
      </c>
      <c r="L643" s="8">
        <v>46036.0</v>
      </c>
    </row>
    <row r="644">
      <c r="A644" s="16">
        <v>46036.82144179398</v>
      </c>
      <c r="B644" s="1"/>
      <c r="C644" s="1" t="s">
        <v>76</v>
      </c>
      <c r="D644" s="1" t="s">
        <v>76</v>
      </c>
      <c r="E644" s="1" t="s">
        <v>88</v>
      </c>
      <c r="F644" s="1" t="s">
        <v>78</v>
      </c>
      <c r="G644" s="1" t="s">
        <v>78</v>
      </c>
      <c r="H644" s="1"/>
      <c r="I644" s="1"/>
      <c r="J644" s="15">
        <v>1493.0</v>
      </c>
      <c r="K644" s="1" t="s">
        <v>90</v>
      </c>
      <c r="L644" s="8">
        <v>46036.0</v>
      </c>
    </row>
    <row r="645">
      <c r="A645" s="16">
        <v>46036.821520717596</v>
      </c>
      <c r="B645" s="1"/>
      <c r="C645" s="1"/>
      <c r="D645" s="1" t="s">
        <v>76</v>
      </c>
      <c r="E645" s="1" t="s">
        <v>77</v>
      </c>
      <c r="F645" s="1" t="s">
        <v>78</v>
      </c>
      <c r="G645" s="1" t="s">
        <v>79</v>
      </c>
      <c r="H645" s="1"/>
      <c r="I645" s="1"/>
      <c r="J645" s="15"/>
      <c r="K645" s="1" t="s">
        <v>80</v>
      </c>
      <c r="L645" s="8">
        <v>46036.0</v>
      </c>
    </row>
    <row r="646">
      <c r="A646" s="16">
        <v>46036.821565949074</v>
      </c>
      <c r="B646" s="1" t="s">
        <v>261</v>
      </c>
      <c r="C646" s="1" t="s">
        <v>81</v>
      </c>
      <c r="D646" s="1" t="s">
        <v>82</v>
      </c>
      <c r="E646" s="1" t="s">
        <v>94</v>
      </c>
      <c r="F646" s="1" t="s">
        <v>84</v>
      </c>
      <c r="G646" s="1" t="s">
        <v>85</v>
      </c>
      <c r="H646" s="1"/>
      <c r="I646" s="1" t="s">
        <v>287</v>
      </c>
      <c r="J646" s="15"/>
      <c r="K646" s="1" t="s">
        <v>288</v>
      </c>
      <c r="L646" s="8">
        <v>46036.0</v>
      </c>
    </row>
    <row r="647">
      <c r="A647" s="16">
        <v>46036.82191668982</v>
      </c>
      <c r="B647" s="1"/>
      <c r="C647" s="1" t="s">
        <v>76</v>
      </c>
      <c r="D647" s="1" t="s">
        <v>76</v>
      </c>
      <c r="E647" s="1" t="s">
        <v>88</v>
      </c>
      <c r="F647" s="1" t="s">
        <v>89</v>
      </c>
      <c r="G647" s="1" t="s">
        <v>89</v>
      </c>
      <c r="H647" s="1"/>
      <c r="I647" s="1"/>
      <c r="J647" s="15">
        <v>30318.0</v>
      </c>
      <c r="K647" s="1" t="s">
        <v>97</v>
      </c>
      <c r="L647" s="8">
        <v>46036.0</v>
      </c>
    </row>
    <row r="648">
      <c r="A648" s="16">
        <v>46036.8219197338</v>
      </c>
      <c r="B648" s="1"/>
      <c r="C648" s="1" t="s">
        <v>76</v>
      </c>
      <c r="D648" s="1" t="s">
        <v>76</v>
      </c>
      <c r="E648" s="1" t="s">
        <v>88</v>
      </c>
      <c r="F648" s="1" t="s">
        <v>78</v>
      </c>
      <c r="G648" s="1" t="s">
        <v>78</v>
      </c>
      <c r="H648" s="1"/>
      <c r="I648" s="1"/>
      <c r="J648" s="15">
        <v>34586.0</v>
      </c>
      <c r="K648" s="1" t="s">
        <v>90</v>
      </c>
      <c r="L648" s="8">
        <v>46036.0</v>
      </c>
    </row>
    <row r="649">
      <c r="A649" s="16">
        <v>46036.82206658565</v>
      </c>
      <c r="B649" s="1"/>
      <c r="C649" s="1"/>
      <c r="D649" s="1" t="s">
        <v>76</v>
      </c>
      <c r="E649" s="1" t="s">
        <v>77</v>
      </c>
      <c r="F649" s="1" t="s">
        <v>78</v>
      </c>
      <c r="G649" s="1" t="s">
        <v>79</v>
      </c>
      <c r="H649" s="1"/>
      <c r="I649" s="1"/>
      <c r="J649" s="15"/>
      <c r="K649" s="1" t="s">
        <v>80</v>
      </c>
      <c r="L649" s="8">
        <v>46036.0</v>
      </c>
    </row>
    <row r="650">
      <c r="A650" s="16">
        <v>46036.82207016204</v>
      </c>
      <c r="B650" s="1" t="s">
        <v>261</v>
      </c>
      <c r="C650" s="1" t="s">
        <v>81</v>
      </c>
      <c r="D650" s="1" t="s">
        <v>82</v>
      </c>
      <c r="E650" s="1" t="s">
        <v>126</v>
      </c>
      <c r="F650" s="1" t="s">
        <v>84</v>
      </c>
      <c r="G650" s="1" t="s">
        <v>85</v>
      </c>
      <c r="H650" s="1"/>
      <c r="I650" s="1" t="s">
        <v>289</v>
      </c>
      <c r="J650" s="15"/>
      <c r="K650" s="1" t="s">
        <v>290</v>
      </c>
      <c r="L650" s="8">
        <v>46036.0</v>
      </c>
    </row>
    <row r="651">
      <c r="A651" s="16">
        <v>46036.82209501158</v>
      </c>
      <c r="B651" s="1"/>
      <c r="C651" s="1" t="s">
        <v>76</v>
      </c>
      <c r="D651" s="1" t="s">
        <v>76</v>
      </c>
      <c r="E651" s="1" t="s">
        <v>88</v>
      </c>
      <c r="F651" s="1" t="s">
        <v>89</v>
      </c>
      <c r="G651" s="1" t="s">
        <v>89</v>
      </c>
      <c r="H651" s="1"/>
      <c r="I651" s="1"/>
      <c r="J651" s="15">
        <v>2094.0</v>
      </c>
      <c r="K651" s="1" t="s">
        <v>129</v>
      </c>
      <c r="L651" s="8">
        <v>46036.0</v>
      </c>
    </row>
    <row r="652">
      <c r="A652" s="16">
        <v>46036.82209913194</v>
      </c>
      <c r="B652" s="1"/>
      <c r="C652" s="1" t="s">
        <v>76</v>
      </c>
      <c r="D652" s="1" t="s">
        <v>76</v>
      </c>
      <c r="E652" s="1" t="s">
        <v>88</v>
      </c>
      <c r="F652" s="1" t="s">
        <v>78</v>
      </c>
      <c r="G652" s="1" t="s">
        <v>78</v>
      </c>
      <c r="H652" s="1"/>
      <c r="I652" s="1"/>
      <c r="J652" s="15">
        <v>2907.0</v>
      </c>
      <c r="K652" s="1" t="s">
        <v>90</v>
      </c>
      <c r="L652" s="8">
        <v>46036.0</v>
      </c>
    </row>
    <row r="653">
      <c r="A653" s="16">
        <v>46036.82213863426</v>
      </c>
      <c r="B653" s="1"/>
      <c r="C653" s="1"/>
      <c r="D653" s="1" t="s">
        <v>76</v>
      </c>
      <c r="E653" s="1" t="s">
        <v>77</v>
      </c>
      <c r="F653" s="1" t="s">
        <v>78</v>
      </c>
      <c r="G653" s="1" t="s">
        <v>79</v>
      </c>
      <c r="H653" s="1"/>
      <c r="I653" s="1"/>
      <c r="J653" s="15"/>
      <c r="K653" s="1" t="s">
        <v>80</v>
      </c>
      <c r="L653" s="8">
        <v>46036.0</v>
      </c>
    </row>
    <row r="654">
      <c r="A654" s="16">
        <v>46036.822142777775</v>
      </c>
      <c r="B654" s="1" t="s">
        <v>261</v>
      </c>
      <c r="C654" s="1" t="s">
        <v>81</v>
      </c>
      <c r="D654" s="1" t="s">
        <v>82</v>
      </c>
      <c r="E654" s="1" t="s">
        <v>126</v>
      </c>
      <c r="F654" s="1" t="s">
        <v>84</v>
      </c>
      <c r="G654" s="1" t="s">
        <v>85</v>
      </c>
      <c r="H654" s="1"/>
      <c r="I654" s="1" t="s">
        <v>291</v>
      </c>
      <c r="J654" s="15"/>
      <c r="K654" s="1" t="s">
        <v>292</v>
      </c>
      <c r="L654" s="8">
        <v>46036.0</v>
      </c>
    </row>
    <row r="655">
      <c r="A655" s="16">
        <v>46036.82215609954</v>
      </c>
      <c r="B655" s="1"/>
      <c r="C655" s="1" t="s">
        <v>76</v>
      </c>
      <c r="D655" s="1" t="s">
        <v>76</v>
      </c>
      <c r="E655" s="1" t="s">
        <v>88</v>
      </c>
      <c r="F655" s="1" t="s">
        <v>89</v>
      </c>
      <c r="G655" s="1" t="s">
        <v>89</v>
      </c>
      <c r="H655" s="1"/>
      <c r="I655" s="1"/>
      <c r="J655" s="15">
        <v>1173.0</v>
      </c>
      <c r="K655" s="1" t="s">
        <v>129</v>
      </c>
      <c r="L655" s="8">
        <v>46036.0</v>
      </c>
    </row>
    <row r="656">
      <c r="A656" s="16">
        <v>46036.82215974537</v>
      </c>
      <c r="B656" s="1"/>
      <c r="C656" s="1" t="s">
        <v>76</v>
      </c>
      <c r="D656" s="1" t="s">
        <v>76</v>
      </c>
      <c r="E656" s="1" t="s">
        <v>88</v>
      </c>
      <c r="F656" s="1" t="s">
        <v>78</v>
      </c>
      <c r="G656" s="1" t="s">
        <v>78</v>
      </c>
      <c r="H656" s="1"/>
      <c r="I656" s="1"/>
      <c r="J656" s="15">
        <v>2631.0</v>
      </c>
      <c r="K656" s="1" t="s">
        <v>90</v>
      </c>
      <c r="L656" s="8">
        <v>46036.0</v>
      </c>
    </row>
    <row r="657">
      <c r="A657" s="16">
        <v>46036.95887715278</v>
      </c>
      <c r="B657" s="1"/>
      <c r="C657" s="1"/>
      <c r="D657" s="1" t="s">
        <v>76</v>
      </c>
      <c r="E657" s="1" t="s">
        <v>77</v>
      </c>
      <c r="F657" s="1" t="s">
        <v>78</v>
      </c>
      <c r="G657" s="1" t="s">
        <v>79</v>
      </c>
      <c r="H657" s="1"/>
      <c r="I657" s="1"/>
      <c r="J657" s="15"/>
      <c r="K657" s="1" t="s">
        <v>80</v>
      </c>
      <c r="L657" s="8">
        <v>46036.0</v>
      </c>
    </row>
    <row r="658">
      <c r="A658" s="16">
        <v>46036.958883750005</v>
      </c>
      <c r="B658" s="1" t="s">
        <v>293</v>
      </c>
      <c r="C658" s="1" t="s">
        <v>81</v>
      </c>
      <c r="D658" s="1" t="s">
        <v>99</v>
      </c>
      <c r="E658" s="1" t="s">
        <v>107</v>
      </c>
      <c r="F658" s="1" t="s">
        <v>108</v>
      </c>
      <c r="G658" s="1" t="s">
        <v>109</v>
      </c>
      <c r="H658" s="1" t="s">
        <v>110</v>
      </c>
      <c r="I658" s="1"/>
      <c r="J658" s="15"/>
      <c r="K658" s="1"/>
      <c r="L658" s="8">
        <v>46036.0</v>
      </c>
    </row>
    <row r="659">
      <c r="A659" s="16">
        <v>46036.958903506944</v>
      </c>
      <c r="B659" s="1"/>
      <c r="C659" s="1" t="s">
        <v>76</v>
      </c>
      <c r="D659" s="1" t="s">
        <v>76</v>
      </c>
      <c r="E659" s="1" t="s">
        <v>88</v>
      </c>
      <c r="F659" s="1" t="s">
        <v>104</v>
      </c>
      <c r="G659" s="1" t="s">
        <v>104</v>
      </c>
      <c r="H659" s="1"/>
      <c r="I659" s="1"/>
      <c r="J659" s="15">
        <v>1798.0</v>
      </c>
      <c r="K659" s="1" t="s">
        <v>111</v>
      </c>
      <c r="L659" s="8">
        <v>46036.0</v>
      </c>
    </row>
    <row r="660">
      <c r="A660" s="16">
        <v>46036.95890855324</v>
      </c>
      <c r="B660" s="1"/>
      <c r="C660" s="1" t="s">
        <v>76</v>
      </c>
      <c r="D660" s="1" t="s">
        <v>76</v>
      </c>
      <c r="E660" s="1" t="s">
        <v>88</v>
      </c>
      <c r="F660" s="1" t="s">
        <v>78</v>
      </c>
      <c r="G660" s="1" t="s">
        <v>78</v>
      </c>
      <c r="H660" s="1"/>
      <c r="I660" s="1"/>
      <c r="J660" s="15">
        <v>3558.0</v>
      </c>
      <c r="K660" s="1" t="s">
        <v>90</v>
      </c>
      <c r="L660" s="8">
        <v>46036.0</v>
      </c>
    </row>
    <row r="661">
      <c r="A661" s="16">
        <v>46037.377423252314</v>
      </c>
      <c r="B661" s="1"/>
      <c r="C661" s="1"/>
      <c r="D661" s="1" t="s">
        <v>76</v>
      </c>
      <c r="E661" s="1" t="s">
        <v>77</v>
      </c>
      <c r="F661" s="1" t="s">
        <v>78</v>
      </c>
      <c r="G661" s="1" t="s">
        <v>79</v>
      </c>
      <c r="H661" s="1"/>
      <c r="I661" s="1"/>
      <c r="J661" s="15"/>
      <c r="K661" s="1" t="s">
        <v>80</v>
      </c>
      <c r="L661" s="8">
        <v>46037.0</v>
      </c>
    </row>
    <row r="662">
      <c r="A662" s="16">
        <v>46037.37742796296</v>
      </c>
      <c r="B662" s="1" t="s">
        <v>261</v>
      </c>
      <c r="C662" s="1" t="s">
        <v>81</v>
      </c>
      <c r="D662" s="1" t="s">
        <v>82</v>
      </c>
      <c r="E662" s="1" t="s">
        <v>83</v>
      </c>
      <c r="F662" s="1" t="s">
        <v>84</v>
      </c>
      <c r="G662" s="1" t="s">
        <v>85</v>
      </c>
      <c r="H662" s="1"/>
      <c r="I662" s="1" t="s">
        <v>86</v>
      </c>
      <c r="J662" s="15"/>
      <c r="K662" s="1" t="s">
        <v>87</v>
      </c>
      <c r="L662" s="8">
        <v>46037.0</v>
      </c>
    </row>
    <row r="663">
      <c r="A663" s="16">
        <v>46037.37744354167</v>
      </c>
      <c r="B663" s="1"/>
      <c r="C663" s="1" t="s">
        <v>76</v>
      </c>
      <c r="D663" s="1" t="s">
        <v>76</v>
      </c>
      <c r="E663" s="1" t="s">
        <v>88</v>
      </c>
      <c r="F663" s="1" t="s">
        <v>89</v>
      </c>
      <c r="G663" s="1" t="s">
        <v>89</v>
      </c>
      <c r="H663" s="1"/>
      <c r="I663" s="1"/>
      <c r="J663" s="15">
        <v>1389.0</v>
      </c>
      <c r="K663" s="1" t="s">
        <v>87</v>
      </c>
      <c r="L663" s="8">
        <v>46037.0</v>
      </c>
    </row>
    <row r="664">
      <c r="A664" s="16">
        <v>46037.377446631945</v>
      </c>
      <c r="B664" s="1"/>
      <c r="C664" s="1" t="s">
        <v>76</v>
      </c>
      <c r="D664" s="1" t="s">
        <v>76</v>
      </c>
      <c r="E664" s="1" t="s">
        <v>88</v>
      </c>
      <c r="F664" s="1" t="s">
        <v>78</v>
      </c>
      <c r="G664" s="1" t="s">
        <v>78</v>
      </c>
      <c r="H664" s="1"/>
      <c r="I664" s="1"/>
      <c r="J664" s="15">
        <v>2733.0</v>
      </c>
      <c r="K664" s="1" t="s">
        <v>90</v>
      </c>
      <c r="L664" s="8">
        <v>46037.0</v>
      </c>
    </row>
    <row r="665">
      <c r="A665" s="16">
        <v>46037.37755679398</v>
      </c>
      <c r="B665" s="1"/>
      <c r="C665" s="1"/>
      <c r="D665" s="1" t="s">
        <v>76</v>
      </c>
      <c r="E665" s="1" t="s">
        <v>77</v>
      </c>
      <c r="F665" s="1" t="s">
        <v>78</v>
      </c>
      <c r="G665" s="1" t="s">
        <v>79</v>
      </c>
      <c r="H665" s="1"/>
      <c r="I665" s="1"/>
      <c r="J665" s="15"/>
      <c r="K665" s="1" t="s">
        <v>80</v>
      </c>
      <c r="L665" s="8">
        <v>46037.0</v>
      </c>
    </row>
    <row r="666">
      <c r="A666" s="16">
        <v>46037.377560381945</v>
      </c>
      <c r="B666" s="1" t="s">
        <v>261</v>
      </c>
      <c r="C666" s="1" t="s">
        <v>81</v>
      </c>
      <c r="D666" s="1" t="s">
        <v>82</v>
      </c>
      <c r="E666" s="1" t="s">
        <v>117</v>
      </c>
      <c r="F666" s="1" t="s">
        <v>84</v>
      </c>
      <c r="G666" s="1" t="s">
        <v>85</v>
      </c>
      <c r="H666" s="1"/>
      <c r="I666" s="1" t="s">
        <v>118</v>
      </c>
      <c r="J666" s="15"/>
      <c r="K666" s="1" t="s">
        <v>119</v>
      </c>
      <c r="L666" s="8">
        <v>46037.0</v>
      </c>
    </row>
    <row r="667">
      <c r="A667" s="16">
        <v>46037.37756864583</v>
      </c>
      <c r="B667" s="1"/>
      <c r="C667" s="1" t="s">
        <v>76</v>
      </c>
      <c r="D667" s="1" t="s">
        <v>76</v>
      </c>
      <c r="E667" s="1" t="s">
        <v>88</v>
      </c>
      <c r="F667" s="1" t="s">
        <v>89</v>
      </c>
      <c r="G667" s="1" t="s">
        <v>89</v>
      </c>
      <c r="H667" s="1"/>
      <c r="I667" s="1"/>
      <c r="J667" s="15">
        <v>708.0</v>
      </c>
      <c r="K667" s="1" t="s">
        <v>120</v>
      </c>
      <c r="L667" s="8">
        <v>46037.0</v>
      </c>
    </row>
    <row r="668">
      <c r="A668" s="16">
        <v>46037.37757271991</v>
      </c>
      <c r="B668" s="1"/>
      <c r="C668" s="1" t="s">
        <v>76</v>
      </c>
      <c r="D668" s="1" t="s">
        <v>76</v>
      </c>
      <c r="E668" s="1" t="s">
        <v>88</v>
      </c>
      <c r="F668" s="1" t="s">
        <v>78</v>
      </c>
      <c r="G668" s="1" t="s">
        <v>78</v>
      </c>
      <c r="H668" s="1"/>
      <c r="I668" s="1"/>
      <c r="J668" s="15">
        <v>1429.0</v>
      </c>
      <c r="K668" s="1" t="s">
        <v>90</v>
      </c>
      <c r="L668" s="8">
        <v>46037.0</v>
      </c>
    </row>
    <row r="669">
      <c r="A669" s="16">
        <v>46037.37771101852</v>
      </c>
      <c r="B669" s="1"/>
      <c r="C669" s="1"/>
      <c r="D669" s="1" t="s">
        <v>76</v>
      </c>
      <c r="E669" s="1" t="s">
        <v>77</v>
      </c>
      <c r="F669" s="1" t="s">
        <v>78</v>
      </c>
      <c r="G669" s="1" t="s">
        <v>79</v>
      </c>
      <c r="H669" s="1"/>
      <c r="I669" s="1"/>
      <c r="J669" s="15"/>
      <c r="K669" s="1" t="s">
        <v>80</v>
      </c>
      <c r="L669" s="8">
        <v>46037.0</v>
      </c>
    </row>
    <row r="670">
      <c r="A670" s="16">
        <v>46037.37771512731</v>
      </c>
      <c r="B670" s="1" t="s">
        <v>261</v>
      </c>
      <c r="C670" s="1" t="s">
        <v>81</v>
      </c>
      <c r="D670" s="1" t="s">
        <v>82</v>
      </c>
      <c r="E670" s="1" t="s">
        <v>94</v>
      </c>
      <c r="F670" s="1" t="s">
        <v>84</v>
      </c>
      <c r="G670" s="1" t="s">
        <v>85</v>
      </c>
      <c r="H670" s="1"/>
      <c r="I670" s="1" t="s">
        <v>287</v>
      </c>
      <c r="J670" s="15"/>
      <c r="K670" s="1" t="s">
        <v>288</v>
      </c>
      <c r="L670" s="8">
        <v>46037.0</v>
      </c>
    </row>
    <row r="671">
      <c r="A671" s="16">
        <v>46037.37818784722</v>
      </c>
      <c r="B671" s="1"/>
      <c r="C671" s="1" t="s">
        <v>76</v>
      </c>
      <c r="D671" s="1" t="s">
        <v>76</v>
      </c>
      <c r="E671" s="1" t="s">
        <v>88</v>
      </c>
      <c r="F671" s="1" t="s">
        <v>89</v>
      </c>
      <c r="G671" s="1" t="s">
        <v>89</v>
      </c>
      <c r="H671" s="1"/>
      <c r="I671" s="1"/>
      <c r="J671" s="15">
        <v>40859.0</v>
      </c>
      <c r="K671" s="1" t="s">
        <v>97</v>
      </c>
      <c r="L671" s="8">
        <v>46037.0</v>
      </c>
    </row>
    <row r="672">
      <c r="A672" s="16">
        <v>46037.37819134259</v>
      </c>
      <c r="B672" s="1"/>
      <c r="C672" s="1" t="s">
        <v>76</v>
      </c>
      <c r="D672" s="1" t="s">
        <v>76</v>
      </c>
      <c r="E672" s="1" t="s">
        <v>88</v>
      </c>
      <c r="F672" s="1" t="s">
        <v>78</v>
      </c>
      <c r="G672" s="1" t="s">
        <v>78</v>
      </c>
      <c r="H672" s="1"/>
      <c r="I672" s="1"/>
      <c r="J672" s="15">
        <v>41649.0</v>
      </c>
      <c r="K672" s="1" t="s">
        <v>90</v>
      </c>
      <c r="L672" s="8">
        <v>46037.0</v>
      </c>
    </row>
    <row r="673">
      <c r="A673" s="16">
        <v>46037.66347078704</v>
      </c>
      <c r="B673" s="1"/>
      <c r="C673" s="1"/>
      <c r="D673" s="1" t="s">
        <v>76</v>
      </c>
      <c r="E673" s="1" t="s">
        <v>77</v>
      </c>
      <c r="F673" s="1" t="s">
        <v>78</v>
      </c>
      <c r="G673" s="1" t="s">
        <v>79</v>
      </c>
      <c r="H673" s="1"/>
      <c r="I673" s="1"/>
      <c r="J673" s="15"/>
      <c r="K673" s="1" t="s">
        <v>80</v>
      </c>
      <c r="L673" s="8">
        <v>46037.0</v>
      </c>
    </row>
    <row r="674">
      <c r="A674" s="16">
        <v>46037.66347505787</v>
      </c>
      <c r="B674" s="1" t="s">
        <v>261</v>
      </c>
      <c r="C674" s="1" t="s">
        <v>81</v>
      </c>
      <c r="D674" s="1" t="s">
        <v>82</v>
      </c>
      <c r="E674" s="1" t="s">
        <v>83</v>
      </c>
      <c r="F674" s="1" t="s">
        <v>84</v>
      </c>
      <c r="G674" s="1" t="s">
        <v>85</v>
      </c>
      <c r="H674" s="1"/>
      <c r="I674" s="1" t="s">
        <v>86</v>
      </c>
      <c r="J674" s="15"/>
      <c r="K674" s="1" t="s">
        <v>87</v>
      </c>
      <c r="L674" s="8">
        <v>46037.0</v>
      </c>
    </row>
    <row r="675">
      <c r="A675" s="16">
        <v>46037.66349792824</v>
      </c>
      <c r="B675" s="1"/>
      <c r="C675" s="1" t="s">
        <v>76</v>
      </c>
      <c r="D675" s="1" t="s">
        <v>76</v>
      </c>
      <c r="E675" s="1" t="s">
        <v>88</v>
      </c>
      <c r="F675" s="1" t="s">
        <v>89</v>
      </c>
      <c r="G675" s="1" t="s">
        <v>89</v>
      </c>
      <c r="H675" s="1"/>
      <c r="I675" s="1"/>
      <c r="J675" s="15">
        <v>2005.0</v>
      </c>
      <c r="K675" s="1" t="s">
        <v>87</v>
      </c>
      <c r="L675" s="8">
        <v>46037.0</v>
      </c>
    </row>
    <row r="676">
      <c r="A676" s="16">
        <v>46037.66350336805</v>
      </c>
      <c r="B676" s="1"/>
      <c r="C676" s="1" t="s">
        <v>76</v>
      </c>
      <c r="D676" s="1" t="s">
        <v>76</v>
      </c>
      <c r="E676" s="1" t="s">
        <v>88</v>
      </c>
      <c r="F676" s="1" t="s">
        <v>78</v>
      </c>
      <c r="G676" s="1" t="s">
        <v>78</v>
      </c>
      <c r="H676" s="1"/>
      <c r="I676" s="1"/>
      <c r="J676" s="15">
        <v>4171.0</v>
      </c>
      <c r="K676" s="1" t="s">
        <v>90</v>
      </c>
      <c r="L676" s="8">
        <v>46037.0</v>
      </c>
    </row>
    <row r="677">
      <c r="A677" s="16">
        <v>46037.66357203704</v>
      </c>
      <c r="B677" s="1"/>
      <c r="C677" s="1"/>
      <c r="D677" s="1" t="s">
        <v>76</v>
      </c>
      <c r="E677" s="1" t="s">
        <v>77</v>
      </c>
      <c r="F677" s="1" t="s">
        <v>78</v>
      </c>
      <c r="G677" s="1" t="s">
        <v>79</v>
      </c>
      <c r="H677" s="1"/>
      <c r="I677" s="1"/>
      <c r="J677" s="15"/>
      <c r="K677" s="1" t="s">
        <v>80</v>
      </c>
      <c r="L677" s="8">
        <v>46037.0</v>
      </c>
    </row>
    <row r="678">
      <c r="A678" s="16">
        <v>46037.66357672453</v>
      </c>
      <c r="B678" s="1" t="s">
        <v>261</v>
      </c>
      <c r="C678" s="1" t="s">
        <v>81</v>
      </c>
      <c r="D678" s="1" t="s">
        <v>82</v>
      </c>
      <c r="E678" s="1" t="s">
        <v>117</v>
      </c>
      <c r="F678" s="1" t="s">
        <v>84</v>
      </c>
      <c r="G678" s="1" t="s">
        <v>85</v>
      </c>
      <c r="H678" s="1"/>
      <c r="I678" s="1" t="s">
        <v>118</v>
      </c>
      <c r="J678" s="15"/>
      <c r="K678" s="1" t="s">
        <v>119</v>
      </c>
      <c r="L678" s="8">
        <v>46037.0</v>
      </c>
    </row>
    <row r="679">
      <c r="A679" s="16">
        <v>46037.66358543982</v>
      </c>
      <c r="B679" s="1"/>
      <c r="C679" s="1" t="s">
        <v>76</v>
      </c>
      <c r="D679" s="1" t="s">
        <v>76</v>
      </c>
      <c r="E679" s="1" t="s">
        <v>88</v>
      </c>
      <c r="F679" s="1" t="s">
        <v>89</v>
      </c>
      <c r="G679" s="1" t="s">
        <v>89</v>
      </c>
      <c r="H679" s="1"/>
      <c r="I679" s="1"/>
      <c r="J679" s="15">
        <v>706.0</v>
      </c>
      <c r="K679" s="1" t="s">
        <v>120</v>
      </c>
      <c r="L679" s="8">
        <v>46037.0</v>
      </c>
    </row>
    <row r="680">
      <c r="A680" s="16">
        <v>46037.663590972224</v>
      </c>
      <c r="B680" s="1"/>
      <c r="C680" s="1" t="s">
        <v>76</v>
      </c>
      <c r="D680" s="1" t="s">
        <v>76</v>
      </c>
      <c r="E680" s="1" t="s">
        <v>88</v>
      </c>
      <c r="F680" s="1" t="s">
        <v>78</v>
      </c>
      <c r="G680" s="1" t="s">
        <v>78</v>
      </c>
      <c r="H680" s="1"/>
      <c r="I680" s="1"/>
      <c r="J680" s="15">
        <v>2067.0</v>
      </c>
      <c r="K680" s="1" t="s">
        <v>90</v>
      </c>
      <c r="L680" s="8">
        <v>46037.0</v>
      </c>
    </row>
    <row r="681">
      <c r="A681" s="16">
        <v>46037.663644722226</v>
      </c>
      <c r="B681" s="1"/>
      <c r="C681" s="1"/>
      <c r="D681" s="1" t="s">
        <v>76</v>
      </c>
      <c r="E681" s="1" t="s">
        <v>77</v>
      </c>
      <c r="F681" s="1" t="s">
        <v>78</v>
      </c>
      <c r="G681" s="1" t="s">
        <v>79</v>
      </c>
      <c r="H681" s="1"/>
      <c r="I681" s="1"/>
      <c r="J681" s="15"/>
      <c r="K681" s="1" t="s">
        <v>80</v>
      </c>
      <c r="L681" s="8">
        <v>46037.0</v>
      </c>
    </row>
    <row r="682">
      <c r="A682" s="16">
        <v>46037.66364868055</v>
      </c>
      <c r="B682" s="1" t="s">
        <v>261</v>
      </c>
      <c r="C682" s="1" t="s">
        <v>81</v>
      </c>
      <c r="D682" s="1" t="s">
        <v>82</v>
      </c>
      <c r="E682" s="1" t="s">
        <v>94</v>
      </c>
      <c r="F682" s="1" t="s">
        <v>84</v>
      </c>
      <c r="G682" s="1" t="s">
        <v>85</v>
      </c>
      <c r="H682" s="1"/>
      <c r="I682" s="1" t="s">
        <v>287</v>
      </c>
      <c r="J682" s="15"/>
      <c r="K682" s="1" t="s">
        <v>288</v>
      </c>
      <c r="L682" s="8">
        <v>46037.0</v>
      </c>
    </row>
    <row r="683">
      <c r="A683" s="16">
        <v>46037.66399006944</v>
      </c>
      <c r="B683" s="1"/>
      <c r="C683" s="1" t="s">
        <v>76</v>
      </c>
      <c r="D683" s="1" t="s">
        <v>76</v>
      </c>
      <c r="E683" s="1" t="s">
        <v>88</v>
      </c>
      <c r="F683" s="1" t="s">
        <v>89</v>
      </c>
      <c r="G683" s="1" t="s">
        <v>89</v>
      </c>
      <c r="H683" s="1"/>
      <c r="I683" s="1"/>
      <c r="J683" s="15">
        <v>29451.0</v>
      </c>
      <c r="K683" s="1" t="s">
        <v>97</v>
      </c>
      <c r="L683" s="8">
        <v>46037.0</v>
      </c>
    </row>
    <row r="684">
      <c r="A684" s="16">
        <v>46037.66399487268</v>
      </c>
      <c r="B684" s="1"/>
      <c r="C684" s="1" t="s">
        <v>76</v>
      </c>
      <c r="D684" s="1" t="s">
        <v>76</v>
      </c>
      <c r="E684" s="1" t="s">
        <v>88</v>
      </c>
      <c r="F684" s="1" t="s">
        <v>78</v>
      </c>
      <c r="G684" s="1" t="s">
        <v>78</v>
      </c>
      <c r="H684" s="1"/>
      <c r="I684" s="1"/>
      <c r="J684" s="15">
        <v>30299.0</v>
      </c>
      <c r="K684" s="1" t="s">
        <v>90</v>
      </c>
      <c r="L684" s="8">
        <v>46037.0</v>
      </c>
    </row>
  </sheetData>
  <hyperlinks>
    <hyperlink r:id="rId1" location="/receive" ref="H605"/>
    <hyperlink r:id="rId2" location="/receive" ref="H615"/>
    <hyperlink r:id="rId3" ref="H623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294</v>
      </c>
      <c r="B1" s="1" t="s">
        <v>295</v>
      </c>
      <c r="C1" s="1" t="s">
        <v>202</v>
      </c>
      <c r="D1" s="1" t="s">
        <v>187</v>
      </c>
      <c r="E1" s="1" t="s">
        <v>193</v>
      </c>
      <c r="F1" s="1" t="s">
        <v>296</v>
      </c>
      <c r="G1" s="1" t="s">
        <v>297</v>
      </c>
      <c r="H1" s="1" t="s">
        <v>298</v>
      </c>
    </row>
    <row r="2">
      <c r="A2" s="19">
        <f>IFERROR(__xludf.DUMMYFUNCTION("SORT(
  UNIQUE(
    FILTER(
      INT(stat_log!A2:A1000),
      stat_log!A2:A1000&lt;&gt;"""",
      INT(stat_log!A2:A1000)&gt;1
    )
  ),
  1,TRUE
)
"),46010.0)</f>
        <v>46010</v>
      </c>
      <c r="B2" s="8">
        <f t="array" ref="B2:B1000">IF(A2:A1000="","",
  COUNTIFS(INT(stat_log!A:A),A2:A1000, stat_log!E:E,"choose_search_mode")
)
</f>
        <v>2</v>
      </c>
      <c r="C2" s="8">
        <f t="array" ref="C2:C1000">IF(A2:A1000="","",
  COUNTIFS(INT(stat_log!A:A),A2:A1000, stat_log!E:E,"booking_result_available")
)
</f>
        <v>0</v>
      </c>
      <c r="D2" s="8">
        <f t="array" ref="D2:D1000">IF(A2:A1000="","",
  COUNTIFS(INT(stat_log!A:A),A2:A1000, stat_log!E:E,"booking_result_unavailable")
)
</f>
        <v>0</v>
      </c>
      <c r="E2" s="8">
        <f t="array" ref="E2:E1000">IF(A2:A1000="","",
  COUNTIFS(INT(stat_log!A:A),A2:A1000, stat_log!E:E,"booking_change_time")
)
</f>
        <v>0</v>
      </c>
      <c r="F2" s="8">
        <f t="array" ref="F2:F1000">IF(A2:A1000="","",COUNTIFS(INT(stat_log!A:A),A2:A1000))
</f>
        <v>33</v>
      </c>
      <c r="G2" s="8">
        <f t="array" ref="G2:G1000">IF(A2:A1000="","",IFERROR(
  AVERAGEIF(INT(stat_log!A:A),A2:A1000,stat_log!J:J)
,""))
</f>
        <v>2685.4375</v>
      </c>
      <c r="H2" s="8">
        <f t="array" ref="H2:H1000">IF(A2:A1000="","",COUNTIFS(INT(stat_log!A:A),A2:A1000,stat_log!E:E,"*error*")+COUNTIFS(INT(stat_log!A:A),A2:A1000,stat_log!E:E,"*invalid*")+COUNTIFS(INT(stat_log!A:A),A2:A1000,stat_log!E:E,"*exception*"))
</f>
        <v>0</v>
      </c>
    </row>
    <row r="3">
      <c r="A3" s="19">
        <f>IFERROR(__xludf.DUMMYFUNCTION("""COMPUTED_VALUE"""),46011.0)</f>
        <v>46011</v>
      </c>
      <c r="B3" s="8">
        <v>2.0</v>
      </c>
      <c r="C3" s="8">
        <v>0.0</v>
      </c>
      <c r="D3" s="8">
        <v>0.0</v>
      </c>
      <c r="E3" s="8">
        <v>0.0</v>
      </c>
      <c r="F3" s="8">
        <v>40.0</v>
      </c>
      <c r="G3" s="8">
        <v>2685.4375</v>
      </c>
      <c r="H3" s="8">
        <v>0.0</v>
      </c>
    </row>
    <row r="4">
      <c r="A4" s="19">
        <f>IFERROR(__xludf.DUMMYFUNCTION("""COMPUTED_VALUE"""),46012.0)</f>
        <v>46012</v>
      </c>
      <c r="B4" s="8">
        <v>2.0</v>
      </c>
      <c r="C4" s="8">
        <v>0.0</v>
      </c>
      <c r="D4" s="8">
        <v>0.0</v>
      </c>
      <c r="E4" s="8">
        <v>0.0</v>
      </c>
      <c r="F4" s="8">
        <v>38.0</v>
      </c>
      <c r="G4" s="8">
        <v>2685.4375</v>
      </c>
      <c r="H4" s="8">
        <v>0.0</v>
      </c>
    </row>
    <row r="5">
      <c r="A5" s="19">
        <f>IFERROR(__xludf.DUMMYFUNCTION("""COMPUTED_VALUE"""),46013.0)</f>
        <v>46013</v>
      </c>
      <c r="B5" s="8">
        <v>0.0</v>
      </c>
      <c r="C5" s="8">
        <v>0.0</v>
      </c>
      <c r="D5" s="8">
        <v>0.0</v>
      </c>
      <c r="E5" s="8">
        <v>0.0</v>
      </c>
      <c r="F5" s="8">
        <v>11.0</v>
      </c>
      <c r="G5" s="8">
        <v>2685.4375</v>
      </c>
      <c r="H5" s="8">
        <v>0.0</v>
      </c>
    </row>
    <row r="6">
      <c r="A6" s="19">
        <f>IFERROR(__xludf.DUMMYFUNCTION("""COMPUTED_VALUE"""),46014.0)</f>
        <v>46014</v>
      </c>
      <c r="B6" s="8">
        <v>0.0</v>
      </c>
      <c r="C6" s="8">
        <v>0.0</v>
      </c>
      <c r="D6" s="8">
        <v>0.0</v>
      </c>
      <c r="E6" s="8">
        <v>0.0</v>
      </c>
      <c r="F6" s="8">
        <v>4.0</v>
      </c>
      <c r="G6" s="8">
        <v>2685.4375</v>
      </c>
      <c r="H6" s="8">
        <v>0.0</v>
      </c>
    </row>
    <row r="7">
      <c r="A7" s="19">
        <f>IFERROR(__xludf.DUMMYFUNCTION("""COMPUTED_VALUE"""),46015.0)</f>
        <v>46015</v>
      </c>
      <c r="B7" s="8">
        <v>2.0</v>
      </c>
      <c r="C7" s="8">
        <v>1.0</v>
      </c>
      <c r="D7" s="8">
        <v>1.0</v>
      </c>
      <c r="E7" s="8">
        <v>1.0</v>
      </c>
      <c r="F7" s="8">
        <v>57.0</v>
      </c>
      <c r="G7" s="8">
        <v>2685.4375</v>
      </c>
      <c r="H7" s="8">
        <v>0.0</v>
      </c>
    </row>
    <row r="8">
      <c r="A8" s="19">
        <f>IFERROR(__xludf.DUMMYFUNCTION("""COMPUTED_VALUE"""),46017.0)</f>
        <v>46017</v>
      </c>
      <c r="B8" s="8">
        <v>0.0</v>
      </c>
      <c r="C8" s="8">
        <v>0.0</v>
      </c>
      <c r="D8" s="8">
        <v>0.0</v>
      </c>
      <c r="E8" s="8">
        <v>0.0</v>
      </c>
      <c r="F8" s="8">
        <v>14.0</v>
      </c>
      <c r="G8" s="8">
        <v>2685.4375</v>
      </c>
      <c r="H8" s="8">
        <v>0.0</v>
      </c>
    </row>
    <row r="9">
      <c r="A9" s="19">
        <f>IFERROR(__xludf.DUMMYFUNCTION("""COMPUTED_VALUE"""),46018.0)</f>
        <v>46018</v>
      </c>
      <c r="B9" s="8">
        <v>2.0</v>
      </c>
      <c r="C9" s="8">
        <v>0.0</v>
      </c>
      <c r="D9" s="8">
        <v>0.0</v>
      </c>
      <c r="E9" s="8">
        <v>0.0</v>
      </c>
      <c r="F9" s="8">
        <v>20.0</v>
      </c>
      <c r="G9" s="8">
        <v>2685.4375</v>
      </c>
      <c r="H9" s="8">
        <v>0.0</v>
      </c>
    </row>
    <row r="10">
      <c r="A10" s="19">
        <f>IFERROR(__xludf.DUMMYFUNCTION("""COMPUTED_VALUE"""),46019.0)</f>
        <v>46019</v>
      </c>
      <c r="B10" s="8">
        <v>0.0</v>
      </c>
      <c r="C10" s="8">
        <v>0.0</v>
      </c>
      <c r="D10" s="8">
        <v>0.0</v>
      </c>
      <c r="E10" s="8">
        <v>0.0</v>
      </c>
      <c r="F10" s="8">
        <v>3.0</v>
      </c>
      <c r="G10" s="8">
        <v>2685.4375</v>
      </c>
      <c r="H10" s="8">
        <v>0.0</v>
      </c>
    </row>
    <row r="11">
      <c r="A11" s="19">
        <f>IFERROR(__xludf.DUMMYFUNCTION("""COMPUTED_VALUE"""),46020.0)</f>
        <v>46020</v>
      </c>
      <c r="B11" s="8">
        <v>2.0</v>
      </c>
      <c r="C11" s="8">
        <v>0.0</v>
      </c>
      <c r="D11" s="8">
        <v>0.0</v>
      </c>
      <c r="E11" s="8">
        <v>0.0</v>
      </c>
      <c r="F11" s="8">
        <v>37.0</v>
      </c>
      <c r="G11" s="8">
        <v>2685.4375</v>
      </c>
      <c r="H11" s="8">
        <v>0.0</v>
      </c>
    </row>
    <row r="12">
      <c r="A12" s="19">
        <f>IFERROR(__xludf.DUMMYFUNCTION("""COMPUTED_VALUE"""),46021.0)</f>
        <v>46021</v>
      </c>
      <c r="B12" s="8">
        <v>0.0</v>
      </c>
      <c r="C12" s="8">
        <v>0.0</v>
      </c>
      <c r="D12" s="8">
        <v>0.0</v>
      </c>
      <c r="E12" s="8">
        <v>0.0</v>
      </c>
      <c r="F12" s="8">
        <v>11.0</v>
      </c>
      <c r="G12" s="8">
        <v>2685.4375</v>
      </c>
      <c r="H12" s="8">
        <v>0.0</v>
      </c>
    </row>
    <row r="13">
      <c r="A13" s="19">
        <f>IFERROR(__xludf.DUMMYFUNCTION("""COMPUTED_VALUE"""),46025.0)</f>
        <v>46025</v>
      </c>
      <c r="B13" s="8">
        <v>6.0</v>
      </c>
      <c r="C13" s="8">
        <v>0.0</v>
      </c>
      <c r="D13" s="8">
        <v>1.0</v>
      </c>
      <c r="E13" s="8">
        <v>0.0</v>
      </c>
      <c r="F13" s="8">
        <v>96.0</v>
      </c>
      <c r="G13" s="8">
        <v>2685.4375</v>
      </c>
      <c r="H13" s="8">
        <v>0.0</v>
      </c>
    </row>
    <row r="14">
      <c r="A14" s="19">
        <f>IFERROR(__xludf.DUMMYFUNCTION("""COMPUTED_VALUE"""),46026.0)</f>
        <v>46026</v>
      </c>
      <c r="B14" s="8">
        <v>0.0</v>
      </c>
      <c r="C14" s="8">
        <v>0.0</v>
      </c>
      <c r="D14" s="8">
        <v>0.0</v>
      </c>
      <c r="E14" s="8">
        <v>0.0</v>
      </c>
      <c r="F14" s="8">
        <v>3.0</v>
      </c>
      <c r="G14" s="8">
        <v>2685.4375</v>
      </c>
      <c r="H14" s="8">
        <v>0.0</v>
      </c>
    </row>
    <row r="15">
      <c r="A15" s="19">
        <f>IFERROR(__xludf.DUMMYFUNCTION("""COMPUTED_VALUE"""),46028.0)</f>
        <v>46028</v>
      </c>
      <c r="B15" s="8">
        <v>0.0</v>
      </c>
      <c r="C15" s="8">
        <v>0.0</v>
      </c>
      <c r="D15" s="8">
        <v>0.0</v>
      </c>
      <c r="E15" s="8">
        <v>0.0</v>
      </c>
      <c r="F15" s="8">
        <v>24.0</v>
      </c>
      <c r="G15" s="8">
        <v>2685.4375</v>
      </c>
      <c r="H15" s="8">
        <v>0.0</v>
      </c>
    </row>
    <row r="16">
      <c r="A16" s="19">
        <f>IFERROR(__xludf.DUMMYFUNCTION("""COMPUTED_VALUE"""),46029.0)</f>
        <v>46029</v>
      </c>
      <c r="B16" s="8">
        <v>0.0</v>
      </c>
      <c r="C16" s="8">
        <v>0.0</v>
      </c>
      <c r="D16" s="8">
        <v>0.0</v>
      </c>
      <c r="E16" s="8">
        <v>0.0</v>
      </c>
      <c r="F16" s="8">
        <v>12.0</v>
      </c>
      <c r="G16" s="8">
        <v>2685.4375</v>
      </c>
      <c r="H16" s="8">
        <v>0.0</v>
      </c>
    </row>
    <row r="17">
      <c r="A17" s="19">
        <f>IFERROR(__xludf.DUMMYFUNCTION("""COMPUTED_VALUE"""),46030.0)</f>
        <v>46030</v>
      </c>
      <c r="B17" s="8">
        <v>0.0</v>
      </c>
      <c r="C17" s="8">
        <v>0.0</v>
      </c>
      <c r="D17" s="8">
        <v>0.0</v>
      </c>
      <c r="E17" s="8">
        <v>0.0</v>
      </c>
      <c r="F17" s="8">
        <v>19.0</v>
      </c>
      <c r="G17" s="8">
        <v>2685.4375</v>
      </c>
      <c r="H17" s="8">
        <v>0.0</v>
      </c>
    </row>
    <row r="18">
      <c r="A18" s="19">
        <f>IFERROR(__xludf.DUMMYFUNCTION("""COMPUTED_VALUE"""),46031.0)</f>
        <v>46031</v>
      </c>
      <c r="B18" s="8">
        <v>0.0</v>
      </c>
      <c r="C18" s="8">
        <v>0.0</v>
      </c>
      <c r="D18" s="8">
        <v>0.0</v>
      </c>
      <c r="E18" s="8">
        <v>0.0</v>
      </c>
      <c r="F18" s="8">
        <v>12.0</v>
      </c>
      <c r="G18" s="8">
        <v>2685.4375</v>
      </c>
      <c r="H18" s="8">
        <v>0.0</v>
      </c>
    </row>
    <row r="19">
      <c r="A19" s="19">
        <f>IFERROR(__xludf.DUMMYFUNCTION("""COMPUTED_VALUE"""),46032.0)</f>
        <v>46032</v>
      </c>
      <c r="B19" s="8">
        <v>0.0</v>
      </c>
      <c r="C19" s="8">
        <v>0.0</v>
      </c>
      <c r="D19" s="8">
        <v>0.0</v>
      </c>
      <c r="E19" s="8">
        <v>0.0</v>
      </c>
      <c r="F19" s="8">
        <v>10.0</v>
      </c>
      <c r="G19" s="8">
        <v>2685.4375</v>
      </c>
      <c r="H19" s="8">
        <v>0.0</v>
      </c>
    </row>
    <row r="20">
      <c r="A20" s="19">
        <f>IFERROR(__xludf.DUMMYFUNCTION("""COMPUTED_VALUE"""),46033.0)</f>
        <v>46033</v>
      </c>
      <c r="B20" s="8">
        <v>0.0</v>
      </c>
      <c r="C20" s="8">
        <v>0.0</v>
      </c>
      <c r="D20" s="8">
        <v>0.0</v>
      </c>
      <c r="E20" s="8">
        <v>0.0</v>
      </c>
      <c r="F20" s="8">
        <v>3.0</v>
      </c>
      <c r="G20" s="8">
        <v>2685.4375</v>
      </c>
      <c r="H20" s="8">
        <v>0.0</v>
      </c>
    </row>
    <row r="21">
      <c r="A21" s="19">
        <f>IFERROR(__xludf.DUMMYFUNCTION("""COMPUTED_VALUE"""),46034.0)</f>
        <v>46034</v>
      </c>
      <c r="B21" s="8">
        <v>0.0</v>
      </c>
      <c r="C21" s="8">
        <v>0.0</v>
      </c>
      <c r="D21" s="8">
        <v>0.0</v>
      </c>
      <c r="E21" s="8">
        <v>0.0</v>
      </c>
      <c r="F21" s="8">
        <v>16.0</v>
      </c>
      <c r="G21" s="8">
        <v>2685.4375</v>
      </c>
      <c r="H21" s="8">
        <v>0.0</v>
      </c>
    </row>
    <row r="22">
      <c r="A22" s="19">
        <f>IFERROR(__xludf.DUMMYFUNCTION("""COMPUTED_VALUE"""),46035.0)</f>
        <v>46035</v>
      </c>
      <c r="B22" s="8">
        <v>8.0</v>
      </c>
      <c r="C22" s="8">
        <v>0.0</v>
      </c>
      <c r="D22" s="8">
        <v>1.0</v>
      </c>
      <c r="E22" s="8">
        <v>1.0</v>
      </c>
      <c r="F22" s="8">
        <v>104.0</v>
      </c>
      <c r="G22" s="8">
        <v>2685.4375</v>
      </c>
      <c r="H22" s="8">
        <v>0.0</v>
      </c>
    </row>
    <row r="23">
      <c r="A23" s="19">
        <f>IFERROR(__xludf.DUMMYFUNCTION("""COMPUTED_VALUE"""),46036.0)</f>
        <v>46036</v>
      </c>
      <c r="B23" s="8">
        <v>2.0</v>
      </c>
      <c r="C23" s="8">
        <v>0.0</v>
      </c>
      <c r="D23" s="8">
        <v>0.0</v>
      </c>
      <c r="E23" s="8">
        <v>0.0</v>
      </c>
      <c r="F23" s="8">
        <v>92.0</v>
      </c>
      <c r="G23" s="8">
        <v>2685.4375</v>
      </c>
      <c r="H23" s="8">
        <v>0.0</v>
      </c>
    </row>
    <row r="24">
      <c r="A24" s="19">
        <f>IFERROR(__xludf.DUMMYFUNCTION("""COMPUTED_VALUE"""),46037.0)</f>
        <v>46037</v>
      </c>
      <c r="B24" s="8">
        <v>0.0</v>
      </c>
      <c r="C24" s="8">
        <v>0.0</v>
      </c>
      <c r="D24" s="8">
        <v>0.0</v>
      </c>
      <c r="E24" s="8">
        <v>0.0</v>
      </c>
      <c r="F24" s="8">
        <v>24.0</v>
      </c>
      <c r="G24" s="8">
        <v>2685.4375</v>
      </c>
      <c r="H24" s="8">
        <v>0.0</v>
      </c>
    </row>
    <row r="25">
      <c r="A25" s="19"/>
      <c r="B25" s="8" t="s">
        <v>299</v>
      </c>
      <c r="C25" s="8" t="s">
        <v>299</v>
      </c>
      <c r="D25" s="8" t="s">
        <v>299</v>
      </c>
      <c r="E25" s="8" t="s">
        <v>299</v>
      </c>
      <c r="F25" s="8" t="s">
        <v>299</v>
      </c>
      <c r="G25" s="8" t="s">
        <v>299</v>
      </c>
      <c r="H25" s="8" t="s">
        <v>299</v>
      </c>
    </row>
    <row r="26">
      <c r="A26" s="19"/>
      <c r="B26" s="8" t="s">
        <v>299</v>
      </c>
      <c r="C26" s="8" t="s">
        <v>299</v>
      </c>
      <c r="D26" s="8" t="s">
        <v>299</v>
      </c>
      <c r="E26" s="8" t="s">
        <v>299</v>
      </c>
      <c r="F26" s="8" t="s">
        <v>299</v>
      </c>
      <c r="G26" s="8" t="s">
        <v>299</v>
      </c>
      <c r="H26" s="8" t="s">
        <v>299</v>
      </c>
    </row>
    <row r="27">
      <c r="A27" s="19"/>
      <c r="B27" s="8" t="s">
        <v>299</v>
      </c>
      <c r="C27" s="8" t="s">
        <v>299</v>
      </c>
      <c r="D27" s="8" t="s">
        <v>299</v>
      </c>
      <c r="E27" s="8" t="s">
        <v>299</v>
      </c>
      <c r="F27" s="8" t="s">
        <v>299</v>
      </c>
      <c r="G27" s="8" t="s">
        <v>299</v>
      </c>
      <c r="H27" s="8" t="s">
        <v>299</v>
      </c>
    </row>
    <row r="28">
      <c r="A28" s="19"/>
      <c r="B28" s="8" t="s">
        <v>299</v>
      </c>
      <c r="C28" s="8" t="s">
        <v>299</v>
      </c>
      <c r="D28" s="8" t="s">
        <v>299</v>
      </c>
      <c r="E28" s="8" t="s">
        <v>299</v>
      </c>
      <c r="F28" s="8" t="s">
        <v>299</v>
      </c>
      <c r="G28" s="8" t="s">
        <v>299</v>
      </c>
      <c r="H28" s="8" t="s">
        <v>299</v>
      </c>
    </row>
    <row r="29">
      <c r="A29" s="19"/>
      <c r="B29" s="8" t="s">
        <v>299</v>
      </c>
      <c r="C29" s="8" t="s">
        <v>299</v>
      </c>
      <c r="D29" s="8" t="s">
        <v>299</v>
      </c>
      <c r="E29" s="8" t="s">
        <v>299</v>
      </c>
      <c r="F29" s="8" t="s">
        <v>299</v>
      </c>
      <c r="G29" s="8" t="s">
        <v>299</v>
      </c>
      <c r="H29" s="8" t="s">
        <v>299</v>
      </c>
    </row>
    <row r="30">
      <c r="A30" s="19"/>
      <c r="B30" s="8" t="s">
        <v>299</v>
      </c>
      <c r="C30" s="8" t="s">
        <v>299</v>
      </c>
      <c r="D30" s="8" t="s">
        <v>299</v>
      </c>
      <c r="E30" s="8" t="s">
        <v>299</v>
      </c>
      <c r="F30" s="8" t="s">
        <v>299</v>
      </c>
      <c r="G30" s="8" t="s">
        <v>299</v>
      </c>
      <c r="H30" s="8" t="s">
        <v>299</v>
      </c>
    </row>
    <row r="31">
      <c r="A31" s="19"/>
      <c r="B31" s="8" t="s">
        <v>299</v>
      </c>
      <c r="C31" s="8" t="s">
        <v>299</v>
      </c>
      <c r="D31" s="8" t="s">
        <v>299</v>
      </c>
      <c r="E31" s="8" t="s">
        <v>299</v>
      </c>
      <c r="F31" s="8" t="s">
        <v>299</v>
      </c>
      <c r="G31" s="8" t="s">
        <v>299</v>
      </c>
      <c r="H31" s="8" t="s">
        <v>299</v>
      </c>
    </row>
    <row r="32">
      <c r="A32" s="19"/>
      <c r="B32" s="8" t="s">
        <v>299</v>
      </c>
      <c r="C32" s="8" t="s">
        <v>299</v>
      </c>
      <c r="D32" s="8" t="s">
        <v>299</v>
      </c>
      <c r="E32" s="8" t="s">
        <v>299</v>
      </c>
      <c r="F32" s="8" t="s">
        <v>299</v>
      </c>
      <c r="G32" s="8" t="s">
        <v>299</v>
      </c>
      <c r="H32" s="8" t="s">
        <v>299</v>
      </c>
    </row>
    <row r="33">
      <c r="A33" s="19"/>
      <c r="B33" s="8" t="s">
        <v>299</v>
      </c>
      <c r="C33" s="8" t="s">
        <v>299</v>
      </c>
      <c r="D33" s="8" t="s">
        <v>299</v>
      </c>
      <c r="E33" s="8" t="s">
        <v>299</v>
      </c>
      <c r="F33" s="8" t="s">
        <v>299</v>
      </c>
      <c r="G33" s="8" t="s">
        <v>299</v>
      </c>
      <c r="H33" s="8" t="s">
        <v>299</v>
      </c>
    </row>
    <row r="34">
      <c r="A34" s="19"/>
      <c r="B34" s="8" t="s">
        <v>299</v>
      </c>
      <c r="C34" s="8" t="s">
        <v>299</v>
      </c>
      <c r="D34" s="8" t="s">
        <v>299</v>
      </c>
      <c r="E34" s="8" t="s">
        <v>299</v>
      </c>
      <c r="F34" s="8" t="s">
        <v>299</v>
      </c>
      <c r="G34" s="8" t="s">
        <v>299</v>
      </c>
      <c r="H34" s="8" t="s">
        <v>299</v>
      </c>
    </row>
    <row r="35">
      <c r="A35" s="19"/>
      <c r="B35" s="8" t="s">
        <v>299</v>
      </c>
      <c r="C35" s="8" t="s">
        <v>299</v>
      </c>
      <c r="D35" s="8" t="s">
        <v>299</v>
      </c>
      <c r="E35" s="8" t="s">
        <v>299</v>
      </c>
      <c r="F35" s="8" t="s">
        <v>299</v>
      </c>
      <c r="G35" s="8" t="s">
        <v>299</v>
      </c>
      <c r="H35" s="8" t="s">
        <v>299</v>
      </c>
    </row>
    <row r="36">
      <c r="A36" s="19"/>
      <c r="B36" s="8" t="s">
        <v>299</v>
      </c>
      <c r="C36" s="8" t="s">
        <v>299</v>
      </c>
      <c r="D36" s="8" t="s">
        <v>299</v>
      </c>
      <c r="E36" s="8" t="s">
        <v>299</v>
      </c>
      <c r="F36" s="8" t="s">
        <v>299</v>
      </c>
      <c r="G36" s="8" t="s">
        <v>299</v>
      </c>
      <c r="H36" s="8" t="s">
        <v>299</v>
      </c>
    </row>
    <row r="37">
      <c r="A37" s="19"/>
      <c r="B37" s="8" t="s">
        <v>299</v>
      </c>
      <c r="C37" s="8" t="s">
        <v>299</v>
      </c>
      <c r="D37" s="8" t="s">
        <v>299</v>
      </c>
      <c r="E37" s="8" t="s">
        <v>299</v>
      </c>
      <c r="F37" s="8" t="s">
        <v>299</v>
      </c>
      <c r="G37" s="8" t="s">
        <v>299</v>
      </c>
      <c r="H37" s="8" t="s">
        <v>299</v>
      </c>
    </row>
    <row r="38">
      <c r="A38" s="19"/>
      <c r="B38" s="8" t="s">
        <v>299</v>
      </c>
      <c r="C38" s="8" t="s">
        <v>299</v>
      </c>
      <c r="D38" s="8" t="s">
        <v>299</v>
      </c>
      <c r="E38" s="8" t="s">
        <v>299</v>
      </c>
      <c r="F38" s="8" t="s">
        <v>299</v>
      </c>
      <c r="G38" s="8" t="s">
        <v>299</v>
      </c>
      <c r="H38" s="8" t="s">
        <v>299</v>
      </c>
    </row>
    <row r="39">
      <c r="A39" s="19"/>
      <c r="B39" s="8" t="s">
        <v>299</v>
      </c>
      <c r="C39" s="8" t="s">
        <v>299</v>
      </c>
      <c r="D39" s="8" t="s">
        <v>299</v>
      </c>
      <c r="E39" s="8" t="s">
        <v>299</v>
      </c>
      <c r="F39" s="8" t="s">
        <v>299</v>
      </c>
      <c r="G39" s="8" t="s">
        <v>299</v>
      </c>
      <c r="H39" s="8" t="s">
        <v>299</v>
      </c>
    </row>
    <row r="40">
      <c r="A40" s="19"/>
      <c r="B40" s="8" t="s">
        <v>299</v>
      </c>
      <c r="C40" s="8" t="s">
        <v>299</v>
      </c>
      <c r="D40" s="8" t="s">
        <v>299</v>
      </c>
      <c r="E40" s="8" t="s">
        <v>299</v>
      </c>
      <c r="F40" s="8" t="s">
        <v>299</v>
      </c>
      <c r="G40" s="8" t="s">
        <v>299</v>
      </c>
      <c r="H40" s="8" t="s">
        <v>299</v>
      </c>
    </row>
    <row r="41">
      <c r="A41" s="19"/>
      <c r="B41" s="8" t="s">
        <v>299</v>
      </c>
      <c r="C41" s="8" t="s">
        <v>299</v>
      </c>
      <c r="D41" s="8" t="s">
        <v>299</v>
      </c>
      <c r="E41" s="8" t="s">
        <v>299</v>
      </c>
      <c r="F41" s="8" t="s">
        <v>299</v>
      </c>
      <c r="G41" s="8" t="s">
        <v>299</v>
      </c>
      <c r="H41" s="8" t="s">
        <v>299</v>
      </c>
    </row>
    <row r="42">
      <c r="A42" s="19"/>
      <c r="B42" s="8" t="s">
        <v>299</v>
      </c>
      <c r="C42" s="8" t="s">
        <v>299</v>
      </c>
      <c r="D42" s="8" t="s">
        <v>299</v>
      </c>
      <c r="E42" s="8" t="s">
        <v>299</v>
      </c>
      <c r="F42" s="8" t="s">
        <v>299</v>
      </c>
      <c r="G42" s="8" t="s">
        <v>299</v>
      </c>
      <c r="H42" s="8" t="s">
        <v>299</v>
      </c>
    </row>
    <row r="43">
      <c r="A43" s="19"/>
      <c r="B43" s="8" t="s">
        <v>299</v>
      </c>
      <c r="C43" s="8" t="s">
        <v>299</v>
      </c>
      <c r="D43" s="8" t="s">
        <v>299</v>
      </c>
      <c r="E43" s="8" t="s">
        <v>299</v>
      </c>
      <c r="F43" s="8" t="s">
        <v>299</v>
      </c>
      <c r="G43" s="8" t="s">
        <v>299</v>
      </c>
      <c r="H43" s="8" t="s">
        <v>299</v>
      </c>
    </row>
    <row r="44">
      <c r="A44" s="19"/>
      <c r="B44" s="8" t="s">
        <v>299</v>
      </c>
      <c r="C44" s="8" t="s">
        <v>299</v>
      </c>
      <c r="D44" s="8" t="s">
        <v>299</v>
      </c>
      <c r="E44" s="8" t="s">
        <v>299</v>
      </c>
      <c r="F44" s="8" t="s">
        <v>299</v>
      </c>
      <c r="G44" s="8" t="s">
        <v>299</v>
      </c>
      <c r="H44" s="8" t="s">
        <v>299</v>
      </c>
    </row>
    <row r="45">
      <c r="A45" s="19"/>
      <c r="B45" s="8" t="s">
        <v>299</v>
      </c>
      <c r="C45" s="8" t="s">
        <v>299</v>
      </c>
      <c r="D45" s="8" t="s">
        <v>299</v>
      </c>
      <c r="E45" s="8" t="s">
        <v>299</v>
      </c>
      <c r="F45" s="8" t="s">
        <v>299</v>
      </c>
      <c r="G45" s="8" t="s">
        <v>299</v>
      </c>
      <c r="H45" s="8" t="s">
        <v>299</v>
      </c>
    </row>
    <row r="46">
      <c r="A46" s="19"/>
      <c r="B46" s="8" t="s">
        <v>299</v>
      </c>
      <c r="C46" s="8" t="s">
        <v>299</v>
      </c>
      <c r="D46" s="8" t="s">
        <v>299</v>
      </c>
      <c r="E46" s="8" t="s">
        <v>299</v>
      </c>
      <c r="F46" s="8" t="s">
        <v>299</v>
      </c>
      <c r="G46" s="8" t="s">
        <v>299</v>
      </c>
      <c r="H46" s="8" t="s">
        <v>299</v>
      </c>
    </row>
    <row r="47">
      <c r="A47" s="19"/>
      <c r="B47" s="8" t="s">
        <v>299</v>
      </c>
      <c r="C47" s="8" t="s">
        <v>299</v>
      </c>
      <c r="D47" s="8" t="s">
        <v>299</v>
      </c>
      <c r="E47" s="8" t="s">
        <v>299</v>
      </c>
      <c r="F47" s="8" t="s">
        <v>299</v>
      </c>
      <c r="G47" s="8" t="s">
        <v>299</v>
      </c>
      <c r="H47" s="8" t="s">
        <v>299</v>
      </c>
    </row>
    <row r="48">
      <c r="A48" s="19"/>
      <c r="B48" s="8" t="s">
        <v>299</v>
      </c>
      <c r="C48" s="8" t="s">
        <v>299</v>
      </c>
      <c r="D48" s="8" t="s">
        <v>299</v>
      </c>
      <c r="E48" s="8" t="s">
        <v>299</v>
      </c>
      <c r="F48" s="8" t="s">
        <v>299</v>
      </c>
      <c r="G48" s="8" t="s">
        <v>299</v>
      </c>
      <c r="H48" s="8" t="s">
        <v>299</v>
      </c>
    </row>
    <row r="49">
      <c r="A49" s="19"/>
      <c r="B49" s="8" t="s">
        <v>299</v>
      </c>
      <c r="C49" s="8" t="s">
        <v>299</v>
      </c>
      <c r="D49" s="8" t="s">
        <v>299</v>
      </c>
      <c r="E49" s="8" t="s">
        <v>299</v>
      </c>
      <c r="F49" s="8" t="s">
        <v>299</v>
      </c>
      <c r="G49" s="8" t="s">
        <v>299</v>
      </c>
      <c r="H49" s="8" t="s">
        <v>299</v>
      </c>
    </row>
    <row r="50">
      <c r="A50" s="19"/>
      <c r="B50" s="8" t="s">
        <v>299</v>
      </c>
      <c r="C50" s="8" t="s">
        <v>299</v>
      </c>
      <c r="D50" s="8" t="s">
        <v>299</v>
      </c>
      <c r="E50" s="8" t="s">
        <v>299</v>
      </c>
      <c r="F50" s="8" t="s">
        <v>299</v>
      </c>
      <c r="G50" s="8" t="s">
        <v>299</v>
      </c>
      <c r="H50" s="8" t="s">
        <v>299</v>
      </c>
    </row>
    <row r="51">
      <c r="A51" s="19"/>
      <c r="B51" s="8" t="s">
        <v>299</v>
      </c>
      <c r="C51" s="8" t="s">
        <v>299</v>
      </c>
      <c r="D51" s="8" t="s">
        <v>299</v>
      </c>
      <c r="E51" s="8" t="s">
        <v>299</v>
      </c>
      <c r="F51" s="8" t="s">
        <v>299</v>
      </c>
      <c r="G51" s="8" t="s">
        <v>299</v>
      </c>
      <c r="H51" s="8" t="s">
        <v>299</v>
      </c>
    </row>
    <row r="52">
      <c r="A52" s="19"/>
      <c r="B52" s="8" t="s">
        <v>299</v>
      </c>
      <c r="C52" s="8" t="s">
        <v>299</v>
      </c>
      <c r="D52" s="8" t="s">
        <v>299</v>
      </c>
      <c r="E52" s="8" t="s">
        <v>299</v>
      </c>
      <c r="F52" s="8" t="s">
        <v>299</v>
      </c>
      <c r="G52" s="8" t="s">
        <v>299</v>
      </c>
      <c r="H52" s="8" t="s">
        <v>299</v>
      </c>
    </row>
    <row r="53">
      <c r="A53" s="19"/>
      <c r="B53" s="8" t="s">
        <v>299</v>
      </c>
      <c r="C53" s="8" t="s">
        <v>299</v>
      </c>
      <c r="D53" s="8" t="s">
        <v>299</v>
      </c>
      <c r="E53" s="8" t="s">
        <v>299</v>
      </c>
      <c r="F53" s="8" t="s">
        <v>299</v>
      </c>
      <c r="G53" s="8" t="s">
        <v>299</v>
      </c>
      <c r="H53" s="8" t="s">
        <v>299</v>
      </c>
    </row>
    <row r="54">
      <c r="A54" s="19"/>
      <c r="B54" s="8" t="s">
        <v>299</v>
      </c>
      <c r="C54" s="8" t="s">
        <v>299</v>
      </c>
      <c r="D54" s="8" t="s">
        <v>299</v>
      </c>
      <c r="E54" s="8" t="s">
        <v>299</v>
      </c>
      <c r="F54" s="8" t="s">
        <v>299</v>
      </c>
      <c r="G54" s="8" t="s">
        <v>299</v>
      </c>
      <c r="H54" s="8" t="s">
        <v>299</v>
      </c>
    </row>
    <row r="55">
      <c r="A55" s="19"/>
      <c r="B55" s="8" t="s">
        <v>299</v>
      </c>
      <c r="C55" s="8" t="s">
        <v>299</v>
      </c>
      <c r="D55" s="8" t="s">
        <v>299</v>
      </c>
      <c r="E55" s="8" t="s">
        <v>299</v>
      </c>
      <c r="F55" s="8" t="s">
        <v>299</v>
      </c>
      <c r="G55" s="8" t="s">
        <v>299</v>
      </c>
      <c r="H55" s="8" t="s">
        <v>299</v>
      </c>
    </row>
    <row r="56">
      <c r="A56" s="19"/>
      <c r="B56" s="8" t="s">
        <v>299</v>
      </c>
      <c r="C56" s="8" t="s">
        <v>299</v>
      </c>
      <c r="D56" s="8" t="s">
        <v>299</v>
      </c>
      <c r="E56" s="8" t="s">
        <v>299</v>
      </c>
      <c r="F56" s="8" t="s">
        <v>299</v>
      </c>
      <c r="G56" s="8" t="s">
        <v>299</v>
      </c>
      <c r="H56" s="8" t="s">
        <v>299</v>
      </c>
    </row>
    <row r="57">
      <c r="A57" s="19"/>
      <c r="B57" s="8" t="s">
        <v>299</v>
      </c>
      <c r="C57" s="8" t="s">
        <v>299</v>
      </c>
      <c r="D57" s="8" t="s">
        <v>299</v>
      </c>
      <c r="E57" s="8" t="s">
        <v>299</v>
      </c>
      <c r="F57" s="8" t="s">
        <v>299</v>
      </c>
      <c r="G57" s="8" t="s">
        <v>299</v>
      </c>
      <c r="H57" s="8" t="s">
        <v>299</v>
      </c>
    </row>
    <row r="58">
      <c r="A58" s="19"/>
      <c r="B58" s="8" t="s">
        <v>299</v>
      </c>
      <c r="C58" s="8" t="s">
        <v>299</v>
      </c>
      <c r="D58" s="8" t="s">
        <v>299</v>
      </c>
      <c r="E58" s="8" t="s">
        <v>299</v>
      </c>
      <c r="F58" s="8" t="s">
        <v>299</v>
      </c>
      <c r="G58" s="8" t="s">
        <v>299</v>
      </c>
      <c r="H58" s="8" t="s">
        <v>299</v>
      </c>
    </row>
    <row r="59">
      <c r="A59" s="19"/>
      <c r="B59" s="8" t="s">
        <v>299</v>
      </c>
      <c r="C59" s="8" t="s">
        <v>299</v>
      </c>
      <c r="D59" s="8" t="s">
        <v>299</v>
      </c>
      <c r="E59" s="8" t="s">
        <v>299</v>
      </c>
      <c r="F59" s="8" t="s">
        <v>299</v>
      </c>
      <c r="G59" s="8" t="s">
        <v>299</v>
      </c>
      <c r="H59" s="8" t="s">
        <v>299</v>
      </c>
    </row>
    <row r="60">
      <c r="A60" s="19"/>
      <c r="B60" s="8" t="s">
        <v>299</v>
      </c>
      <c r="C60" s="8" t="s">
        <v>299</v>
      </c>
      <c r="D60" s="8" t="s">
        <v>299</v>
      </c>
      <c r="E60" s="8" t="s">
        <v>299</v>
      </c>
      <c r="F60" s="8" t="s">
        <v>299</v>
      </c>
      <c r="G60" s="8" t="s">
        <v>299</v>
      </c>
      <c r="H60" s="8" t="s">
        <v>299</v>
      </c>
    </row>
    <row r="61">
      <c r="A61" s="19"/>
      <c r="B61" s="8" t="s">
        <v>299</v>
      </c>
      <c r="C61" s="8" t="s">
        <v>299</v>
      </c>
      <c r="D61" s="8" t="s">
        <v>299</v>
      </c>
      <c r="E61" s="8" t="s">
        <v>299</v>
      </c>
      <c r="F61" s="8" t="s">
        <v>299</v>
      </c>
      <c r="G61" s="8" t="s">
        <v>299</v>
      </c>
      <c r="H61" s="8" t="s">
        <v>299</v>
      </c>
    </row>
    <row r="62">
      <c r="A62" s="19"/>
      <c r="B62" s="8" t="s">
        <v>299</v>
      </c>
      <c r="C62" s="8" t="s">
        <v>299</v>
      </c>
      <c r="D62" s="8" t="s">
        <v>299</v>
      </c>
      <c r="E62" s="8" t="s">
        <v>299</v>
      </c>
      <c r="F62" s="8" t="s">
        <v>299</v>
      </c>
      <c r="G62" s="8" t="s">
        <v>299</v>
      </c>
      <c r="H62" s="8" t="s">
        <v>299</v>
      </c>
    </row>
    <row r="63">
      <c r="A63" s="19"/>
      <c r="B63" s="8" t="s">
        <v>299</v>
      </c>
      <c r="C63" s="8" t="s">
        <v>299</v>
      </c>
      <c r="D63" s="8" t="s">
        <v>299</v>
      </c>
      <c r="E63" s="8" t="s">
        <v>299</v>
      </c>
      <c r="F63" s="8" t="s">
        <v>299</v>
      </c>
      <c r="G63" s="8" t="s">
        <v>299</v>
      </c>
      <c r="H63" s="8" t="s">
        <v>299</v>
      </c>
    </row>
    <row r="64">
      <c r="A64" s="19"/>
      <c r="B64" s="8" t="s">
        <v>299</v>
      </c>
      <c r="C64" s="8" t="s">
        <v>299</v>
      </c>
      <c r="D64" s="8" t="s">
        <v>299</v>
      </c>
      <c r="E64" s="8" t="s">
        <v>299</v>
      </c>
      <c r="F64" s="8" t="s">
        <v>299</v>
      </c>
      <c r="G64" s="8" t="s">
        <v>299</v>
      </c>
      <c r="H64" s="8" t="s">
        <v>299</v>
      </c>
    </row>
    <row r="65">
      <c r="A65" s="19"/>
      <c r="B65" s="8" t="s">
        <v>299</v>
      </c>
      <c r="C65" s="8" t="s">
        <v>299</v>
      </c>
      <c r="D65" s="8" t="s">
        <v>299</v>
      </c>
      <c r="E65" s="8" t="s">
        <v>299</v>
      </c>
      <c r="F65" s="8" t="s">
        <v>299</v>
      </c>
      <c r="G65" s="8" t="s">
        <v>299</v>
      </c>
      <c r="H65" s="8" t="s">
        <v>299</v>
      </c>
    </row>
    <row r="66">
      <c r="A66" s="19"/>
      <c r="B66" s="8" t="s">
        <v>299</v>
      </c>
      <c r="C66" s="8" t="s">
        <v>299</v>
      </c>
      <c r="D66" s="8" t="s">
        <v>299</v>
      </c>
      <c r="E66" s="8" t="s">
        <v>299</v>
      </c>
      <c r="F66" s="8" t="s">
        <v>299</v>
      </c>
      <c r="G66" s="8" t="s">
        <v>299</v>
      </c>
      <c r="H66" s="8" t="s">
        <v>299</v>
      </c>
    </row>
    <row r="67">
      <c r="A67" s="19"/>
      <c r="B67" s="8" t="s">
        <v>299</v>
      </c>
      <c r="C67" s="8" t="s">
        <v>299</v>
      </c>
      <c r="D67" s="8" t="s">
        <v>299</v>
      </c>
      <c r="E67" s="8" t="s">
        <v>299</v>
      </c>
      <c r="F67" s="8" t="s">
        <v>299</v>
      </c>
      <c r="G67" s="8" t="s">
        <v>299</v>
      </c>
      <c r="H67" s="8" t="s">
        <v>299</v>
      </c>
    </row>
    <row r="68">
      <c r="A68" s="19"/>
      <c r="B68" s="8" t="s">
        <v>299</v>
      </c>
      <c r="C68" s="8" t="s">
        <v>299</v>
      </c>
      <c r="D68" s="8" t="s">
        <v>299</v>
      </c>
      <c r="E68" s="8" t="s">
        <v>299</v>
      </c>
      <c r="F68" s="8" t="s">
        <v>299</v>
      </c>
      <c r="G68" s="8" t="s">
        <v>299</v>
      </c>
      <c r="H68" s="8" t="s">
        <v>299</v>
      </c>
    </row>
    <row r="69">
      <c r="A69" s="19"/>
      <c r="B69" s="8" t="s">
        <v>299</v>
      </c>
      <c r="C69" s="8" t="s">
        <v>299</v>
      </c>
      <c r="D69" s="8" t="s">
        <v>299</v>
      </c>
      <c r="E69" s="8" t="s">
        <v>299</v>
      </c>
      <c r="F69" s="8" t="s">
        <v>299</v>
      </c>
      <c r="G69" s="8" t="s">
        <v>299</v>
      </c>
      <c r="H69" s="8" t="s">
        <v>299</v>
      </c>
    </row>
    <row r="70">
      <c r="A70" s="19"/>
      <c r="B70" s="8" t="s">
        <v>299</v>
      </c>
      <c r="C70" s="8" t="s">
        <v>299</v>
      </c>
      <c r="D70" s="8" t="s">
        <v>299</v>
      </c>
      <c r="E70" s="8" t="s">
        <v>299</v>
      </c>
      <c r="F70" s="8" t="s">
        <v>299</v>
      </c>
      <c r="G70" s="8" t="s">
        <v>299</v>
      </c>
      <c r="H70" s="8" t="s">
        <v>299</v>
      </c>
    </row>
    <row r="71">
      <c r="A71" s="19"/>
      <c r="B71" s="8" t="s">
        <v>299</v>
      </c>
      <c r="C71" s="8" t="s">
        <v>299</v>
      </c>
      <c r="D71" s="8" t="s">
        <v>299</v>
      </c>
      <c r="E71" s="8" t="s">
        <v>299</v>
      </c>
      <c r="F71" s="8" t="s">
        <v>299</v>
      </c>
      <c r="G71" s="8" t="s">
        <v>299</v>
      </c>
      <c r="H71" s="8" t="s">
        <v>299</v>
      </c>
    </row>
    <row r="72">
      <c r="A72" s="19"/>
      <c r="B72" s="8" t="s">
        <v>299</v>
      </c>
      <c r="C72" s="8" t="s">
        <v>299</v>
      </c>
      <c r="D72" s="8" t="s">
        <v>299</v>
      </c>
      <c r="E72" s="8" t="s">
        <v>299</v>
      </c>
      <c r="F72" s="8" t="s">
        <v>299</v>
      </c>
      <c r="G72" s="8" t="s">
        <v>299</v>
      </c>
      <c r="H72" s="8" t="s">
        <v>299</v>
      </c>
    </row>
    <row r="73">
      <c r="A73" s="19"/>
      <c r="B73" s="8" t="s">
        <v>299</v>
      </c>
      <c r="C73" s="8" t="s">
        <v>299</v>
      </c>
      <c r="D73" s="8" t="s">
        <v>299</v>
      </c>
      <c r="E73" s="8" t="s">
        <v>299</v>
      </c>
      <c r="F73" s="8" t="s">
        <v>299</v>
      </c>
      <c r="G73" s="8" t="s">
        <v>299</v>
      </c>
      <c r="H73" s="8" t="s">
        <v>299</v>
      </c>
    </row>
    <row r="74">
      <c r="A74" s="19"/>
      <c r="B74" s="8" t="s">
        <v>299</v>
      </c>
      <c r="C74" s="8" t="s">
        <v>299</v>
      </c>
      <c r="D74" s="8" t="s">
        <v>299</v>
      </c>
      <c r="E74" s="8" t="s">
        <v>299</v>
      </c>
      <c r="F74" s="8" t="s">
        <v>299</v>
      </c>
      <c r="G74" s="8" t="s">
        <v>299</v>
      </c>
      <c r="H74" s="8" t="s">
        <v>299</v>
      </c>
    </row>
    <row r="75">
      <c r="A75" s="19"/>
      <c r="B75" s="8" t="s">
        <v>299</v>
      </c>
      <c r="C75" s="8" t="s">
        <v>299</v>
      </c>
      <c r="D75" s="8" t="s">
        <v>299</v>
      </c>
      <c r="E75" s="8" t="s">
        <v>299</v>
      </c>
      <c r="F75" s="8" t="s">
        <v>299</v>
      </c>
      <c r="G75" s="8" t="s">
        <v>299</v>
      </c>
      <c r="H75" s="8" t="s">
        <v>299</v>
      </c>
    </row>
    <row r="76">
      <c r="A76" s="19"/>
      <c r="B76" s="8" t="s">
        <v>299</v>
      </c>
      <c r="C76" s="8" t="s">
        <v>299</v>
      </c>
      <c r="D76" s="8" t="s">
        <v>299</v>
      </c>
      <c r="E76" s="8" t="s">
        <v>299</v>
      </c>
      <c r="F76" s="8" t="s">
        <v>299</v>
      </c>
      <c r="G76" s="8" t="s">
        <v>299</v>
      </c>
      <c r="H76" s="8" t="s">
        <v>299</v>
      </c>
    </row>
    <row r="77">
      <c r="A77" s="19"/>
      <c r="B77" s="8" t="s">
        <v>299</v>
      </c>
      <c r="C77" s="8" t="s">
        <v>299</v>
      </c>
      <c r="D77" s="8" t="s">
        <v>299</v>
      </c>
      <c r="E77" s="8" t="s">
        <v>299</v>
      </c>
      <c r="F77" s="8" t="s">
        <v>299</v>
      </c>
      <c r="G77" s="8" t="s">
        <v>299</v>
      </c>
      <c r="H77" s="8" t="s">
        <v>299</v>
      </c>
    </row>
    <row r="78">
      <c r="A78" s="19"/>
      <c r="B78" s="8" t="s">
        <v>299</v>
      </c>
      <c r="C78" s="8" t="s">
        <v>299</v>
      </c>
      <c r="D78" s="8" t="s">
        <v>299</v>
      </c>
      <c r="E78" s="8" t="s">
        <v>299</v>
      </c>
      <c r="F78" s="8" t="s">
        <v>299</v>
      </c>
      <c r="G78" s="8" t="s">
        <v>299</v>
      </c>
      <c r="H78" s="8" t="s">
        <v>299</v>
      </c>
    </row>
    <row r="79">
      <c r="A79" s="19"/>
      <c r="B79" s="8" t="s">
        <v>299</v>
      </c>
      <c r="C79" s="8" t="s">
        <v>299</v>
      </c>
      <c r="D79" s="8" t="s">
        <v>299</v>
      </c>
      <c r="E79" s="8" t="s">
        <v>299</v>
      </c>
      <c r="F79" s="8" t="s">
        <v>299</v>
      </c>
      <c r="G79" s="8" t="s">
        <v>299</v>
      </c>
      <c r="H79" s="8" t="s">
        <v>299</v>
      </c>
    </row>
    <row r="80">
      <c r="A80" s="19"/>
      <c r="B80" s="8" t="s">
        <v>299</v>
      </c>
      <c r="C80" s="8" t="s">
        <v>299</v>
      </c>
      <c r="D80" s="8" t="s">
        <v>299</v>
      </c>
      <c r="E80" s="8" t="s">
        <v>299</v>
      </c>
      <c r="F80" s="8" t="s">
        <v>299</v>
      </c>
      <c r="G80" s="8" t="s">
        <v>299</v>
      </c>
      <c r="H80" s="8" t="s">
        <v>299</v>
      </c>
    </row>
    <row r="81">
      <c r="A81" s="19"/>
      <c r="B81" s="8" t="s">
        <v>299</v>
      </c>
      <c r="C81" s="8" t="s">
        <v>299</v>
      </c>
      <c r="D81" s="8" t="s">
        <v>299</v>
      </c>
      <c r="E81" s="8" t="s">
        <v>299</v>
      </c>
      <c r="F81" s="8" t="s">
        <v>299</v>
      </c>
      <c r="G81" s="8" t="s">
        <v>299</v>
      </c>
      <c r="H81" s="8" t="s">
        <v>299</v>
      </c>
    </row>
    <row r="82">
      <c r="A82" s="19"/>
      <c r="B82" s="8" t="s">
        <v>299</v>
      </c>
      <c r="C82" s="8" t="s">
        <v>299</v>
      </c>
      <c r="D82" s="8" t="s">
        <v>299</v>
      </c>
      <c r="E82" s="8" t="s">
        <v>299</v>
      </c>
      <c r="F82" s="8" t="s">
        <v>299</v>
      </c>
      <c r="G82" s="8" t="s">
        <v>299</v>
      </c>
      <c r="H82" s="8" t="s">
        <v>299</v>
      </c>
    </row>
    <row r="83">
      <c r="A83" s="19"/>
      <c r="B83" s="8" t="s">
        <v>299</v>
      </c>
      <c r="C83" s="8" t="s">
        <v>299</v>
      </c>
      <c r="D83" s="8" t="s">
        <v>299</v>
      </c>
      <c r="E83" s="8" t="s">
        <v>299</v>
      </c>
      <c r="F83" s="8" t="s">
        <v>299</v>
      </c>
      <c r="G83" s="8" t="s">
        <v>299</v>
      </c>
      <c r="H83" s="8" t="s">
        <v>299</v>
      </c>
    </row>
    <row r="84">
      <c r="A84" s="19"/>
      <c r="B84" s="8" t="s">
        <v>299</v>
      </c>
      <c r="C84" s="8" t="s">
        <v>299</v>
      </c>
      <c r="D84" s="8" t="s">
        <v>299</v>
      </c>
      <c r="E84" s="8" t="s">
        <v>299</v>
      </c>
      <c r="F84" s="8" t="s">
        <v>299</v>
      </c>
      <c r="G84" s="8" t="s">
        <v>299</v>
      </c>
      <c r="H84" s="8" t="s">
        <v>299</v>
      </c>
    </row>
    <row r="85">
      <c r="A85" s="19"/>
      <c r="B85" s="8" t="s">
        <v>299</v>
      </c>
      <c r="C85" s="8" t="s">
        <v>299</v>
      </c>
      <c r="D85" s="8" t="s">
        <v>299</v>
      </c>
      <c r="E85" s="8" t="s">
        <v>299</v>
      </c>
      <c r="F85" s="8" t="s">
        <v>299</v>
      </c>
      <c r="G85" s="8" t="s">
        <v>299</v>
      </c>
      <c r="H85" s="8" t="s">
        <v>299</v>
      </c>
    </row>
    <row r="86">
      <c r="A86" s="19"/>
      <c r="B86" s="8" t="s">
        <v>299</v>
      </c>
      <c r="C86" s="8" t="s">
        <v>299</v>
      </c>
      <c r="D86" s="8" t="s">
        <v>299</v>
      </c>
      <c r="E86" s="8" t="s">
        <v>299</v>
      </c>
      <c r="F86" s="8" t="s">
        <v>299</v>
      </c>
      <c r="G86" s="8" t="s">
        <v>299</v>
      </c>
      <c r="H86" s="8" t="s">
        <v>299</v>
      </c>
    </row>
    <row r="87">
      <c r="A87" s="19"/>
      <c r="B87" s="8" t="s">
        <v>299</v>
      </c>
      <c r="C87" s="8" t="s">
        <v>299</v>
      </c>
      <c r="D87" s="8" t="s">
        <v>299</v>
      </c>
      <c r="E87" s="8" t="s">
        <v>299</v>
      </c>
      <c r="F87" s="8" t="s">
        <v>299</v>
      </c>
      <c r="G87" s="8" t="s">
        <v>299</v>
      </c>
      <c r="H87" s="8" t="s">
        <v>299</v>
      </c>
    </row>
    <row r="88">
      <c r="A88" s="19"/>
      <c r="B88" s="8" t="s">
        <v>299</v>
      </c>
      <c r="C88" s="8" t="s">
        <v>299</v>
      </c>
      <c r="D88" s="8" t="s">
        <v>299</v>
      </c>
      <c r="E88" s="8" t="s">
        <v>299</v>
      </c>
      <c r="F88" s="8" t="s">
        <v>299</v>
      </c>
      <c r="G88" s="8" t="s">
        <v>299</v>
      </c>
      <c r="H88" s="8" t="s">
        <v>299</v>
      </c>
    </row>
    <row r="89">
      <c r="A89" s="19"/>
      <c r="B89" s="8" t="s">
        <v>299</v>
      </c>
      <c r="C89" s="8" t="s">
        <v>299</v>
      </c>
      <c r="D89" s="8" t="s">
        <v>299</v>
      </c>
      <c r="E89" s="8" t="s">
        <v>299</v>
      </c>
      <c r="F89" s="8" t="s">
        <v>299</v>
      </c>
      <c r="G89" s="8" t="s">
        <v>299</v>
      </c>
      <c r="H89" s="8" t="s">
        <v>299</v>
      </c>
    </row>
    <row r="90">
      <c r="A90" s="19"/>
      <c r="B90" s="8" t="s">
        <v>299</v>
      </c>
      <c r="C90" s="8" t="s">
        <v>299</v>
      </c>
      <c r="D90" s="8" t="s">
        <v>299</v>
      </c>
      <c r="E90" s="8" t="s">
        <v>299</v>
      </c>
      <c r="F90" s="8" t="s">
        <v>299</v>
      </c>
      <c r="G90" s="8" t="s">
        <v>299</v>
      </c>
      <c r="H90" s="8" t="s">
        <v>299</v>
      </c>
    </row>
    <row r="91">
      <c r="A91" s="19"/>
      <c r="B91" s="8" t="s">
        <v>299</v>
      </c>
      <c r="C91" s="8" t="s">
        <v>299</v>
      </c>
      <c r="D91" s="8" t="s">
        <v>299</v>
      </c>
      <c r="E91" s="8" t="s">
        <v>299</v>
      </c>
      <c r="F91" s="8" t="s">
        <v>299</v>
      </c>
      <c r="G91" s="8" t="s">
        <v>299</v>
      </c>
      <c r="H91" s="8" t="s">
        <v>299</v>
      </c>
    </row>
    <row r="92">
      <c r="A92" s="19"/>
      <c r="B92" s="8" t="s">
        <v>299</v>
      </c>
      <c r="C92" s="8" t="s">
        <v>299</v>
      </c>
      <c r="D92" s="8" t="s">
        <v>299</v>
      </c>
      <c r="E92" s="8" t="s">
        <v>299</v>
      </c>
      <c r="F92" s="8" t="s">
        <v>299</v>
      </c>
      <c r="G92" s="8" t="s">
        <v>299</v>
      </c>
      <c r="H92" s="8" t="s">
        <v>299</v>
      </c>
    </row>
    <row r="93">
      <c r="A93" s="19"/>
      <c r="B93" s="8" t="s">
        <v>299</v>
      </c>
      <c r="C93" s="8" t="s">
        <v>299</v>
      </c>
      <c r="D93" s="8" t="s">
        <v>299</v>
      </c>
      <c r="E93" s="8" t="s">
        <v>299</v>
      </c>
      <c r="F93" s="8" t="s">
        <v>299</v>
      </c>
      <c r="G93" s="8" t="s">
        <v>299</v>
      </c>
      <c r="H93" s="8" t="s">
        <v>299</v>
      </c>
    </row>
    <row r="94">
      <c r="A94" s="19"/>
      <c r="B94" s="8" t="s">
        <v>299</v>
      </c>
      <c r="C94" s="8" t="s">
        <v>299</v>
      </c>
      <c r="D94" s="8" t="s">
        <v>299</v>
      </c>
      <c r="E94" s="8" t="s">
        <v>299</v>
      </c>
      <c r="F94" s="8" t="s">
        <v>299</v>
      </c>
      <c r="G94" s="8" t="s">
        <v>299</v>
      </c>
      <c r="H94" s="8" t="s">
        <v>299</v>
      </c>
    </row>
    <row r="95">
      <c r="A95" s="19"/>
      <c r="B95" s="8" t="s">
        <v>299</v>
      </c>
      <c r="C95" s="8" t="s">
        <v>299</v>
      </c>
      <c r="D95" s="8" t="s">
        <v>299</v>
      </c>
      <c r="E95" s="8" t="s">
        <v>299</v>
      </c>
      <c r="F95" s="8" t="s">
        <v>299</v>
      </c>
      <c r="G95" s="8" t="s">
        <v>299</v>
      </c>
      <c r="H95" s="8" t="s">
        <v>299</v>
      </c>
    </row>
    <row r="96">
      <c r="A96" s="19"/>
      <c r="B96" s="8" t="s">
        <v>299</v>
      </c>
      <c r="C96" s="8" t="s">
        <v>299</v>
      </c>
      <c r="D96" s="8" t="s">
        <v>299</v>
      </c>
      <c r="E96" s="8" t="s">
        <v>299</v>
      </c>
      <c r="F96" s="8" t="s">
        <v>299</v>
      </c>
      <c r="G96" s="8" t="s">
        <v>299</v>
      </c>
      <c r="H96" s="8" t="s">
        <v>299</v>
      </c>
    </row>
    <row r="97">
      <c r="A97" s="19"/>
      <c r="B97" s="8" t="s">
        <v>299</v>
      </c>
      <c r="C97" s="8" t="s">
        <v>299</v>
      </c>
      <c r="D97" s="8" t="s">
        <v>299</v>
      </c>
      <c r="E97" s="8" t="s">
        <v>299</v>
      </c>
      <c r="F97" s="8" t="s">
        <v>299</v>
      </c>
      <c r="G97" s="8" t="s">
        <v>299</v>
      </c>
      <c r="H97" s="8" t="s">
        <v>299</v>
      </c>
    </row>
    <row r="98">
      <c r="A98" s="19"/>
      <c r="B98" s="8" t="s">
        <v>299</v>
      </c>
      <c r="C98" s="8" t="s">
        <v>299</v>
      </c>
      <c r="D98" s="8" t="s">
        <v>299</v>
      </c>
      <c r="E98" s="8" t="s">
        <v>299</v>
      </c>
      <c r="F98" s="8" t="s">
        <v>299</v>
      </c>
      <c r="G98" s="8" t="s">
        <v>299</v>
      </c>
      <c r="H98" s="8" t="s">
        <v>299</v>
      </c>
    </row>
    <row r="99">
      <c r="A99" s="19"/>
      <c r="B99" s="8" t="s">
        <v>299</v>
      </c>
      <c r="C99" s="8" t="s">
        <v>299</v>
      </c>
      <c r="D99" s="8" t="s">
        <v>299</v>
      </c>
      <c r="E99" s="8" t="s">
        <v>299</v>
      </c>
      <c r="F99" s="8" t="s">
        <v>299</v>
      </c>
      <c r="G99" s="8" t="s">
        <v>299</v>
      </c>
      <c r="H99" s="8" t="s">
        <v>299</v>
      </c>
    </row>
    <row r="100">
      <c r="A100" s="19"/>
      <c r="B100" s="8" t="s">
        <v>299</v>
      </c>
      <c r="C100" s="8" t="s">
        <v>299</v>
      </c>
      <c r="D100" s="8" t="s">
        <v>299</v>
      </c>
      <c r="E100" s="8" t="s">
        <v>299</v>
      </c>
      <c r="F100" s="8" t="s">
        <v>299</v>
      </c>
      <c r="G100" s="8" t="s">
        <v>299</v>
      </c>
      <c r="H100" s="8" t="s">
        <v>299</v>
      </c>
    </row>
    <row r="101">
      <c r="A101" s="19"/>
      <c r="B101" s="8" t="s">
        <v>299</v>
      </c>
      <c r="C101" s="8" t="s">
        <v>299</v>
      </c>
      <c r="D101" s="8" t="s">
        <v>299</v>
      </c>
      <c r="E101" s="8" t="s">
        <v>299</v>
      </c>
      <c r="F101" s="8" t="s">
        <v>299</v>
      </c>
      <c r="G101" s="8" t="s">
        <v>299</v>
      </c>
      <c r="H101" s="8" t="s">
        <v>299</v>
      </c>
    </row>
    <row r="102">
      <c r="A102" s="19"/>
      <c r="B102" s="8" t="s">
        <v>299</v>
      </c>
      <c r="C102" s="8" t="s">
        <v>299</v>
      </c>
      <c r="D102" s="8" t="s">
        <v>299</v>
      </c>
      <c r="E102" s="8" t="s">
        <v>299</v>
      </c>
      <c r="F102" s="8" t="s">
        <v>299</v>
      </c>
      <c r="G102" s="8" t="s">
        <v>299</v>
      </c>
      <c r="H102" s="8" t="s">
        <v>299</v>
      </c>
    </row>
    <row r="103">
      <c r="A103" s="19"/>
      <c r="B103" s="8" t="s">
        <v>299</v>
      </c>
      <c r="C103" s="8" t="s">
        <v>299</v>
      </c>
      <c r="D103" s="8" t="s">
        <v>299</v>
      </c>
      <c r="E103" s="8" t="s">
        <v>299</v>
      </c>
      <c r="F103" s="8" t="s">
        <v>299</v>
      </c>
      <c r="G103" s="8" t="s">
        <v>299</v>
      </c>
      <c r="H103" s="8" t="s">
        <v>299</v>
      </c>
    </row>
    <row r="104">
      <c r="A104" s="19"/>
      <c r="B104" s="8" t="s">
        <v>299</v>
      </c>
      <c r="C104" s="8" t="s">
        <v>299</v>
      </c>
      <c r="D104" s="8" t="s">
        <v>299</v>
      </c>
      <c r="E104" s="8" t="s">
        <v>299</v>
      </c>
      <c r="F104" s="8" t="s">
        <v>299</v>
      </c>
      <c r="G104" s="8" t="s">
        <v>299</v>
      </c>
      <c r="H104" s="8" t="s">
        <v>299</v>
      </c>
    </row>
    <row r="105">
      <c r="A105" s="19"/>
      <c r="B105" s="8" t="s">
        <v>299</v>
      </c>
      <c r="C105" s="8" t="s">
        <v>299</v>
      </c>
      <c r="D105" s="8" t="s">
        <v>299</v>
      </c>
      <c r="E105" s="8" t="s">
        <v>299</v>
      </c>
      <c r="F105" s="8" t="s">
        <v>299</v>
      </c>
      <c r="G105" s="8" t="s">
        <v>299</v>
      </c>
      <c r="H105" s="8" t="s">
        <v>299</v>
      </c>
    </row>
    <row r="106">
      <c r="A106" s="19"/>
      <c r="B106" s="8" t="s">
        <v>299</v>
      </c>
      <c r="C106" s="8" t="s">
        <v>299</v>
      </c>
      <c r="D106" s="8" t="s">
        <v>299</v>
      </c>
      <c r="E106" s="8" t="s">
        <v>299</v>
      </c>
      <c r="F106" s="8" t="s">
        <v>299</v>
      </c>
      <c r="G106" s="8" t="s">
        <v>299</v>
      </c>
      <c r="H106" s="8" t="s">
        <v>299</v>
      </c>
    </row>
    <row r="107">
      <c r="A107" s="19"/>
      <c r="B107" s="8" t="s">
        <v>299</v>
      </c>
      <c r="C107" s="8" t="s">
        <v>299</v>
      </c>
      <c r="D107" s="8" t="s">
        <v>299</v>
      </c>
      <c r="E107" s="8" t="s">
        <v>299</v>
      </c>
      <c r="F107" s="8" t="s">
        <v>299</v>
      </c>
      <c r="G107" s="8" t="s">
        <v>299</v>
      </c>
      <c r="H107" s="8" t="s">
        <v>299</v>
      </c>
    </row>
    <row r="108">
      <c r="A108" s="19"/>
      <c r="B108" s="8" t="s">
        <v>299</v>
      </c>
      <c r="C108" s="8" t="s">
        <v>299</v>
      </c>
      <c r="D108" s="8" t="s">
        <v>299</v>
      </c>
      <c r="E108" s="8" t="s">
        <v>299</v>
      </c>
      <c r="F108" s="8" t="s">
        <v>299</v>
      </c>
      <c r="G108" s="8" t="s">
        <v>299</v>
      </c>
      <c r="H108" s="8" t="s">
        <v>299</v>
      </c>
    </row>
    <row r="109">
      <c r="A109" s="19"/>
      <c r="B109" s="8" t="s">
        <v>299</v>
      </c>
      <c r="C109" s="8" t="s">
        <v>299</v>
      </c>
      <c r="D109" s="8" t="s">
        <v>299</v>
      </c>
      <c r="E109" s="8" t="s">
        <v>299</v>
      </c>
      <c r="F109" s="8" t="s">
        <v>299</v>
      </c>
      <c r="G109" s="8" t="s">
        <v>299</v>
      </c>
      <c r="H109" s="8" t="s">
        <v>299</v>
      </c>
    </row>
    <row r="110">
      <c r="A110" s="19"/>
      <c r="B110" s="8" t="s">
        <v>299</v>
      </c>
      <c r="C110" s="8" t="s">
        <v>299</v>
      </c>
      <c r="D110" s="8" t="s">
        <v>299</v>
      </c>
      <c r="E110" s="8" t="s">
        <v>299</v>
      </c>
      <c r="F110" s="8" t="s">
        <v>299</v>
      </c>
      <c r="G110" s="8" t="s">
        <v>299</v>
      </c>
      <c r="H110" s="8" t="s">
        <v>299</v>
      </c>
    </row>
    <row r="111">
      <c r="A111" s="19"/>
      <c r="B111" s="8" t="s">
        <v>299</v>
      </c>
      <c r="C111" s="8" t="s">
        <v>299</v>
      </c>
      <c r="D111" s="8" t="s">
        <v>299</v>
      </c>
      <c r="E111" s="8" t="s">
        <v>299</v>
      </c>
      <c r="F111" s="8" t="s">
        <v>299</v>
      </c>
      <c r="G111" s="8" t="s">
        <v>299</v>
      </c>
      <c r="H111" s="8" t="s">
        <v>299</v>
      </c>
    </row>
    <row r="112">
      <c r="A112" s="19"/>
      <c r="B112" s="8" t="s">
        <v>299</v>
      </c>
      <c r="C112" s="8" t="s">
        <v>299</v>
      </c>
      <c r="D112" s="8" t="s">
        <v>299</v>
      </c>
      <c r="E112" s="8" t="s">
        <v>299</v>
      </c>
      <c r="F112" s="8" t="s">
        <v>299</v>
      </c>
      <c r="G112" s="8" t="s">
        <v>299</v>
      </c>
      <c r="H112" s="8" t="s">
        <v>299</v>
      </c>
    </row>
    <row r="113">
      <c r="A113" s="19"/>
      <c r="B113" s="8" t="s">
        <v>299</v>
      </c>
      <c r="C113" s="8" t="s">
        <v>299</v>
      </c>
      <c r="D113" s="8" t="s">
        <v>299</v>
      </c>
      <c r="E113" s="8" t="s">
        <v>299</v>
      </c>
      <c r="F113" s="8" t="s">
        <v>299</v>
      </c>
      <c r="G113" s="8" t="s">
        <v>299</v>
      </c>
      <c r="H113" s="8" t="s">
        <v>299</v>
      </c>
    </row>
    <row r="114">
      <c r="A114" s="19"/>
      <c r="B114" s="8" t="s">
        <v>299</v>
      </c>
      <c r="C114" s="8" t="s">
        <v>299</v>
      </c>
      <c r="D114" s="8" t="s">
        <v>299</v>
      </c>
      <c r="E114" s="8" t="s">
        <v>299</v>
      </c>
      <c r="F114" s="8" t="s">
        <v>299</v>
      </c>
      <c r="G114" s="8" t="s">
        <v>299</v>
      </c>
      <c r="H114" s="8" t="s">
        <v>299</v>
      </c>
    </row>
    <row r="115">
      <c r="A115" s="19"/>
      <c r="B115" s="8" t="s">
        <v>299</v>
      </c>
      <c r="C115" s="8" t="s">
        <v>299</v>
      </c>
      <c r="D115" s="8" t="s">
        <v>299</v>
      </c>
      <c r="E115" s="8" t="s">
        <v>299</v>
      </c>
      <c r="F115" s="8" t="s">
        <v>299</v>
      </c>
      <c r="G115" s="8" t="s">
        <v>299</v>
      </c>
      <c r="H115" s="8" t="s">
        <v>299</v>
      </c>
    </row>
    <row r="116">
      <c r="A116" s="19"/>
      <c r="B116" s="8" t="s">
        <v>299</v>
      </c>
      <c r="C116" s="8" t="s">
        <v>299</v>
      </c>
      <c r="D116" s="8" t="s">
        <v>299</v>
      </c>
      <c r="E116" s="8" t="s">
        <v>299</v>
      </c>
      <c r="F116" s="8" t="s">
        <v>299</v>
      </c>
      <c r="G116" s="8" t="s">
        <v>299</v>
      </c>
      <c r="H116" s="8" t="s">
        <v>299</v>
      </c>
    </row>
    <row r="117">
      <c r="A117" s="19"/>
      <c r="B117" s="8" t="s">
        <v>299</v>
      </c>
      <c r="C117" s="8" t="s">
        <v>299</v>
      </c>
      <c r="D117" s="8" t="s">
        <v>299</v>
      </c>
      <c r="E117" s="8" t="s">
        <v>299</v>
      </c>
      <c r="F117" s="8" t="s">
        <v>299</v>
      </c>
      <c r="G117" s="8" t="s">
        <v>299</v>
      </c>
      <c r="H117" s="8" t="s">
        <v>299</v>
      </c>
    </row>
    <row r="118">
      <c r="A118" s="19"/>
      <c r="B118" s="8" t="s">
        <v>299</v>
      </c>
      <c r="C118" s="8" t="s">
        <v>299</v>
      </c>
      <c r="D118" s="8" t="s">
        <v>299</v>
      </c>
      <c r="E118" s="8" t="s">
        <v>299</v>
      </c>
      <c r="F118" s="8" t="s">
        <v>299</v>
      </c>
      <c r="G118" s="8" t="s">
        <v>299</v>
      </c>
      <c r="H118" s="8" t="s">
        <v>299</v>
      </c>
    </row>
    <row r="119">
      <c r="A119" s="19"/>
      <c r="B119" s="8" t="s">
        <v>299</v>
      </c>
      <c r="C119" s="8" t="s">
        <v>299</v>
      </c>
      <c r="D119" s="8" t="s">
        <v>299</v>
      </c>
      <c r="E119" s="8" t="s">
        <v>299</v>
      </c>
      <c r="F119" s="8" t="s">
        <v>299</v>
      </c>
      <c r="G119" s="8" t="s">
        <v>299</v>
      </c>
      <c r="H119" s="8" t="s">
        <v>299</v>
      </c>
    </row>
    <row r="120">
      <c r="A120" s="19"/>
      <c r="B120" s="8" t="s">
        <v>299</v>
      </c>
      <c r="C120" s="8" t="s">
        <v>299</v>
      </c>
      <c r="D120" s="8" t="s">
        <v>299</v>
      </c>
      <c r="E120" s="8" t="s">
        <v>299</v>
      </c>
      <c r="F120" s="8" t="s">
        <v>299</v>
      </c>
      <c r="G120" s="8" t="s">
        <v>299</v>
      </c>
      <c r="H120" s="8" t="s">
        <v>299</v>
      </c>
    </row>
    <row r="121">
      <c r="A121" s="19"/>
      <c r="B121" s="8" t="s">
        <v>299</v>
      </c>
      <c r="C121" s="8" t="s">
        <v>299</v>
      </c>
      <c r="D121" s="8" t="s">
        <v>299</v>
      </c>
      <c r="E121" s="8" t="s">
        <v>299</v>
      </c>
      <c r="F121" s="8" t="s">
        <v>299</v>
      </c>
      <c r="G121" s="8" t="s">
        <v>299</v>
      </c>
      <c r="H121" s="8" t="s">
        <v>299</v>
      </c>
    </row>
    <row r="122">
      <c r="A122" s="19"/>
      <c r="B122" s="8" t="s">
        <v>299</v>
      </c>
      <c r="C122" s="8" t="s">
        <v>299</v>
      </c>
      <c r="D122" s="8" t="s">
        <v>299</v>
      </c>
      <c r="E122" s="8" t="s">
        <v>299</v>
      </c>
      <c r="F122" s="8" t="s">
        <v>299</v>
      </c>
      <c r="G122" s="8" t="s">
        <v>299</v>
      </c>
      <c r="H122" s="8" t="s">
        <v>299</v>
      </c>
    </row>
    <row r="123">
      <c r="A123" s="19"/>
      <c r="B123" s="8" t="s">
        <v>299</v>
      </c>
      <c r="C123" s="8" t="s">
        <v>299</v>
      </c>
      <c r="D123" s="8" t="s">
        <v>299</v>
      </c>
      <c r="E123" s="8" t="s">
        <v>299</v>
      </c>
      <c r="F123" s="8" t="s">
        <v>299</v>
      </c>
      <c r="G123" s="8" t="s">
        <v>299</v>
      </c>
      <c r="H123" s="8" t="s">
        <v>299</v>
      </c>
    </row>
    <row r="124">
      <c r="A124" s="19"/>
      <c r="B124" s="8" t="s">
        <v>299</v>
      </c>
      <c r="C124" s="8" t="s">
        <v>299</v>
      </c>
      <c r="D124" s="8" t="s">
        <v>299</v>
      </c>
      <c r="E124" s="8" t="s">
        <v>299</v>
      </c>
      <c r="F124" s="8" t="s">
        <v>299</v>
      </c>
      <c r="G124" s="8" t="s">
        <v>299</v>
      </c>
      <c r="H124" s="8" t="s">
        <v>299</v>
      </c>
    </row>
    <row r="125">
      <c r="A125" s="19"/>
      <c r="B125" s="8" t="s">
        <v>299</v>
      </c>
      <c r="C125" s="8" t="s">
        <v>299</v>
      </c>
      <c r="D125" s="8" t="s">
        <v>299</v>
      </c>
      <c r="E125" s="8" t="s">
        <v>299</v>
      </c>
      <c r="F125" s="8" t="s">
        <v>299</v>
      </c>
      <c r="G125" s="8" t="s">
        <v>299</v>
      </c>
      <c r="H125" s="8" t="s">
        <v>299</v>
      </c>
    </row>
    <row r="126">
      <c r="A126" s="19"/>
      <c r="B126" s="8" t="s">
        <v>299</v>
      </c>
      <c r="C126" s="8" t="s">
        <v>299</v>
      </c>
      <c r="D126" s="8" t="s">
        <v>299</v>
      </c>
      <c r="E126" s="8" t="s">
        <v>299</v>
      </c>
      <c r="F126" s="8" t="s">
        <v>299</v>
      </c>
      <c r="G126" s="8" t="s">
        <v>299</v>
      </c>
      <c r="H126" s="8" t="s">
        <v>299</v>
      </c>
    </row>
    <row r="127">
      <c r="A127" s="19"/>
      <c r="B127" s="8" t="s">
        <v>299</v>
      </c>
      <c r="C127" s="8" t="s">
        <v>299</v>
      </c>
      <c r="D127" s="8" t="s">
        <v>299</v>
      </c>
      <c r="E127" s="8" t="s">
        <v>299</v>
      </c>
      <c r="F127" s="8" t="s">
        <v>299</v>
      </c>
      <c r="G127" s="8" t="s">
        <v>299</v>
      </c>
      <c r="H127" s="8" t="s">
        <v>299</v>
      </c>
    </row>
    <row r="128">
      <c r="A128" s="19"/>
      <c r="B128" s="8" t="s">
        <v>299</v>
      </c>
      <c r="C128" s="8" t="s">
        <v>299</v>
      </c>
      <c r="D128" s="8" t="s">
        <v>299</v>
      </c>
      <c r="E128" s="8" t="s">
        <v>299</v>
      </c>
      <c r="F128" s="8" t="s">
        <v>299</v>
      </c>
      <c r="G128" s="8" t="s">
        <v>299</v>
      </c>
      <c r="H128" s="8" t="s">
        <v>299</v>
      </c>
    </row>
    <row r="129">
      <c r="A129" s="19"/>
      <c r="B129" s="8" t="s">
        <v>299</v>
      </c>
      <c r="C129" s="8" t="s">
        <v>299</v>
      </c>
      <c r="D129" s="8" t="s">
        <v>299</v>
      </c>
      <c r="E129" s="8" t="s">
        <v>299</v>
      </c>
      <c r="F129" s="8" t="s">
        <v>299</v>
      </c>
      <c r="G129" s="8" t="s">
        <v>299</v>
      </c>
      <c r="H129" s="8" t="s">
        <v>299</v>
      </c>
    </row>
    <row r="130">
      <c r="A130" s="19"/>
      <c r="B130" s="8" t="s">
        <v>299</v>
      </c>
      <c r="C130" s="8" t="s">
        <v>299</v>
      </c>
      <c r="D130" s="8" t="s">
        <v>299</v>
      </c>
      <c r="E130" s="8" t="s">
        <v>299</v>
      </c>
      <c r="F130" s="8" t="s">
        <v>299</v>
      </c>
      <c r="G130" s="8" t="s">
        <v>299</v>
      </c>
      <c r="H130" s="8" t="s">
        <v>299</v>
      </c>
    </row>
    <row r="131">
      <c r="A131" s="19"/>
      <c r="B131" s="8" t="s">
        <v>299</v>
      </c>
      <c r="C131" s="8" t="s">
        <v>299</v>
      </c>
      <c r="D131" s="8" t="s">
        <v>299</v>
      </c>
      <c r="E131" s="8" t="s">
        <v>299</v>
      </c>
      <c r="F131" s="8" t="s">
        <v>299</v>
      </c>
      <c r="G131" s="8" t="s">
        <v>299</v>
      </c>
      <c r="H131" s="8" t="s">
        <v>299</v>
      </c>
    </row>
    <row r="132">
      <c r="A132" s="19"/>
      <c r="B132" s="8" t="s">
        <v>299</v>
      </c>
      <c r="C132" s="8" t="s">
        <v>299</v>
      </c>
      <c r="D132" s="8" t="s">
        <v>299</v>
      </c>
      <c r="E132" s="8" t="s">
        <v>299</v>
      </c>
      <c r="F132" s="8" t="s">
        <v>299</v>
      </c>
      <c r="G132" s="8" t="s">
        <v>299</v>
      </c>
      <c r="H132" s="8" t="s">
        <v>299</v>
      </c>
    </row>
    <row r="133">
      <c r="A133" s="19"/>
      <c r="B133" s="8" t="s">
        <v>299</v>
      </c>
      <c r="C133" s="8" t="s">
        <v>299</v>
      </c>
      <c r="D133" s="8" t="s">
        <v>299</v>
      </c>
      <c r="E133" s="8" t="s">
        <v>299</v>
      </c>
      <c r="F133" s="8" t="s">
        <v>299</v>
      </c>
      <c r="G133" s="8" t="s">
        <v>299</v>
      </c>
      <c r="H133" s="8" t="s">
        <v>299</v>
      </c>
    </row>
    <row r="134">
      <c r="A134" s="19"/>
      <c r="B134" s="8" t="s">
        <v>299</v>
      </c>
      <c r="C134" s="8" t="s">
        <v>299</v>
      </c>
      <c r="D134" s="8" t="s">
        <v>299</v>
      </c>
      <c r="E134" s="8" t="s">
        <v>299</v>
      </c>
      <c r="F134" s="8" t="s">
        <v>299</v>
      </c>
      <c r="G134" s="8" t="s">
        <v>299</v>
      </c>
      <c r="H134" s="8" t="s">
        <v>299</v>
      </c>
    </row>
    <row r="135">
      <c r="A135" s="19"/>
      <c r="B135" s="8" t="s">
        <v>299</v>
      </c>
      <c r="C135" s="8" t="s">
        <v>299</v>
      </c>
      <c r="D135" s="8" t="s">
        <v>299</v>
      </c>
      <c r="E135" s="8" t="s">
        <v>299</v>
      </c>
      <c r="F135" s="8" t="s">
        <v>299</v>
      </c>
      <c r="G135" s="8" t="s">
        <v>299</v>
      </c>
      <c r="H135" s="8" t="s">
        <v>299</v>
      </c>
    </row>
    <row r="136">
      <c r="A136" s="19"/>
      <c r="B136" s="8" t="s">
        <v>299</v>
      </c>
      <c r="C136" s="8" t="s">
        <v>299</v>
      </c>
      <c r="D136" s="8" t="s">
        <v>299</v>
      </c>
      <c r="E136" s="8" t="s">
        <v>299</v>
      </c>
      <c r="F136" s="8" t="s">
        <v>299</v>
      </c>
      <c r="G136" s="8" t="s">
        <v>299</v>
      </c>
      <c r="H136" s="8" t="s">
        <v>299</v>
      </c>
    </row>
    <row r="137">
      <c r="A137" s="19"/>
      <c r="B137" s="8" t="s">
        <v>299</v>
      </c>
      <c r="C137" s="8" t="s">
        <v>299</v>
      </c>
      <c r="D137" s="8" t="s">
        <v>299</v>
      </c>
      <c r="E137" s="8" t="s">
        <v>299</v>
      </c>
      <c r="F137" s="8" t="s">
        <v>299</v>
      </c>
      <c r="G137" s="8" t="s">
        <v>299</v>
      </c>
      <c r="H137" s="8" t="s">
        <v>299</v>
      </c>
    </row>
    <row r="138">
      <c r="A138" s="19"/>
      <c r="B138" s="8" t="s">
        <v>299</v>
      </c>
      <c r="C138" s="8" t="s">
        <v>299</v>
      </c>
      <c r="D138" s="8" t="s">
        <v>299</v>
      </c>
      <c r="E138" s="8" t="s">
        <v>299</v>
      </c>
      <c r="F138" s="8" t="s">
        <v>299</v>
      </c>
      <c r="G138" s="8" t="s">
        <v>299</v>
      </c>
      <c r="H138" s="8" t="s">
        <v>299</v>
      </c>
    </row>
    <row r="139">
      <c r="A139" s="19"/>
      <c r="B139" s="8" t="s">
        <v>299</v>
      </c>
      <c r="C139" s="8" t="s">
        <v>299</v>
      </c>
      <c r="D139" s="8" t="s">
        <v>299</v>
      </c>
      <c r="E139" s="8" t="s">
        <v>299</v>
      </c>
      <c r="F139" s="8" t="s">
        <v>299</v>
      </c>
      <c r="G139" s="8" t="s">
        <v>299</v>
      </c>
      <c r="H139" s="8" t="s">
        <v>299</v>
      </c>
    </row>
    <row r="140">
      <c r="A140" s="19"/>
      <c r="B140" s="8" t="s">
        <v>299</v>
      </c>
      <c r="C140" s="8" t="s">
        <v>299</v>
      </c>
      <c r="D140" s="8" t="s">
        <v>299</v>
      </c>
      <c r="E140" s="8" t="s">
        <v>299</v>
      </c>
      <c r="F140" s="8" t="s">
        <v>299</v>
      </c>
      <c r="G140" s="8" t="s">
        <v>299</v>
      </c>
      <c r="H140" s="8" t="s">
        <v>299</v>
      </c>
    </row>
    <row r="141">
      <c r="A141" s="19"/>
      <c r="B141" s="8" t="s">
        <v>299</v>
      </c>
      <c r="C141" s="8" t="s">
        <v>299</v>
      </c>
      <c r="D141" s="8" t="s">
        <v>299</v>
      </c>
      <c r="E141" s="8" t="s">
        <v>299</v>
      </c>
      <c r="F141" s="8" t="s">
        <v>299</v>
      </c>
      <c r="G141" s="8" t="s">
        <v>299</v>
      </c>
      <c r="H141" s="8" t="s">
        <v>299</v>
      </c>
    </row>
    <row r="142">
      <c r="A142" s="19"/>
      <c r="B142" s="8" t="s">
        <v>299</v>
      </c>
      <c r="C142" s="8" t="s">
        <v>299</v>
      </c>
      <c r="D142" s="8" t="s">
        <v>299</v>
      </c>
      <c r="E142" s="8" t="s">
        <v>299</v>
      </c>
      <c r="F142" s="8" t="s">
        <v>299</v>
      </c>
      <c r="G142" s="8" t="s">
        <v>299</v>
      </c>
      <c r="H142" s="8" t="s">
        <v>299</v>
      </c>
    </row>
    <row r="143">
      <c r="A143" s="19"/>
      <c r="B143" s="8" t="s">
        <v>299</v>
      </c>
      <c r="C143" s="8" t="s">
        <v>299</v>
      </c>
      <c r="D143" s="8" t="s">
        <v>299</v>
      </c>
      <c r="E143" s="8" t="s">
        <v>299</v>
      </c>
      <c r="F143" s="8" t="s">
        <v>299</v>
      </c>
      <c r="G143" s="8" t="s">
        <v>299</v>
      </c>
      <c r="H143" s="8" t="s">
        <v>299</v>
      </c>
    </row>
    <row r="144">
      <c r="A144" s="19"/>
      <c r="B144" s="8" t="s">
        <v>299</v>
      </c>
      <c r="C144" s="8" t="s">
        <v>299</v>
      </c>
      <c r="D144" s="8" t="s">
        <v>299</v>
      </c>
      <c r="E144" s="8" t="s">
        <v>299</v>
      </c>
      <c r="F144" s="8" t="s">
        <v>299</v>
      </c>
      <c r="G144" s="8" t="s">
        <v>299</v>
      </c>
      <c r="H144" s="8" t="s">
        <v>299</v>
      </c>
    </row>
    <row r="145">
      <c r="A145" s="19"/>
      <c r="B145" s="8" t="s">
        <v>299</v>
      </c>
      <c r="C145" s="8" t="s">
        <v>299</v>
      </c>
      <c r="D145" s="8" t="s">
        <v>299</v>
      </c>
      <c r="E145" s="8" t="s">
        <v>299</v>
      </c>
      <c r="F145" s="8" t="s">
        <v>299</v>
      </c>
      <c r="G145" s="8" t="s">
        <v>299</v>
      </c>
      <c r="H145" s="8" t="s">
        <v>299</v>
      </c>
    </row>
    <row r="146">
      <c r="A146" s="19"/>
      <c r="B146" s="8" t="s">
        <v>299</v>
      </c>
      <c r="C146" s="8" t="s">
        <v>299</v>
      </c>
      <c r="D146" s="8" t="s">
        <v>299</v>
      </c>
      <c r="E146" s="8" t="s">
        <v>299</v>
      </c>
      <c r="F146" s="8" t="s">
        <v>299</v>
      </c>
      <c r="G146" s="8" t="s">
        <v>299</v>
      </c>
      <c r="H146" s="8" t="s">
        <v>299</v>
      </c>
    </row>
    <row r="147">
      <c r="A147" s="19"/>
      <c r="B147" s="8" t="s">
        <v>299</v>
      </c>
      <c r="C147" s="8" t="s">
        <v>299</v>
      </c>
      <c r="D147" s="8" t="s">
        <v>299</v>
      </c>
      <c r="E147" s="8" t="s">
        <v>299</v>
      </c>
      <c r="F147" s="8" t="s">
        <v>299</v>
      </c>
      <c r="G147" s="8" t="s">
        <v>299</v>
      </c>
      <c r="H147" s="8" t="s">
        <v>299</v>
      </c>
    </row>
    <row r="148">
      <c r="A148" s="19"/>
      <c r="B148" s="8" t="s">
        <v>299</v>
      </c>
      <c r="C148" s="8" t="s">
        <v>299</v>
      </c>
      <c r="D148" s="8" t="s">
        <v>299</v>
      </c>
      <c r="E148" s="8" t="s">
        <v>299</v>
      </c>
      <c r="F148" s="8" t="s">
        <v>299</v>
      </c>
      <c r="G148" s="8" t="s">
        <v>299</v>
      </c>
      <c r="H148" s="8" t="s">
        <v>299</v>
      </c>
    </row>
    <row r="149">
      <c r="A149" s="19"/>
      <c r="B149" s="8" t="s">
        <v>299</v>
      </c>
      <c r="C149" s="8" t="s">
        <v>299</v>
      </c>
      <c r="D149" s="8" t="s">
        <v>299</v>
      </c>
      <c r="E149" s="8" t="s">
        <v>299</v>
      </c>
      <c r="F149" s="8" t="s">
        <v>299</v>
      </c>
      <c r="G149" s="8" t="s">
        <v>299</v>
      </c>
      <c r="H149" s="8" t="s">
        <v>299</v>
      </c>
    </row>
    <row r="150">
      <c r="A150" s="19"/>
      <c r="B150" s="8" t="s">
        <v>299</v>
      </c>
      <c r="C150" s="8" t="s">
        <v>299</v>
      </c>
      <c r="D150" s="8" t="s">
        <v>299</v>
      </c>
      <c r="E150" s="8" t="s">
        <v>299</v>
      </c>
      <c r="F150" s="8" t="s">
        <v>299</v>
      </c>
      <c r="G150" s="8" t="s">
        <v>299</v>
      </c>
      <c r="H150" s="8" t="s">
        <v>299</v>
      </c>
    </row>
    <row r="151">
      <c r="A151" s="19"/>
      <c r="B151" s="8" t="s">
        <v>299</v>
      </c>
      <c r="C151" s="8" t="s">
        <v>299</v>
      </c>
      <c r="D151" s="8" t="s">
        <v>299</v>
      </c>
      <c r="E151" s="8" t="s">
        <v>299</v>
      </c>
      <c r="F151" s="8" t="s">
        <v>299</v>
      </c>
      <c r="G151" s="8" t="s">
        <v>299</v>
      </c>
      <c r="H151" s="8" t="s">
        <v>299</v>
      </c>
    </row>
    <row r="152">
      <c r="A152" s="19"/>
      <c r="B152" s="8" t="s">
        <v>299</v>
      </c>
      <c r="C152" s="8" t="s">
        <v>299</v>
      </c>
      <c r="D152" s="8" t="s">
        <v>299</v>
      </c>
      <c r="E152" s="8" t="s">
        <v>299</v>
      </c>
      <c r="F152" s="8" t="s">
        <v>299</v>
      </c>
      <c r="G152" s="8" t="s">
        <v>299</v>
      </c>
      <c r="H152" s="8" t="s">
        <v>299</v>
      </c>
    </row>
    <row r="153">
      <c r="A153" s="19"/>
      <c r="B153" s="8" t="s">
        <v>299</v>
      </c>
      <c r="C153" s="8" t="s">
        <v>299</v>
      </c>
      <c r="D153" s="8" t="s">
        <v>299</v>
      </c>
      <c r="E153" s="8" t="s">
        <v>299</v>
      </c>
      <c r="F153" s="8" t="s">
        <v>299</v>
      </c>
      <c r="G153" s="8" t="s">
        <v>299</v>
      </c>
      <c r="H153" s="8" t="s">
        <v>299</v>
      </c>
    </row>
    <row r="154">
      <c r="A154" s="19"/>
      <c r="B154" s="8" t="s">
        <v>299</v>
      </c>
      <c r="C154" s="8" t="s">
        <v>299</v>
      </c>
      <c r="D154" s="8" t="s">
        <v>299</v>
      </c>
      <c r="E154" s="8" t="s">
        <v>299</v>
      </c>
      <c r="F154" s="8" t="s">
        <v>299</v>
      </c>
      <c r="G154" s="8" t="s">
        <v>299</v>
      </c>
      <c r="H154" s="8" t="s">
        <v>299</v>
      </c>
    </row>
    <row r="155">
      <c r="A155" s="19"/>
      <c r="B155" s="8" t="s">
        <v>299</v>
      </c>
      <c r="C155" s="8" t="s">
        <v>299</v>
      </c>
      <c r="D155" s="8" t="s">
        <v>299</v>
      </c>
      <c r="E155" s="8" t="s">
        <v>299</v>
      </c>
      <c r="F155" s="8" t="s">
        <v>299</v>
      </c>
      <c r="G155" s="8" t="s">
        <v>299</v>
      </c>
      <c r="H155" s="8" t="s">
        <v>299</v>
      </c>
    </row>
    <row r="156">
      <c r="A156" s="19"/>
      <c r="B156" s="8" t="s">
        <v>299</v>
      </c>
      <c r="C156" s="8" t="s">
        <v>299</v>
      </c>
      <c r="D156" s="8" t="s">
        <v>299</v>
      </c>
      <c r="E156" s="8" t="s">
        <v>299</v>
      </c>
      <c r="F156" s="8" t="s">
        <v>299</v>
      </c>
      <c r="G156" s="8" t="s">
        <v>299</v>
      </c>
      <c r="H156" s="8" t="s">
        <v>299</v>
      </c>
    </row>
    <row r="157">
      <c r="A157" s="19"/>
      <c r="B157" s="8" t="s">
        <v>299</v>
      </c>
      <c r="C157" s="8" t="s">
        <v>299</v>
      </c>
      <c r="D157" s="8" t="s">
        <v>299</v>
      </c>
      <c r="E157" s="8" t="s">
        <v>299</v>
      </c>
      <c r="F157" s="8" t="s">
        <v>299</v>
      </c>
      <c r="G157" s="8" t="s">
        <v>299</v>
      </c>
      <c r="H157" s="8" t="s">
        <v>299</v>
      </c>
    </row>
    <row r="158">
      <c r="A158" s="19"/>
      <c r="B158" s="8" t="s">
        <v>299</v>
      </c>
      <c r="C158" s="8" t="s">
        <v>299</v>
      </c>
      <c r="D158" s="8" t="s">
        <v>299</v>
      </c>
      <c r="E158" s="8" t="s">
        <v>299</v>
      </c>
      <c r="F158" s="8" t="s">
        <v>299</v>
      </c>
      <c r="G158" s="8" t="s">
        <v>299</v>
      </c>
      <c r="H158" s="8" t="s">
        <v>299</v>
      </c>
    </row>
    <row r="159">
      <c r="A159" s="19"/>
      <c r="B159" s="8" t="s">
        <v>299</v>
      </c>
      <c r="C159" s="8" t="s">
        <v>299</v>
      </c>
      <c r="D159" s="8" t="s">
        <v>299</v>
      </c>
      <c r="E159" s="8" t="s">
        <v>299</v>
      </c>
      <c r="F159" s="8" t="s">
        <v>299</v>
      </c>
      <c r="G159" s="8" t="s">
        <v>299</v>
      </c>
      <c r="H159" s="8" t="s">
        <v>299</v>
      </c>
    </row>
    <row r="160">
      <c r="A160" s="19"/>
      <c r="B160" s="8" t="s">
        <v>299</v>
      </c>
      <c r="C160" s="8" t="s">
        <v>299</v>
      </c>
      <c r="D160" s="8" t="s">
        <v>299</v>
      </c>
      <c r="E160" s="8" t="s">
        <v>299</v>
      </c>
      <c r="F160" s="8" t="s">
        <v>299</v>
      </c>
      <c r="G160" s="8" t="s">
        <v>299</v>
      </c>
      <c r="H160" s="8" t="s">
        <v>299</v>
      </c>
    </row>
    <row r="161">
      <c r="A161" s="19"/>
      <c r="B161" s="8" t="s">
        <v>299</v>
      </c>
      <c r="C161" s="8" t="s">
        <v>299</v>
      </c>
      <c r="D161" s="8" t="s">
        <v>299</v>
      </c>
      <c r="E161" s="8" t="s">
        <v>299</v>
      </c>
      <c r="F161" s="8" t="s">
        <v>299</v>
      </c>
      <c r="G161" s="8" t="s">
        <v>299</v>
      </c>
      <c r="H161" s="8" t="s">
        <v>299</v>
      </c>
    </row>
    <row r="162">
      <c r="A162" s="19"/>
      <c r="B162" s="8" t="s">
        <v>299</v>
      </c>
      <c r="C162" s="8" t="s">
        <v>299</v>
      </c>
      <c r="D162" s="8" t="s">
        <v>299</v>
      </c>
      <c r="E162" s="8" t="s">
        <v>299</v>
      </c>
      <c r="F162" s="8" t="s">
        <v>299</v>
      </c>
      <c r="G162" s="8" t="s">
        <v>299</v>
      </c>
      <c r="H162" s="8" t="s">
        <v>299</v>
      </c>
    </row>
    <row r="163">
      <c r="A163" s="19"/>
      <c r="B163" s="8" t="s">
        <v>299</v>
      </c>
      <c r="C163" s="8" t="s">
        <v>299</v>
      </c>
      <c r="D163" s="8" t="s">
        <v>299</v>
      </c>
      <c r="E163" s="8" t="s">
        <v>299</v>
      </c>
      <c r="F163" s="8" t="s">
        <v>299</v>
      </c>
      <c r="G163" s="8" t="s">
        <v>299</v>
      </c>
      <c r="H163" s="8" t="s">
        <v>299</v>
      </c>
    </row>
    <row r="164">
      <c r="A164" s="19"/>
      <c r="B164" s="8" t="s">
        <v>299</v>
      </c>
      <c r="C164" s="8" t="s">
        <v>299</v>
      </c>
      <c r="D164" s="8" t="s">
        <v>299</v>
      </c>
      <c r="E164" s="8" t="s">
        <v>299</v>
      </c>
      <c r="F164" s="8" t="s">
        <v>299</v>
      </c>
      <c r="G164" s="8" t="s">
        <v>299</v>
      </c>
      <c r="H164" s="8" t="s">
        <v>299</v>
      </c>
    </row>
    <row r="165">
      <c r="A165" s="19"/>
      <c r="B165" s="8" t="s">
        <v>299</v>
      </c>
      <c r="C165" s="8" t="s">
        <v>299</v>
      </c>
      <c r="D165" s="8" t="s">
        <v>299</v>
      </c>
      <c r="E165" s="8" t="s">
        <v>299</v>
      </c>
      <c r="F165" s="8" t="s">
        <v>299</v>
      </c>
      <c r="G165" s="8" t="s">
        <v>299</v>
      </c>
      <c r="H165" s="8" t="s">
        <v>299</v>
      </c>
    </row>
    <row r="166">
      <c r="A166" s="19"/>
      <c r="B166" s="8" t="s">
        <v>299</v>
      </c>
      <c r="C166" s="8" t="s">
        <v>299</v>
      </c>
      <c r="D166" s="8" t="s">
        <v>299</v>
      </c>
      <c r="E166" s="8" t="s">
        <v>299</v>
      </c>
      <c r="F166" s="8" t="s">
        <v>299</v>
      </c>
      <c r="G166" s="8" t="s">
        <v>299</v>
      </c>
      <c r="H166" s="8" t="s">
        <v>299</v>
      </c>
    </row>
    <row r="167">
      <c r="A167" s="19"/>
      <c r="B167" s="8" t="s">
        <v>299</v>
      </c>
      <c r="C167" s="8" t="s">
        <v>299</v>
      </c>
      <c r="D167" s="8" t="s">
        <v>299</v>
      </c>
      <c r="E167" s="8" t="s">
        <v>299</v>
      </c>
      <c r="F167" s="8" t="s">
        <v>299</v>
      </c>
      <c r="G167" s="8" t="s">
        <v>299</v>
      </c>
      <c r="H167" s="8" t="s">
        <v>299</v>
      </c>
    </row>
    <row r="168">
      <c r="A168" s="19"/>
      <c r="B168" s="8" t="s">
        <v>299</v>
      </c>
      <c r="C168" s="8" t="s">
        <v>299</v>
      </c>
      <c r="D168" s="8" t="s">
        <v>299</v>
      </c>
      <c r="E168" s="8" t="s">
        <v>299</v>
      </c>
      <c r="F168" s="8" t="s">
        <v>299</v>
      </c>
      <c r="G168" s="8" t="s">
        <v>299</v>
      </c>
      <c r="H168" s="8" t="s">
        <v>299</v>
      </c>
    </row>
    <row r="169">
      <c r="A169" s="19"/>
      <c r="B169" s="8" t="s">
        <v>299</v>
      </c>
      <c r="C169" s="8" t="s">
        <v>299</v>
      </c>
      <c r="D169" s="8" t="s">
        <v>299</v>
      </c>
      <c r="E169" s="8" t="s">
        <v>299</v>
      </c>
      <c r="F169" s="8" t="s">
        <v>299</v>
      </c>
      <c r="G169" s="8" t="s">
        <v>299</v>
      </c>
      <c r="H169" s="8" t="s">
        <v>299</v>
      </c>
    </row>
    <row r="170">
      <c r="A170" s="19"/>
      <c r="B170" s="8" t="s">
        <v>299</v>
      </c>
      <c r="C170" s="8" t="s">
        <v>299</v>
      </c>
      <c r="D170" s="8" t="s">
        <v>299</v>
      </c>
      <c r="E170" s="8" t="s">
        <v>299</v>
      </c>
      <c r="F170" s="8" t="s">
        <v>299</v>
      </c>
      <c r="G170" s="8" t="s">
        <v>299</v>
      </c>
      <c r="H170" s="8" t="s">
        <v>299</v>
      </c>
    </row>
    <row r="171">
      <c r="A171" s="19"/>
      <c r="B171" s="8" t="s">
        <v>299</v>
      </c>
      <c r="C171" s="8" t="s">
        <v>299</v>
      </c>
      <c r="D171" s="8" t="s">
        <v>299</v>
      </c>
      <c r="E171" s="8" t="s">
        <v>299</v>
      </c>
      <c r="F171" s="8" t="s">
        <v>299</v>
      </c>
      <c r="G171" s="8" t="s">
        <v>299</v>
      </c>
      <c r="H171" s="8" t="s">
        <v>299</v>
      </c>
    </row>
    <row r="172">
      <c r="A172" s="19"/>
      <c r="B172" s="8" t="s">
        <v>299</v>
      </c>
      <c r="C172" s="8" t="s">
        <v>299</v>
      </c>
      <c r="D172" s="8" t="s">
        <v>299</v>
      </c>
      <c r="E172" s="8" t="s">
        <v>299</v>
      </c>
      <c r="F172" s="8" t="s">
        <v>299</v>
      </c>
      <c r="G172" s="8" t="s">
        <v>299</v>
      </c>
      <c r="H172" s="8" t="s">
        <v>299</v>
      </c>
    </row>
    <row r="173">
      <c r="A173" s="19"/>
      <c r="B173" s="8" t="s">
        <v>299</v>
      </c>
      <c r="C173" s="8" t="s">
        <v>299</v>
      </c>
      <c r="D173" s="8" t="s">
        <v>299</v>
      </c>
      <c r="E173" s="8" t="s">
        <v>299</v>
      </c>
      <c r="F173" s="8" t="s">
        <v>299</v>
      </c>
      <c r="G173" s="8" t="s">
        <v>299</v>
      </c>
      <c r="H173" s="8" t="s">
        <v>299</v>
      </c>
    </row>
    <row r="174">
      <c r="A174" s="19"/>
      <c r="B174" s="8" t="s">
        <v>299</v>
      </c>
      <c r="C174" s="8" t="s">
        <v>299</v>
      </c>
      <c r="D174" s="8" t="s">
        <v>299</v>
      </c>
      <c r="E174" s="8" t="s">
        <v>299</v>
      </c>
      <c r="F174" s="8" t="s">
        <v>299</v>
      </c>
      <c r="G174" s="8" t="s">
        <v>299</v>
      </c>
      <c r="H174" s="8" t="s">
        <v>299</v>
      </c>
    </row>
    <row r="175">
      <c r="A175" s="19"/>
      <c r="B175" s="8" t="s">
        <v>299</v>
      </c>
      <c r="C175" s="8" t="s">
        <v>299</v>
      </c>
      <c r="D175" s="8" t="s">
        <v>299</v>
      </c>
      <c r="E175" s="8" t="s">
        <v>299</v>
      </c>
      <c r="F175" s="8" t="s">
        <v>299</v>
      </c>
      <c r="G175" s="8" t="s">
        <v>299</v>
      </c>
      <c r="H175" s="8" t="s">
        <v>299</v>
      </c>
    </row>
    <row r="176">
      <c r="A176" s="19"/>
      <c r="B176" s="8" t="s">
        <v>299</v>
      </c>
      <c r="C176" s="8" t="s">
        <v>299</v>
      </c>
      <c r="D176" s="8" t="s">
        <v>299</v>
      </c>
      <c r="E176" s="8" t="s">
        <v>299</v>
      </c>
      <c r="F176" s="8" t="s">
        <v>299</v>
      </c>
      <c r="G176" s="8" t="s">
        <v>299</v>
      </c>
      <c r="H176" s="8" t="s">
        <v>299</v>
      </c>
    </row>
    <row r="177">
      <c r="A177" s="19"/>
      <c r="B177" s="8" t="s">
        <v>299</v>
      </c>
      <c r="C177" s="8" t="s">
        <v>299</v>
      </c>
      <c r="D177" s="8" t="s">
        <v>299</v>
      </c>
      <c r="E177" s="8" t="s">
        <v>299</v>
      </c>
      <c r="F177" s="8" t="s">
        <v>299</v>
      </c>
      <c r="G177" s="8" t="s">
        <v>299</v>
      </c>
      <c r="H177" s="8" t="s">
        <v>299</v>
      </c>
    </row>
    <row r="178">
      <c r="A178" s="19"/>
      <c r="B178" s="8" t="s">
        <v>299</v>
      </c>
      <c r="C178" s="8" t="s">
        <v>299</v>
      </c>
      <c r="D178" s="8" t="s">
        <v>299</v>
      </c>
      <c r="E178" s="8" t="s">
        <v>299</v>
      </c>
      <c r="F178" s="8" t="s">
        <v>299</v>
      </c>
      <c r="G178" s="8" t="s">
        <v>299</v>
      </c>
      <c r="H178" s="8" t="s">
        <v>299</v>
      </c>
    </row>
    <row r="179">
      <c r="A179" s="19"/>
      <c r="B179" s="8" t="s">
        <v>299</v>
      </c>
      <c r="C179" s="8" t="s">
        <v>299</v>
      </c>
      <c r="D179" s="8" t="s">
        <v>299</v>
      </c>
      <c r="E179" s="8" t="s">
        <v>299</v>
      </c>
      <c r="F179" s="8" t="s">
        <v>299</v>
      </c>
      <c r="G179" s="8" t="s">
        <v>299</v>
      </c>
      <c r="H179" s="8" t="s">
        <v>299</v>
      </c>
    </row>
    <row r="180">
      <c r="A180" s="19"/>
      <c r="B180" s="8" t="s">
        <v>299</v>
      </c>
      <c r="C180" s="8" t="s">
        <v>299</v>
      </c>
      <c r="D180" s="8" t="s">
        <v>299</v>
      </c>
      <c r="E180" s="8" t="s">
        <v>299</v>
      </c>
      <c r="F180" s="8" t="s">
        <v>299</v>
      </c>
      <c r="G180" s="8" t="s">
        <v>299</v>
      </c>
      <c r="H180" s="8" t="s">
        <v>299</v>
      </c>
    </row>
    <row r="181">
      <c r="A181" s="19"/>
      <c r="B181" s="8" t="s">
        <v>299</v>
      </c>
      <c r="C181" s="8" t="s">
        <v>299</v>
      </c>
      <c r="D181" s="8" t="s">
        <v>299</v>
      </c>
      <c r="E181" s="8" t="s">
        <v>299</v>
      </c>
      <c r="F181" s="8" t="s">
        <v>299</v>
      </c>
      <c r="G181" s="8" t="s">
        <v>299</v>
      </c>
      <c r="H181" s="8" t="s">
        <v>299</v>
      </c>
    </row>
    <row r="182">
      <c r="A182" s="19"/>
      <c r="B182" s="8" t="s">
        <v>299</v>
      </c>
      <c r="C182" s="8" t="s">
        <v>299</v>
      </c>
      <c r="D182" s="8" t="s">
        <v>299</v>
      </c>
      <c r="E182" s="8" t="s">
        <v>299</v>
      </c>
      <c r="F182" s="8" t="s">
        <v>299</v>
      </c>
      <c r="G182" s="8" t="s">
        <v>299</v>
      </c>
      <c r="H182" s="8" t="s">
        <v>299</v>
      </c>
    </row>
    <row r="183">
      <c r="A183" s="19"/>
      <c r="B183" s="8" t="s">
        <v>299</v>
      </c>
      <c r="C183" s="8" t="s">
        <v>299</v>
      </c>
      <c r="D183" s="8" t="s">
        <v>299</v>
      </c>
      <c r="E183" s="8" t="s">
        <v>299</v>
      </c>
      <c r="F183" s="8" t="s">
        <v>299</v>
      </c>
      <c r="G183" s="8" t="s">
        <v>299</v>
      </c>
      <c r="H183" s="8" t="s">
        <v>299</v>
      </c>
    </row>
    <row r="184">
      <c r="A184" s="19"/>
      <c r="B184" s="8" t="s">
        <v>299</v>
      </c>
      <c r="C184" s="8" t="s">
        <v>299</v>
      </c>
      <c r="D184" s="8" t="s">
        <v>299</v>
      </c>
      <c r="E184" s="8" t="s">
        <v>299</v>
      </c>
      <c r="F184" s="8" t="s">
        <v>299</v>
      </c>
      <c r="G184" s="8" t="s">
        <v>299</v>
      </c>
      <c r="H184" s="8" t="s">
        <v>299</v>
      </c>
    </row>
    <row r="185">
      <c r="A185" s="19"/>
      <c r="B185" s="8" t="s">
        <v>299</v>
      </c>
      <c r="C185" s="8" t="s">
        <v>299</v>
      </c>
      <c r="D185" s="8" t="s">
        <v>299</v>
      </c>
      <c r="E185" s="8" t="s">
        <v>299</v>
      </c>
      <c r="F185" s="8" t="s">
        <v>299</v>
      </c>
      <c r="G185" s="8" t="s">
        <v>299</v>
      </c>
      <c r="H185" s="8" t="s">
        <v>299</v>
      </c>
    </row>
    <row r="186">
      <c r="A186" s="19"/>
      <c r="B186" s="8" t="s">
        <v>299</v>
      </c>
      <c r="C186" s="8" t="s">
        <v>299</v>
      </c>
      <c r="D186" s="8" t="s">
        <v>299</v>
      </c>
      <c r="E186" s="8" t="s">
        <v>299</v>
      </c>
      <c r="F186" s="8" t="s">
        <v>299</v>
      </c>
      <c r="G186" s="8" t="s">
        <v>299</v>
      </c>
      <c r="H186" s="8" t="s">
        <v>299</v>
      </c>
    </row>
    <row r="187">
      <c r="A187" s="19"/>
      <c r="B187" s="8" t="s">
        <v>299</v>
      </c>
      <c r="C187" s="8" t="s">
        <v>299</v>
      </c>
      <c r="D187" s="8" t="s">
        <v>299</v>
      </c>
      <c r="E187" s="8" t="s">
        <v>299</v>
      </c>
      <c r="F187" s="8" t="s">
        <v>299</v>
      </c>
      <c r="G187" s="8" t="s">
        <v>299</v>
      </c>
      <c r="H187" s="8" t="s">
        <v>299</v>
      </c>
    </row>
    <row r="188">
      <c r="A188" s="19"/>
      <c r="B188" s="8" t="s">
        <v>299</v>
      </c>
      <c r="C188" s="8" t="s">
        <v>299</v>
      </c>
      <c r="D188" s="8" t="s">
        <v>299</v>
      </c>
      <c r="E188" s="8" t="s">
        <v>299</v>
      </c>
      <c r="F188" s="8" t="s">
        <v>299</v>
      </c>
      <c r="G188" s="8" t="s">
        <v>299</v>
      </c>
      <c r="H188" s="8" t="s">
        <v>299</v>
      </c>
    </row>
    <row r="189">
      <c r="A189" s="19"/>
      <c r="B189" s="8" t="s">
        <v>299</v>
      </c>
      <c r="C189" s="8" t="s">
        <v>299</v>
      </c>
      <c r="D189" s="8" t="s">
        <v>299</v>
      </c>
      <c r="E189" s="8" t="s">
        <v>299</v>
      </c>
      <c r="F189" s="8" t="s">
        <v>299</v>
      </c>
      <c r="G189" s="8" t="s">
        <v>299</v>
      </c>
      <c r="H189" s="8" t="s">
        <v>299</v>
      </c>
    </row>
    <row r="190">
      <c r="A190" s="19"/>
      <c r="B190" s="8" t="s">
        <v>299</v>
      </c>
      <c r="C190" s="8" t="s">
        <v>299</v>
      </c>
      <c r="D190" s="8" t="s">
        <v>299</v>
      </c>
      <c r="E190" s="8" t="s">
        <v>299</v>
      </c>
      <c r="F190" s="8" t="s">
        <v>299</v>
      </c>
      <c r="G190" s="8" t="s">
        <v>299</v>
      </c>
      <c r="H190" s="8" t="s">
        <v>299</v>
      </c>
    </row>
    <row r="191">
      <c r="A191" s="19"/>
      <c r="B191" s="8" t="s">
        <v>299</v>
      </c>
      <c r="C191" s="8" t="s">
        <v>299</v>
      </c>
      <c r="D191" s="8" t="s">
        <v>299</v>
      </c>
      <c r="E191" s="8" t="s">
        <v>299</v>
      </c>
      <c r="F191" s="8" t="s">
        <v>299</v>
      </c>
      <c r="G191" s="8" t="s">
        <v>299</v>
      </c>
      <c r="H191" s="8" t="s">
        <v>299</v>
      </c>
    </row>
    <row r="192">
      <c r="A192" s="19"/>
      <c r="B192" s="8" t="s">
        <v>299</v>
      </c>
      <c r="C192" s="8" t="s">
        <v>299</v>
      </c>
      <c r="D192" s="8" t="s">
        <v>299</v>
      </c>
      <c r="E192" s="8" t="s">
        <v>299</v>
      </c>
      <c r="F192" s="8" t="s">
        <v>299</v>
      </c>
      <c r="G192" s="8" t="s">
        <v>299</v>
      </c>
      <c r="H192" s="8" t="s">
        <v>299</v>
      </c>
    </row>
    <row r="193">
      <c r="A193" s="19"/>
      <c r="B193" s="8" t="s">
        <v>299</v>
      </c>
      <c r="C193" s="8" t="s">
        <v>299</v>
      </c>
      <c r="D193" s="8" t="s">
        <v>299</v>
      </c>
      <c r="E193" s="8" t="s">
        <v>299</v>
      </c>
      <c r="F193" s="8" t="s">
        <v>299</v>
      </c>
      <c r="G193" s="8" t="s">
        <v>299</v>
      </c>
      <c r="H193" s="8" t="s">
        <v>299</v>
      </c>
    </row>
    <row r="194">
      <c r="A194" s="19"/>
      <c r="B194" s="8" t="s">
        <v>299</v>
      </c>
      <c r="C194" s="8" t="s">
        <v>299</v>
      </c>
      <c r="D194" s="8" t="s">
        <v>299</v>
      </c>
      <c r="E194" s="8" t="s">
        <v>299</v>
      </c>
      <c r="F194" s="8" t="s">
        <v>299</v>
      </c>
      <c r="G194" s="8" t="s">
        <v>299</v>
      </c>
      <c r="H194" s="8" t="s">
        <v>299</v>
      </c>
    </row>
    <row r="195">
      <c r="A195" s="19"/>
      <c r="B195" s="8" t="s">
        <v>299</v>
      </c>
      <c r="C195" s="8" t="s">
        <v>299</v>
      </c>
      <c r="D195" s="8" t="s">
        <v>299</v>
      </c>
      <c r="E195" s="8" t="s">
        <v>299</v>
      </c>
      <c r="F195" s="8" t="s">
        <v>299</v>
      </c>
      <c r="G195" s="8" t="s">
        <v>299</v>
      </c>
      <c r="H195" s="8" t="s">
        <v>299</v>
      </c>
    </row>
    <row r="196">
      <c r="A196" s="19"/>
      <c r="B196" s="8" t="s">
        <v>299</v>
      </c>
      <c r="C196" s="8" t="s">
        <v>299</v>
      </c>
      <c r="D196" s="8" t="s">
        <v>299</v>
      </c>
      <c r="E196" s="8" t="s">
        <v>299</v>
      </c>
      <c r="F196" s="8" t="s">
        <v>299</v>
      </c>
      <c r="G196" s="8" t="s">
        <v>299</v>
      </c>
      <c r="H196" s="8" t="s">
        <v>299</v>
      </c>
    </row>
    <row r="197">
      <c r="A197" s="19"/>
      <c r="B197" s="8" t="s">
        <v>299</v>
      </c>
      <c r="C197" s="8" t="s">
        <v>299</v>
      </c>
      <c r="D197" s="8" t="s">
        <v>299</v>
      </c>
      <c r="E197" s="8" t="s">
        <v>299</v>
      </c>
      <c r="F197" s="8" t="s">
        <v>299</v>
      </c>
      <c r="G197" s="8" t="s">
        <v>299</v>
      </c>
      <c r="H197" s="8" t="s">
        <v>299</v>
      </c>
    </row>
    <row r="198">
      <c r="A198" s="19"/>
      <c r="B198" s="8" t="s">
        <v>299</v>
      </c>
      <c r="C198" s="8" t="s">
        <v>299</v>
      </c>
      <c r="D198" s="8" t="s">
        <v>299</v>
      </c>
      <c r="E198" s="8" t="s">
        <v>299</v>
      </c>
      <c r="F198" s="8" t="s">
        <v>299</v>
      </c>
      <c r="G198" s="8" t="s">
        <v>299</v>
      </c>
      <c r="H198" s="8" t="s">
        <v>299</v>
      </c>
    </row>
    <row r="199">
      <c r="A199" s="19"/>
      <c r="B199" s="8" t="s">
        <v>299</v>
      </c>
      <c r="C199" s="8" t="s">
        <v>299</v>
      </c>
      <c r="D199" s="8" t="s">
        <v>299</v>
      </c>
      <c r="E199" s="8" t="s">
        <v>299</v>
      </c>
      <c r="F199" s="8" t="s">
        <v>299</v>
      </c>
      <c r="G199" s="8" t="s">
        <v>299</v>
      </c>
      <c r="H199" s="8" t="s">
        <v>299</v>
      </c>
    </row>
    <row r="200">
      <c r="A200" s="19"/>
      <c r="B200" s="8" t="s">
        <v>299</v>
      </c>
      <c r="C200" s="8" t="s">
        <v>299</v>
      </c>
      <c r="D200" s="8" t="s">
        <v>299</v>
      </c>
      <c r="E200" s="8" t="s">
        <v>299</v>
      </c>
      <c r="F200" s="8" t="s">
        <v>299</v>
      </c>
      <c r="G200" s="8" t="s">
        <v>299</v>
      </c>
      <c r="H200" s="8" t="s">
        <v>299</v>
      </c>
    </row>
    <row r="201">
      <c r="A201" s="19"/>
      <c r="B201" s="8" t="s">
        <v>299</v>
      </c>
      <c r="C201" s="8" t="s">
        <v>299</v>
      </c>
      <c r="D201" s="8" t="s">
        <v>299</v>
      </c>
      <c r="E201" s="8" t="s">
        <v>299</v>
      </c>
      <c r="F201" s="8" t="s">
        <v>299</v>
      </c>
      <c r="G201" s="8" t="s">
        <v>299</v>
      </c>
      <c r="H201" s="8" t="s">
        <v>299</v>
      </c>
    </row>
    <row r="202">
      <c r="A202" s="19"/>
      <c r="B202" s="8" t="s">
        <v>299</v>
      </c>
      <c r="C202" s="8" t="s">
        <v>299</v>
      </c>
      <c r="D202" s="8" t="s">
        <v>299</v>
      </c>
      <c r="E202" s="8" t="s">
        <v>299</v>
      </c>
      <c r="F202" s="8" t="s">
        <v>299</v>
      </c>
      <c r="G202" s="8" t="s">
        <v>299</v>
      </c>
      <c r="H202" s="8" t="s">
        <v>299</v>
      </c>
    </row>
    <row r="203">
      <c r="A203" s="19"/>
      <c r="B203" s="8" t="s">
        <v>299</v>
      </c>
      <c r="C203" s="8" t="s">
        <v>299</v>
      </c>
      <c r="D203" s="8" t="s">
        <v>299</v>
      </c>
      <c r="E203" s="8" t="s">
        <v>299</v>
      </c>
      <c r="F203" s="8" t="s">
        <v>299</v>
      </c>
      <c r="G203" s="8" t="s">
        <v>299</v>
      </c>
      <c r="H203" s="8" t="s">
        <v>299</v>
      </c>
    </row>
    <row r="204">
      <c r="A204" s="19"/>
      <c r="B204" s="8" t="s">
        <v>299</v>
      </c>
      <c r="C204" s="8" t="s">
        <v>299</v>
      </c>
      <c r="D204" s="8" t="s">
        <v>299</v>
      </c>
      <c r="E204" s="8" t="s">
        <v>299</v>
      </c>
      <c r="F204" s="8" t="s">
        <v>299</v>
      </c>
      <c r="G204" s="8" t="s">
        <v>299</v>
      </c>
      <c r="H204" s="8" t="s">
        <v>299</v>
      </c>
    </row>
    <row r="205">
      <c r="A205" s="19"/>
      <c r="B205" s="8" t="s">
        <v>299</v>
      </c>
      <c r="C205" s="8" t="s">
        <v>299</v>
      </c>
      <c r="D205" s="8" t="s">
        <v>299</v>
      </c>
      <c r="E205" s="8" t="s">
        <v>299</v>
      </c>
      <c r="F205" s="8" t="s">
        <v>299</v>
      </c>
      <c r="G205" s="8" t="s">
        <v>299</v>
      </c>
      <c r="H205" s="8" t="s">
        <v>299</v>
      </c>
    </row>
    <row r="206">
      <c r="A206" s="19"/>
      <c r="B206" s="8" t="s">
        <v>299</v>
      </c>
      <c r="C206" s="8" t="s">
        <v>299</v>
      </c>
      <c r="D206" s="8" t="s">
        <v>299</v>
      </c>
      <c r="E206" s="8" t="s">
        <v>299</v>
      </c>
      <c r="F206" s="8" t="s">
        <v>299</v>
      </c>
      <c r="G206" s="8" t="s">
        <v>299</v>
      </c>
      <c r="H206" s="8" t="s">
        <v>299</v>
      </c>
    </row>
    <row r="207">
      <c r="A207" s="19"/>
      <c r="B207" s="8" t="s">
        <v>299</v>
      </c>
      <c r="C207" s="8" t="s">
        <v>299</v>
      </c>
      <c r="D207" s="8" t="s">
        <v>299</v>
      </c>
      <c r="E207" s="8" t="s">
        <v>299</v>
      </c>
      <c r="F207" s="8" t="s">
        <v>299</v>
      </c>
      <c r="G207" s="8" t="s">
        <v>299</v>
      </c>
      <c r="H207" s="8" t="s">
        <v>299</v>
      </c>
    </row>
    <row r="208">
      <c r="A208" s="19"/>
      <c r="B208" s="8" t="s">
        <v>299</v>
      </c>
      <c r="C208" s="8" t="s">
        <v>299</v>
      </c>
      <c r="D208" s="8" t="s">
        <v>299</v>
      </c>
      <c r="E208" s="8" t="s">
        <v>299</v>
      </c>
      <c r="F208" s="8" t="s">
        <v>299</v>
      </c>
      <c r="G208" s="8" t="s">
        <v>299</v>
      </c>
      <c r="H208" s="8" t="s">
        <v>299</v>
      </c>
    </row>
    <row r="209">
      <c r="A209" s="19"/>
      <c r="B209" s="8" t="s">
        <v>299</v>
      </c>
      <c r="C209" s="8" t="s">
        <v>299</v>
      </c>
      <c r="D209" s="8" t="s">
        <v>299</v>
      </c>
      <c r="E209" s="8" t="s">
        <v>299</v>
      </c>
      <c r="F209" s="8" t="s">
        <v>299</v>
      </c>
      <c r="G209" s="8" t="s">
        <v>299</v>
      </c>
      <c r="H209" s="8" t="s">
        <v>299</v>
      </c>
    </row>
    <row r="210">
      <c r="A210" s="19"/>
      <c r="B210" s="8" t="s">
        <v>299</v>
      </c>
      <c r="C210" s="8" t="s">
        <v>299</v>
      </c>
      <c r="D210" s="8" t="s">
        <v>299</v>
      </c>
      <c r="E210" s="8" t="s">
        <v>299</v>
      </c>
      <c r="F210" s="8" t="s">
        <v>299</v>
      </c>
      <c r="G210" s="8" t="s">
        <v>299</v>
      </c>
      <c r="H210" s="8" t="s">
        <v>299</v>
      </c>
    </row>
    <row r="211">
      <c r="A211" s="19"/>
      <c r="B211" s="8" t="s">
        <v>299</v>
      </c>
      <c r="C211" s="8" t="s">
        <v>299</v>
      </c>
      <c r="D211" s="8" t="s">
        <v>299</v>
      </c>
      <c r="E211" s="8" t="s">
        <v>299</v>
      </c>
      <c r="F211" s="8" t="s">
        <v>299</v>
      </c>
      <c r="G211" s="8" t="s">
        <v>299</v>
      </c>
      <c r="H211" s="8" t="s">
        <v>299</v>
      </c>
    </row>
    <row r="212">
      <c r="A212" s="19"/>
      <c r="B212" s="8" t="s">
        <v>299</v>
      </c>
      <c r="C212" s="8" t="s">
        <v>299</v>
      </c>
      <c r="D212" s="8" t="s">
        <v>299</v>
      </c>
      <c r="E212" s="8" t="s">
        <v>299</v>
      </c>
      <c r="F212" s="8" t="s">
        <v>299</v>
      </c>
      <c r="G212" s="8" t="s">
        <v>299</v>
      </c>
      <c r="H212" s="8" t="s">
        <v>299</v>
      </c>
    </row>
    <row r="213">
      <c r="A213" s="19"/>
      <c r="B213" s="8" t="s">
        <v>299</v>
      </c>
      <c r="C213" s="8" t="s">
        <v>299</v>
      </c>
      <c r="D213" s="8" t="s">
        <v>299</v>
      </c>
      <c r="E213" s="8" t="s">
        <v>299</v>
      </c>
      <c r="F213" s="8" t="s">
        <v>299</v>
      </c>
      <c r="G213" s="8" t="s">
        <v>299</v>
      </c>
      <c r="H213" s="8" t="s">
        <v>299</v>
      </c>
    </row>
    <row r="214">
      <c r="A214" s="19"/>
      <c r="B214" s="8" t="s">
        <v>299</v>
      </c>
      <c r="C214" s="8" t="s">
        <v>299</v>
      </c>
      <c r="D214" s="8" t="s">
        <v>299</v>
      </c>
      <c r="E214" s="8" t="s">
        <v>299</v>
      </c>
      <c r="F214" s="8" t="s">
        <v>299</v>
      </c>
      <c r="G214" s="8" t="s">
        <v>299</v>
      </c>
      <c r="H214" s="8" t="s">
        <v>299</v>
      </c>
    </row>
    <row r="215">
      <c r="A215" s="19"/>
      <c r="B215" s="8" t="s">
        <v>299</v>
      </c>
      <c r="C215" s="8" t="s">
        <v>299</v>
      </c>
      <c r="D215" s="8" t="s">
        <v>299</v>
      </c>
      <c r="E215" s="8" t="s">
        <v>299</v>
      </c>
      <c r="F215" s="8" t="s">
        <v>299</v>
      </c>
      <c r="G215" s="8" t="s">
        <v>299</v>
      </c>
      <c r="H215" s="8" t="s">
        <v>299</v>
      </c>
    </row>
    <row r="216">
      <c r="A216" s="19"/>
      <c r="B216" s="8" t="s">
        <v>299</v>
      </c>
      <c r="C216" s="8" t="s">
        <v>299</v>
      </c>
      <c r="D216" s="8" t="s">
        <v>299</v>
      </c>
      <c r="E216" s="8" t="s">
        <v>299</v>
      </c>
      <c r="F216" s="8" t="s">
        <v>299</v>
      </c>
      <c r="G216" s="8" t="s">
        <v>299</v>
      </c>
      <c r="H216" s="8" t="s">
        <v>299</v>
      </c>
    </row>
    <row r="217">
      <c r="A217" s="19"/>
      <c r="B217" s="8" t="s">
        <v>299</v>
      </c>
      <c r="C217" s="8" t="s">
        <v>299</v>
      </c>
      <c r="D217" s="8" t="s">
        <v>299</v>
      </c>
      <c r="E217" s="8" t="s">
        <v>299</v>
      </c>
      <c r="F217" s="8" t="s">
        <v>299</v>
      </c>
      <c r="G217" s="8" t="s">
        <v>299</v>
      </c>
      <c r="H217" s="8" t="s">
        <v>299</v>
      </c>
    </row>
    <row r="218">
      <c r="A218" s="19"/>
      <c r="B218" s="8" t="s">
        <v>299</v>
      </c>
      <c r="C218" s="8" t="s">
        <v>299</v>
      </c>
      <c r="D218" s="8" t="s">
        <v>299</v>
      </c>
      <c r="E218" s="8" t="s">
        <v>299</v>
      </c>
      <c r="F218" s="8" t="s">
        <v>299</v>
      </c>
      <c r="G218" s="8" t="s">
        <v>299</v>
      </c>
      <c r="H218" s="8" t="s">
        <v>299</v>
      </c>
    </row>
    <row r="219">
      <c r="A219" s="19"/>
      <c r="B219" s="8" t="s">
        <v>299</v>
      </c>
      <c r="C219" s="8" t="s">
        <v>299</v>
      </c>
      <c r="D219" s="8" t="s">
        <v>299</v>
      </c>
      <c r="E219" s="8" t="s">
        <v>299</v>
      </c>
      <c r="F219" s="8" t="s">
        <v>299</v>
      </c>
      <c r="G219" s="8" t="s">
        <v>299</v>
      </c>
      <c r="H219" s="8" t="s">
        <v>299</v>
      </c>
    </row>
    <row r="220">
      <c r="A220" s="19"/>
      <c r="B220" s="8" t="s">
        <v>299</v>
      </c>
      <c r="C220" s="8" t="s">
        <v>299</v>
      </c>
      <c r="D220" s="8" t="s">
        <v>299</v>
      </c>
      <c r="E220" s="8" t="s">
        <v>299</v>
      </c>
      <c r="F220" s="8" t="s">
        <v>299</v>
      </c>
      <c r="G220" s="8" t="s">
        <v>299</v>
      </c>
      <c r="H220" s="8" t="s">
        <v>299</v>
      </c>
    </row>
    <row r="221">
      <c r="A221" s="19"/>
      <c r="B221" s="8" t="s">
        <v>299</v>
      </c>
      <c r="C221" s="8" t="s">
        <v>299</v>
      </c>
      <c r="D221" s="8" t="s">
        <v>299</v>
      </c>
      <c r="E221" s="8" t="s">
        <v>299</v>
      </c>
      <c r="F221" s="8" t="s">
        <v>299</v>
      </c>
      <c r="G221" s="8" t="s">
        <v>299</v>
      </c>
      <c r="H221" s="8" t="s">
        <v>299</v>
      </c>
    </row>
    <row r="222">
      <c r="A222" s="19"/>
      <c r="B222" s="8" t="s">
        <v>299</v>
      </c>
      <c r="C222" s="8" t="s">
        <v>299</v>
      </c>
      <c r="D222" s="8" t="s">
        <v>299</v>
      </c>
      <c r="E222" s="8" t="s">
        <v>299</v>
      </c>
      <c r="F222" s="8" t="s">
        <v>299</v>
      </c>
      <c r="G222" s="8" t="s">
        <v>299</v>
      </c>
      <c r="H222" s="8" t="s">
        <v>299</v>
      </c>
    </row>
    <row r="223">
      <c r="A223" s="19"/>
      <c r="B223" s="8" t="s">
        <v>299</v>
      </c>
      <c r="C223" s="8" t="s">
        <v>299</v>
      </c>
      <c r="D223" s="8" t="s">
        <v>299</v>
      </c>
      <c r="E223" s="8" t="s">
        <v>299</v>
      </c>
      <c r="F223" s="8" t="s">
        <v>299</v>
      </c>
      <c r="G223" s="8" t="s">
        <v>299</v>
      </c>
      <c r="H223" s="8" t="s">
        <v>299</v>
      </c>
    </row>
    <row r="224">
      <c r="A224" s="19"/>
      <c r="B224" s="8" t="s">
        <v>299</v>
      </c>
      <c r="C224" s="8" t="s">
        <v>299</v>
      </c>
      <c r="D224" s="8" t="s">
        <v>299</v>
      </c>
      <c r="E224" s="8" t="s">
        <v>299</v>
      </c>
      <c r="F224" s="8" t="s">
        <v>299</v>
      </c>
      <c r="G224" s="8" t="s">
        <v>299</v>
      </c>
      <c r="H224" s="8" t="s">
        <v>299</v>
      </c>
    </row>
    <row r="225">
      <c r="A225" s="19"/>
      <c r="B225" s="8" t="s">
        <v>299</v>
      </c>
      <c r="C225" s="8" t="s">
        <v>299</v>
      </c>
      <c r="D225" s="8" t="s">
        <v>299</v>
      </c>
      <c r="E225" s="8" t="s">
        <v>299</v>
      </c>
      <c r="F225" s="8" t="s">
        <v>299</v>
      </c>
      <c r="G225" s="8" t="s">
        <v>299</v>
      </c>
      <c r="H225" s="8" t="s">
        <v>299</v>
      </c>
    </row>
    <row r="226">
      <c r="A226" s="19"/>
      <c r="B226" s="8" t="s">
        <v>299</v>
      </c>
      <c r="C226" s="8" t="s">
        <v>299</v>
      </c>
      <c r="D226" s="8" t="s">
        <v>299</v>
      </c>
      <c r="E226" s="8" t="s">
        <v>299</v>
      </c>
      <c r="F226" s="8" t="s">
        <v>299</v>
      </c>
      <c r="G226" s="8" t="s">
        <v>299</v>
      </c>
      <c r="H226" s="8" t="s">
        <v>299</v>
      </c>
    </row>
    <row r="227">
      <c r="A227" s="19"/>
      <c r="B227" s="8" t="s">
        <v>299</v>
      </c>
      <c r="C227" s="8" t="s">
        <v>299</v>
      </c>
      <c r="D227" s="8" t="s">
        <v>299</v>
      </c>
      <c r="E227" s="8" t="s">
        <v>299</v>
      </c>
      <c r="F227" s="8" t="s">
        <v>299</v>
      </c>
      <c r="G227" s="8" t="s">
        <v>299</v>
      </c>
      <c r="H227" s="8" t="s">
        <v>299</v>
      </c>
    </row>
    <row r="228">
      <c r="A228" s="19"/>
      <c r="B228" s="8" t="s">
        <v>299</v>
      </c>
      <c r="C228" s="8" t="s">
        <v>299</v>
      </c>
      <c r="D228" s="8" t="s">
        <v>299</v>
      </c>
      <c r="E228" s="8" t="s">
        <v>299</v>
      </c>
      <c r="F228" s="8" t="s">
        <v>299</v>
      </c>
      <c r="G228" s="8" t="s">
        <v>299</v>
      </c>
      <c r="H228" s="8" t="s">
        <v>299</v>
      </c>
    </row>
    <row r="229">
      <c r="A229" s="19"/>
      <c r="B229" s="8" t="s">
        <v>299</v>
      </c>
      <c r="C229" s="8" t="s">
        <v>299</v>
      </c>
      <c r="D229" s="8" t="s">
        <v>299</v>
      </c>
      <c r="E229" s="8" t="s">
        <v>299</v>
      </c>
      <c r="F229" s="8" t="s">
        <v>299</v>
      </c>
      <c r="G229" s="8" t="s">
        <v>299</v>
      </c>
      <c r="H229" s="8" t="s">
        <v>299</v>
      </c>
    </row>
    <row r="230">
      <c r="A230" s="19"/>
      <c r="B230" s="8" t="s">
        <v>299</v>
      </c>
      <c r="C230" s="8" t="s">
        <v>299</v>
      </c>
      <c r="D230" s="8" t="s">
        <v>299</v>
      </c>
      <c r="E230" s="8" t="s">
        <v>299</v>
      </c>
      <c r="F230" s="8" t="s">
        <v>299</v>
      </c>
      <c r="G230" s="8" t="s">
        <v>299</v>
      </c>
      <c r="H230" s="8" t="s">
        <v>299</v>
      </c>
    </row>
    <row r="231">
      <c r="A231" s="19"/>
      <c r="B231" s="8" t="s">
        <v>299</v>
      </c>
      <c r="C231" s="8" t="s">
        <v>299</v>
      </c>
      <c r="D231" s="8" t="s">
        <v>299</v>
      </c>
      <c r="E231" s="8" t="s">
        <v>299</v>
      </c>
      <c r="F231" s="8" t="s">
        <v>299</v>
      </c>
      <c r="G231" s="8" t="s">
        <v>299</v>
      </c>
      <c r="H231" s="8" t="s">
        <v>299</v>
      </c>
    </row>
    <row r="232">
      <c r="A232" s="19"/>
      <c r="B232" s="8" t="s">
        <v>299</v>
      </c>
      <c r="C232" s="8" t="s">
        <v>299</v>
      </c>
      <c r="D232" s="8" t="s">
        <v>299</v>
      </c>
      <c r="E232" s="8" t="s">
        <v>299</v>
      </c>
      <c r="F232" s="8" t="s">
        <v>299</v>
      </c>
      <c r="G232" s="8" t="s">
        <v>299</v>
      </c>
      <c r="H232" s="8" t="s">
        <v>299</v>
      </c>
    </row>
    <row r="233">
      <c r="A233" s="19"/>
      <c r="B233" s="8" t="s">
        <v>299</v>
      </c>
      <c r="C233" s="8" t="s">
        <v>299</v>
      </c>
      <c r="D233" s="8" t="s">
        <v>299</v>
      </c>
      <c r="E233" s="8" t="s">
        <v>299</v>
      </c>
      <c r="F233" s="8" t="s">
        <v>299</v>
      </c>
      <c r="G233" s="8" t="s">
        <v>299</v>
      </c>
      <c r="H233" s="8" t="s">
        <v>299</v>
      </c>
    </row>
    <row r="234">
      <c r="A234" s="19"/>
      <c r="B234" s="8" t="s">
        <v>299</v>
      </c>
      <c r="C234" s="8" t="s">
        <v>299</v>
      </c>
      <c r="D234" s="8" t="s">
        <v>299</v>
      </c>
      <c r="E234" s="8" t="s">
        <v>299</v>
      </c>
      <c r="F234" s="8" t="s">
        <v>299</v>
      </c>
      <c r="G234" s="8" t="s">
        <v>299</v>
      </c>
      <c r="H234" s="8" t="s">
        <v>299</v>
      </c>
    </row>
    <row r="235">
      <c r="A235" s="19"/>
      <c r="B235" s="8" t="s">
        <v>299</v>
      </c>
      <c r="C235" s="8" t="s">
        <v>299</v>
      </c>
      <c r="D235" s="8" t="s">
        <v>299</v>
      </c>
      <c r="E235" s="8" t="s">
        <v>299</v>
      </c>
      <c r="F235" s="8" t="s">
        <v>299</v>
      </c>
      <c r="G235" s="8" t="s">
        <v>299</v>
      </c>
      <c r="H235" s="8" t="s">
        <v>299</v>
      </c>
    </row>
    <row r="236">
      <c r="A236" s="19"/>
      <c r="B236" s="8" t="s">
        <v>299</v>
      </c>
      <c r="C236" s="8" t="s">
        <v>299</v>
      </c>
      <c r="D236" s="8" t="s">
        <v>299</v>
      </c>
      <c r="E236" s="8" t="s">
        <v>299</v>
      </c>
      <c r="F236" s="8" t="s">
        <v>299</v>
      </c>
      <c r="G236" s="8" t="s">
        <v>299</v>
      </c>
      <c r="H236" s="8" t="s">
        <v>299</v>
      </c>
    </row>
    <row r="237">
      <c r="A237" s="19"/>
      <c r="B237" s="8" t="s">
        <v>299</v>
      </c>
      <c r="C237" s="8" t="s">
        <v>299</v>
      </c>
      <c r="D237" s="8" t="s">
        <v>299</v>
      </c>
      <c r="E237" s="8" t="s">
        <v>299</v>
      </c>
      <c r="F237" s="8" t="s">
        <v>299</v>
      </c>
      <c r="G237" s="8" t="s">
        <v>299</v>
      </c>
      <c r="H237" s="8" t="s">
        <v>299</v>
      </c>
    </row>
    <row r="238">
      <c r="A238" s="19"/>
      <c r="B238" s="8" t="s">
        <v>299</v>
      </c>
      <c r="C238" s="8" t="s">
        <v>299</v>
      </c>
      <c r="D238" s="8" t="s">
        <v>299</v>
      </c>
      <c r="E238" s="8" t="s">
        <v>299</v>
      </c>
      <c r="F238" s="8" t="s">
        <v>299</v>
      </c>
      <c r="G238" s="8" t="s">
        <v>299</v>
      </c>
      <c r="H238" s="8" t="s">
        <v>299</v>
      </c>
    </row>
    <row r="239">
      <c r="A239" s="19"/>
      <c r="B239" s="8" t="s">
        <v>299</v>
      </c>
      <c r="C239" s="8" t="s">
        <v>299</v>
      </c>
      <c r="D239" s="8" t="s">
        <v>299</v>
      </c>
      <c r="E239" s="8" t="s">
        <v>299</v>
      </c>
      <c r="F239" s="8" t="s">
        <v>299</v>
      </c>
      <c r="G239" s="8" t="s">
        <v>299</v>
      </c>
      <c r="H239" s="8" t="s">
        <v>299</v>
      </c>
    </row>
    <row r="240">
      <c r="A240" s="19"/>
      <c r="B240" s="8" t="s">
        <v>299</v>
      </c>
      <c r="C240" s="8" t="s">
        <v>299</v>
      </c>
      <c r="D240" s="8" t="s">
        <v>299</v>
      </c>
      <c r="E240" s="8" t="s">
        <v>299</v>
      </c>
      <c r="F240" s="8" t="s">
        <v>299</v>
      </c>
      <c r="G240" s="8" t="s">
        <v>299</v>
      </c>
      <c r="H240" s="8" t="s">
        <v>299</v>
      </c>
    </row>
    <row r="241">
      <c r="A241" s="19"/>
      <c r="B241" s="8" t="s">
        <v>299</v>
      </c>
      <c r="C241" s="8" t="s">
        <v>299</v>
      </c>
      <c r="D241" s="8" t="s">
        <v>299</v>
      </c>
      <c r="E241" s="8" t="s">
        <v>299</v>
      </c>
      <c r="F241" s="8" t="s">
        <v>299</v>
      </c>
      <c r="G241" s="8" t="s">
        <v>299</v>
      </c>
      <c r="H241" s="8" t="s">
        <v>299</v>
      </c>
    </row>
    <row r="242">
      <c r="A242" s="19"/>
      <c r="B242" s="8" t="s">
        <v>299</v>
      </c>
      <c r="C242" s="8" t="s">
        <v>299</v>
      </c>
      <c r="D242" s="8" t="s">
        <v>299</v>
      </c>
      <c r="E242" s="8" t="s">
        <v>299</v>
      </c>
      <c r="F242" s="8" t="s">
        <v>299</v>
      </c>
      <c r="G242" s="8" t="s">
        <v>299</v>
      </c>
      <c r="H242" s="8" t="s">
        <v>299</v>
      </c>
    </row>
    <row r="243">
      <c r="A243" s="19"/>
      <c r="B243" s="8" t="s">
        <v>299</v>
      </c>
      <c r="C243" s="8" t="s">
        <v>299</v>
      </c>
      <c r="D243" s="8" t="s">
        <v>299</v>
      </c>
      <c r="E243" s="8" t="s">
        <v>299</v>
      </c>
      <c r="F243" s="8" t="s">
        <v>299</v>
      </c>
      <c r="G243" s="8" t="s">
        <v>299</v>
      </c>
      <c r="H243" s="8" t="s">
        <v>299</v>
      </c>
    </row>
    <row r="244">
      <c r="A244" s="19"/>
      <c r="B244" s="8" t="s">
        <v>299</v>
      </c>
      <c r="C244" s="8" t="s">
        <v>299</v>
      </c>
      <c r="D244" s="8" t="s">
        <v>299</v>
      </c>
      <c r="E244" s="8" t="s">
        <v>299</v>
      </c>
      <c r="F244" s="8" t="s">
        <v>299</v>
      </c>
      <c r="G244" s="8" t="s">
        <v>299</v>
      </c>
      <c r="H244" s="8" t="s">
        <v>299</v>
      </c>
    </row>
    <row r="245">
      <c r="A245" s="19"/>
      <c r="B245" s="8" t="s">
        <v>299</v>
      </c>
      <c r="C245" s="8" t="s">
        <v>299</v>
      </c>
      <c r="D245" s="8" t="s">
        <v>299</v>
      </c>
      <c r="E245" s="8" t="s">
        <v>299</v>
      </c>
      <c r="F245" s="8" t="s">
        <v>299</v>
      </c>
      <c r="G245" s="8" t="s">
        <v>299</v>
      </c>
      <c r="H245" s="8" t="s">
        <v>299</v>
      </c>
    </row>
    <row r="246">
      <c r="A246" s="19"/>
      <c r="B246" s="8" t="s">
        <v>299</v>
      </c>
      <c r="C246" s="8" t="s">
        <v>299</v>
      </c>
      <c r="D246" s="8" t="s">
        <v>299</v>
      </c>
      <c r="E246" s="8" t="s">
        <v>299</v>
      </c>
      <c r="F246" s="8" t="s">
        <v>299</v>
      </c>
      <c r="G246" s="8" t="s">
        <v>299</v>
      </c>
      <c r="H246" s="8" t="s">
        <v>299</v>
      </c>
    </row>
    <row r="247">
      <c r="A247" s="19"/>
      <c r="B247" s="8" t="s">
        <v>299</v>
      </c>
      <c r="C247" s="8" t="s">
        <v>299</v>
      </c>
      <c r="D247" s="8" t="s">
        <v>299</v>
      </c>
      <c r="E247" s="8" t="s">
        <v>299</v>
      </c>
      <c r="F247" s="8" t="s">
        <v>299</v>
      </c>
      <c r="G247" s="8" t="s">
        <v>299</v>
      </c>
      <c r="H247" s="8" t="s">
        <v>299</v>
      </c>
    </row>
    <row r="248">
      <c r="A248" s="19"/>
      <c r="B248" s="8" t="s">
        <v>299</v>
      </c>
      <c r="C248" s="8" t="s">
        <v>299</v>
      </c>
      <c r="D248" s="8" t="s">
        <v>299</v>
      </c>
      <c r="E248" s="8" t="s">
        <v>299</v>
      </c>
      <c r="F248" s="8" t="s">
        <v>299</v>
      </c>
      <c r="G248" s="8" t="s">
        <v>299</v>
      </c>
      <c r="H248" s="8" t="s">
        <v>299</v>
      </c>
    </row>
    <row r="249">
      <c r="A249" s="19"/>
      <c r="B249" s="8" t="s">
        <v>299</v>
      </c>
      <c r="C249" s="8" t="s">
        <v>299</v>
      </c>
      <c r="D249" s="8" t="s">
        <v>299</v>
      </c>
      <c r="E249" s="8" t="s">
        <v>299</v>
      </c>
      <c r="F249" s="8" t="s">
        <v>299</v>
      </c>
      <c r="G249" s="8" t="s">
        <v>299</v>
      </c>
      <c r="H249" s="8" t="s">
        <v>299</v>
      </c>
    </row>
    <row r="250">
      <c r="A250" s="19"/>
      <c r="B250" s="8" t="s">
        <v>299</v>
      </c>
      <c r="C250" s="8" t="s">
        <v>299</v>
      </c>
      <c r="D250" s="8" t="s">
        <v>299</v>
      </c>
      <c r="E250" s="8" t="s">
        <v>299</v>
      </c>
      <c r="F250" s="8" t="s">
        <v>299</v>
      </c>
      <c r="G250" s="8" t="s">
        <v>299</v>
      </c>
      <c r="H250" s="8" t="s">
        <v>299</v>
      </c>
    </row>
    <row r="251">
      <c r="A251" s="19"/>
      <c r="B251" s="8" t="s">
        <v>299</v>
      </c>
      <c r="C251" s="8" t="s">
        <v>299</v>
      </c>
      <c r="D251" s="8" t="s">
        <v>299</v>
      </c>
      <c r="E251" s="8" t="s">
        <v>299</v>
      </c>
      <c r="F251" s="8" t="s">
        <v>299</v>
      </c>
      <c r="G251" s="8" t="s">
        <v>299</v>
      </c>
      <c r="H251" s="8" t="s">
        <v>299</v>
      </c>
    </row>
    <row r="252">
      <c r="A252" s="19"/>
      <c r="B252" s="8" t="s">
        <v>299</v>
      </c>
      <c r="C252" s="8" t="s">
        <v>299</v>
      </c>
      <c r="D252" s="8" t="s">
        <v>299</v>
      </c>
      <c r="E252" s="8" t="s">
        <v>299</v>
      </c>
      <c r="F252" s="8" t="s">
        <v>299</v>
      </c>
      <c r="G252" s="8" t="s">
        <v>299</v>
      </c>
      <c r="H252" s="8" t="s">
        <v>299</v>
      </c>
    </row>
    <row r="253">
      <c r="A253" s="19"/>
      <c r="B253" s="8" t="s">
        <v>299</v>
      </c>
      <c r="C253" s="8" t="s">
        <v>299</v>
      </c>
      <c r="D253" s="8" t="s">
        <v>299</v>
      </c>
      <c r="E253" s="8" t="s">
        <v>299</v>
      </c>
      <c r="F253" s="8" t="s">
        <v>299</v>
      </c>
      <c r="G253" s="8" t="s">
        <v>299</v>
      </c>
      <c r="H253" s="8" t="s">
        <v>299</v>
      </c>
    </row>
    <row r="254">
      <c r="A254" s="19"/>
      <c r="B254" s="8" t="s">
        <v>299</v>
      </c>
      <c r="C254" s="8" t="s">
        <v>299</v>
      </c>
      <c r="D254" s="8" t="s">
        <v>299</v>
      </c>
      <c r="E254" s="8" t="s">
        <v>299</v>
      </c>
      <c r="F254" s="8" t="s">
        <v>299</v>
      </c>
      <c r="G254" s="8" t="s">
        <v>299</v>
      </c>
      <c r="H254" s="8" t="s">
        <v>299</v>
      </c>
    </row>
    <row r="255">
      <c r="A255" s="19"/>
      <c r="B255" s="8" t="s">
        <v>299</v>
      </c>
      <c r="C255" s="8" t="s">
        <v>299</v>
      </c>
      <c r="D255" s="8" t="s">
        <v>299</v>
      </c>
      <c r="E255" s="8" t="s">
        <v>299</v>
      </c>
      <c r="F255" s="8" t="s">
        <v>299</v>
      </c>
      <c r="G255" s="8" t="s">
        <v>299</v>
      </c>
      <c r="H255" s="8" t="s">
        <v>299</v>
      </c>
    </row>
    <row r="256">
      <c r="A256" s="19"/>
      <c r="B256" s="8" t="s">
        <v>299</v>
      </c>
      <c r="C256" s="8" t="s">
        <v>299</v>
      </c>
      <c r="D256" s="8" t="s">
        <v>299</v>
      </c>
      <c r="E256" s="8" t="s">
        <v>299</v>
      </c>
      <c r="F256" s="8" t="s">
        <v>299</v>
      </c>
      <c r="G256" s="8" t="s">
        <v>299</v>
      </c>
      <c r="H256" s="8" t="s">
        <v>299</v>
      </c>
    </row>
    <row r="257">
      <c r="A257" s="19"/>
      <c r="B257" s="8" t="s">
        <v>299</v>
      </c>
      <c r="C257" s="8" t="s">
        <v>299</v>
      </c>
      <c r="D257" s="8" t="s">
        <v>299</v>
      </c>
      <c r="E257" s="8" t="s">
        <v>299</v>
      </c>
      <c r="F257" s="8" t="s">
        <v>299</v>
      </c>
      <c r="G257" s="8" t="s">
        <v>299</v>
      </c>
      <c r="H257" s="8" t="s">
        <v>299</v>
      </c>
    </row>
    <row r="258">
      <c r="A258" s="19"/>
      <c r="B258" s="8" t="s">
        <v>299</v>
      </c>
      <c r="C258" s="8" t="s">
        <v>299</v>
      </c>
      <c r="D258" s="8" t="s">
        <v>299</v>
      </c>
      <c r="E258" s="8" t="s">
        <v>299</v>
      </c>
      <c r="F258" s="8" t="s">
        <v>299</v>
      </c>
      <c r="G258" s="8" t="s">
        <v>299</v>
      </c>
      <c r="H258" s="8" t="s">
        <v>299</v>
      </c>
    </row>
    <row r="259">
      <c r="A259" s="19"/>
      <c r="B259" s="8" t="s">
        <v>299</v>
      </c>
      <c r="C259" s="8" t="s">
        <v>299</v>
      </c>
      <c r="D259" s="8" t="s">
        <v>299</v>
      </c>
      <c r="E259" s="8" t="s">
        <v>299</v>
      </c>
      <c r="F259" s="8" t="s">
        <v>299</v>
      </c>
      <c r="G259" s="8" t="s">
        <v>299</v>
      </c>
      <c r="H259" s="8" t="s">
        <v>299</v>
      </c>
    </row>
    <row r="260">
      <c r="A260" s="19"/>
      <c r="B260" s="8" t="s">
        <v>299</v>
      </c>
      <c r="C260" s="8" t="s">
        <v>299</v>
      </c>
      <c r="D260" s="8" t="s">
        <v>299</v>
      </c>
      <c r="E260" s="8" t="s">
        <v>299</v>
      </c>
      <c r="F260" s="8" t="s">
        <v>299</v>
      </c>
      <c r="G260" s="8" t="s">
        <v>299</v>
      </c>
      <c r="H260" s="8" t="s">
        <v>299</v>
      </c>
    </row>
    <row r="261">
      <c r="A261" s="19"/>
      <c r="B261" s="8" t="s">
        <v>299</v>
      </c>
      <c r="C261" s="8" t="s">
        <v>299</v>
      </c>
      <c r="D261" s="8" t="s">
        <v>299</v>
      </c>
      <c r="E261" s="8" t="s">
        <v>299</v>
      </c>
      <c r="F261" s="8" t="s">
        <v>299</v>
      </c>
      <c r="G261" s="8" t="s">
        <v>299</v>
      </c>
      <c r="H261" s="8" t="s">
        <v>299</v>
      </c>
    </row>
    <row r="262">
      <c r="A262" s="19"/>
      <c r="B262" s="8" t="s">
        <v>299</v>
      </c>
      <c r="C262" s="8" t="s">
        <v>299</v>
      </c>
      <c r="D262" s="8" t="s">
        <v>299</v>
      </c>
      <c r="E262" s="8" t="s">
        <v>299</v>
      </c>
      <c r="F262" s="8" t="s">
        <v>299</v>
      </c>
      <c r="G262" s="8" t="s">
        <v>299</v>
      </c>
      <c r="H262" s="8" t="s">
        <v>299</v>
      </c>
    </row>
    <row r="263">
      <c r="A263" s="19"/>
      <c r="B263" s="8" t="s">
        <v>299</v>
      </c>
      <c r="C263" s="8" t="s">
        <v>299</v>
      </c>
      <c r="D263" s="8" t="s">
        <v>299</v>
      </c>
      <c r="E263" s="8" t="s">
        <v>299</v>
      </c>
      <c r="F263" s="8" t="s">
        <v>299</v>
      </c>
      <c r="G263" s="8" t="s">
        <v>299</v>
      </c>
      <c r="H263" s="8" t="s">
        <v>299</v>
      </c>
    </row>
    <row r="264">
      <c r="A264" s="19"/>
      <c r="B264" s="8" t="s">
        <v>299</v>
      </c>
      <c r="C264" s="8" t="s">
        <v>299</v>
      </c>
      <c r="D264" s="8" t="s">
        <v>299</v>
      </c>
      <c r="E264" s="8" t="s">
        <v>299</v>
      </c>
      <c r="F264" s="8" t="s">
        <v>299</v>
      </c>
      <c r="G264" s="8" t="s">
        <v>299</v>
      </c>
      <c r="H264" s="8" t="s">
        <v>299</v>
      </c>
    </row>
    <row r="265">
      <c r="A265" s="19"/>
      <c r="B265" s="8" t="s">
        <v>299</v>
      </c>
      <c r="C265" s="8" t="s">
        <v>299</v>
      </c>
      <c r="D265" s="8" t="s">
        <v>299</v>
      </c>
      <c r="E265" s="8" t="s">
        <v>299</v>
      </c>
      <c r="F265" s="8" t="s">
        <v>299</v>
      </c>
      <c r="G265" s="8" t="s">
        <v>299</v>
      </c>
      <c r="H265" s="8" t="s">
        <v>299</v>
      </c>
    </row>
    <row r="266">
      <c r="A266" s="19"/>
      <c r="B266" s="8" t="s">
        <v>299</v>
      </c>
      <c r="C266" s="8" t="s">
        <v>299</v>
      </c>
      <c r="D266" s="8" t="s">
        <v>299</v>
      </c>
      <c r="E266" s="8" t="s">
        <v>299</v>
      </c>
      <c r="F266" s="8" t="s">
        <v>299</v>
      </c>
      <c r="G266" s="8" t="s">
        <v>299</v>
      </c>
      <c r="H266" s="8" t="s">
        <v>299</v>
      </c>
    </row>
    <row r="267">
      <c r="A267" s="19"/>
      <c r="B267" s="8" t="s">
        <v>299</v>
      </c>
      <c r="C267" s="8" t="s">
        <v>299</v>
      </c>
      <c r="D267" s="8" t="s">
        <v>299</v>
      </c>
      <c r="E267" s="8" t="s">
        <v>299</v>
      </c>
      <c r="F267" s="8" t="s">
        <v>299</v>
      </c>
      <c r="G267" s="8" t="s">
        <v>299</v>
      </c>
      <c r="H267" s="8" t="s">
        <v>299</v>
      </c>
    </row>
    <row r="268">
      <c r="A268" s="19"/>
      <c r="B268" s="8" t="s">
        <v>299</v>
      </c>
      <c r="C268" s="8" t="s">
        <v>299</v>
      </c>
      <c r="D268" s="8" t="s">
        <v>299</v>
      </c>
      <c r="E268" s="8" t="s">
        <v>299</v>
      </c>
      <c r="F268" s="8" t="s">
        <v>299</v>
      </c>
      <c r="G268" s="8" t="s">
        <v>299</v>
      </c>
      <c r="H268" s="8" t="s">
        <v>299</v>
      </c>
    </row>
    <row r="269">
      <c r="A269" s="19"/>
      <c r="B269" s="8" t="s">
        <v>299</v>
      </c>
      <c r="C269" s="8" t="s">
        <v>299</v>
      </c>
      <c r="D269" s="8" t="s">
        <v>299</v>
      </c>
      <c r="E269" s="8" t="s">
        <v>299</v>
      </c>
      <c r="F269" s="8" t="s">
        <v>299</v>
      </c>
      <c r="G269" s="8" t="s">
        <v>299</v>
      </c>
      <c r="H269" s="8" t="s">
        <v>299</v>
      </c>
    </row>
    <row r="270">
      <c r="A270" s="19"/>
      <c r="B270" s="8" t="s">
        <v>299</v>
      </c>
      <c r="C270" s="8" t="s">
        <v>299</v>
      </c>
      <c r="D270" s="8" t="s">
        <v>299</v>
      </c>
      <c r="E270" s="8" t="s">
        <v>299</v>
      </c>
      <c r="F270" s="8" t="s">
        <v>299</v>
      </c>
      <c r="G270" s="8" t="s">
        <v>299</v>
      </c>
      <c r="H270" s="8" t="s">
        <v>299</v>
      </c>
    </row>
    <row r="271">
      <c r="A271" s="19"/>
      <c r="B271" s="8" t="s">
        <v>299</v>
      </c>
      <c r="C271" s="8" t="s">
        <v>299</v>
      </c>
      <c r="D271" s="8" t="s">
        <v>299</v>
      </c>
      <c r="E271" s="8" t="s">
        <v>299</v>
      </c>
      <c r="F271" s="8" t="s">
        <v>299</v>
      </c>
      <c r="G271" s="8" t="s">
        <v>299</v>
      </c>
      <c r="H271" s="8" t="s">
        <v>299</v>
      </c>
    </row>
    <row r="272">
      <c r="A272" s="19"/>
      <c r="B272" s="8" t="s">
        <v>299</v>
      </c>
      <c r="C272" s="8" t="s">
        <v>299</v>
      </c>
      <c r="D272" s="8" t="s">
        <v>299</v>
      </c>
      <c r="E272" s="8" t="s">
        <v>299</v>
      </c>
      <c r="F272" s="8" t="s">
        <v>299</v>
      </c>
      <c r="G272" s="8" t="s">
        <v>299</v>
      </c>
      <c r="H272" s="8" t="s">
        <v>299</v>
      </c>
    </row>
    <row r="273">
      <c r="A273" s="19"/>
      <c r="B273" s="8" t="s">
        <v>299</v>
      </c>
      <c r="C273" s="8" t="s">
        <v>299</v>
      </c>
      <c r="D273" s="8" t="s">
        <v>299</v>
      </c>
      <c r="E273" s="8" t="s">
        <v>299</v>
      </c>
      <c r="F273" s="8" t="s">
        <v>299</v>
      </c>
      <c r="G273" s="8" t="s">
        <v>299</v>
      </c>
      <c r="H273" s="8" t="s">
        <v>299</v>
      </c>
    </row>
    <row r="274">
      <c r="A274" s="19"/>
      <c r="B274" s="8" t="s">
        <v>299</v>
      </c>
      <c r="C274" s="8" t="s">
        <v>299</v>
      </c>
      <c r="D274" s="8" t="s">
        <v>299</v>
      </c>
      <c r="E274" s="8" t="s">
        <v>299</v>
      </c>
      <c r="F274" s="8" t="s">
        <v>299</v>
      </c>
      <c r="G274" s="8" t="s">
        <v>299</v>
      </c>
      <c r="H274" s="8" t="s">
        <v>299</v>
      </c>
    </row>
    <row r="275">
      <c r="A275" s="19"/>
      <c r="B275" s="8" t="s">
        <v>299</v>
      </c>
      <c r="C275" s="8" t="s">
        <v>299</v>
      </c>
      <c r="D275" s="8" t="s">
        <v>299</v>
      </c>
      <c r="E275" s="8" t="s">
        <v>299</v>
      </c>
      <c r="F275" s="8" t="s">
        <v>299</v>
      </c>
      <c r="G275" s="8" t="s">
        <v>299</v>
      </c>
      <c r="H275" s="8" t="s">
        <v>299</v>
      </c>
    </row>
    <row r="276">
      <c r="A276" s="19"/>
      <c r="B276" s="8" t="s">
        <v>299</v>
      </c>
      <c r="C276" s="8" t="s">
        <v>299</v>
      </c>
      <c r="D276" s="8" t="s">
        <v>299</v>
      </c>
      <c r="E276" s="8" t="s">
        <v>299</v>
      </c>
      <c r="F276" s="8" t="s">
        <v>299</v>
      </c>
      <c r="G276" s="8" t="s">
        <v>299</v>
      </c>
      <c r="H276" s="8" t="s">
        <v>299</v>
      </c>
    </row>
    <row r="277">
      <c r="A277" s="19"/>
      <c r="B277" s="8" t="s">
        <v>299</v>
      </c>
      <c r="C277" s="8" t="s">
        <v>299</v>
      </c>
      <c r="D277" s="8" t="s">
        <v>299</v>
      </c>
      <c r="E277" s="8" t="s">
        <v>299</v>
      </c>
      <c r="F277" s="8" t="s">
        <v>299</v>
      </c>
      <c r="G277" s="8" t="s">
        <v>299</v>
      </c>
      <c r="H277" s="8" t="s">
        <v>299</v>
      </c>
    </row>
    <row r="278">
      <c r="A278" s="19"/>
      <c r="B278" s="8" t="s">
        <v>299</v>
      </c>
      <c r="C278" s="8" t="s">
        <v>299</v>
      </c>
      <c r="D278" s="8" t="s">
        <v>299</v>
      </c>
      <c r="E278" s="8" t="s">
        <v>299</v>
      </c>
      <c r="F278" s="8" t="s">
        <v>299</v>
      </c>
      <c r="G278" s="8" t="s">
        <v>299</v>
      </c>
      <c r="H278" s="8" t="s">
        <v>299</v>
      </c>
    </row>
    <row r="279">
      <c r="A279" s="19"/>
      <c r="B279" s="8" t="s">
        <v>299</v>
      </c>
      <c r="C279" s="8" t="s">
        <v>299</v>
      </c>
      <c r="D279" s="8" t="s">
        <v>299</v>
      </c>
      <c r="E279" s="8" t="s">
        <v>299</v>
      </c>
      <c r="F279" s="8" t="s">
        <v>299</v>
      </c>
      <c r="G279" s="8" t="s">
        <v>299</v>
      </c>
      <c r="H279" s="8" t="s">
        <v>299</v>
      </c>
    </row>
    <row r="280">
      <c r="A280" s="19"/>
      <c r="B280" s="8" t="s">
        <v>299</v>
      </c>
      <c r="C280" s="8" t="s">
        <v>299</v>
      </c>
      <c r="D280" s="8" t="s">
        <v>299</v>
      </c>
      <c r="E280" s="8" t="s">
        <v>299</v>
      </c>
      <c r="F280" s="8" t="s">
        <v>299</v>
      </c>
      <c r="G280" s="8" t="s">
        <v>299</v>
      </c>
      <c r="H280" s="8" t="s">
        <v>299</v>
      </c>
    </row>
    <row r="281">
      <c r="A281" s="19"/>
      <c r="B281" s="8" t="s">
        <v>299</v>
      </c>
      <c r="C281" s="8" t="s">
        <v>299</v>
      </c>
      <c r="D281" s="8" t="s">
        <v>299</v>
      </c>
      <c r="E281" s="8" t="s">
        <v>299</v>
      </c>
      <c r="F281" s="8" t="s">
        <v>299</v>
      </c>
      <c r="G281" s="8" t="s">
        <v>299</v>
      </c>
      <c r="H281" s="8" t="s">
        <v>299</v>
      </c>
    </row>
    <row r="282">
      <c r="A282" s="19"/>
      <c r="B282" s="8" t="s">
        <v>299</v>
      </c>
      <c r="C282" s="8" t="s">
        <v>299</v>
      </c>
      <c r="D282" s="8" t="s">
        <v>299</v>
      </c>
      <c r="E282" s="8" t="s">
        <v>299</v>
      </c>
      <c r="F282" s="8" t="s">
        <v>299</v>
      </c>
      <c r="G282" s="8" t="s">
        <v>299</v>
      </c>
      <c r="H282" s="8" t="s">
        <v>299</v>
      </c>
    </row>
    <row r="283">
      <c r="A283" s="19"/>
      <c r="B283" s="8" t="s">
        <v>299</v>
      </c>
      <c r="C283" s="8" t="s">
        <v>299</v>
      </c>
      <c r="D283" s="8" t="s">
        <v>299</v>
      </c>
      <c r="E283" s="8" t="s">
        <v>299</v>
      </c>
      <c r="F283" s="8" t="s">
        <v>299</v>
      </c>
      <c r="G283" s="8" t="s">
        <v>299</v>
      </c>
      <c r="H283" s="8" t="s">
        <v>299</v>
      </c>
    </row>
    <row r="284">
      <c r="A284" s="19"/>
      <c r="B284" s="8" t="s">
        <v>299</v>
      </c>
      <c r="C284" s="8" t="s">
        <v>299</v>
      </c>
      <c r="D284" s="8" t="s">
        <v>299</v>
      </c>
      <c r="E284" s="8" t="s">
        <v>299</v>
      </c>
      <c r="F284" s="8" t="s">
        <v>299</v>
      </c>
      <c r="G284" s="8" t="s">
        <v>299</v>
      </c>
      <c r="H284" s="8" t="s">
        <v>299</v>
      </c>
    </row>
    <row r="285">
      <c r="A285" s="19"/>
      <c r="B285" s="8" t="s">
        <v>299</v>
      </c>
      <c r="C285" s="8" t="s">
        <v>299</v>
      </c>
      <c r="D285" s="8" t="s">
        <v>299</v>
      </c>
      <c r="E285" s="8" t="s">
        <v>299</v>
      </c>
      <c r="F285" s="8" t="s">
        <v>299</v>
      </c>
      <c r="G285" s="8" t="s">
        <v>299</v>
      </c>
      <c r="H285" s="8" t="s">
        <v>299</v>
      </c>
    </row>
    <row r="286">
      <c r="A286" s="19"/>
      <c r="B286" s="8" t="s">
        <v>299</v>
      </c>
      <c r="C286" s="8" t="s">
        <v>299</v>
      </c>
      <c r="D286" s="8" t="s">
        <v>299</v>
      </c>
      <c r="E286" s="8" t="s">
        <v>299</v>
      </c>
      <c r="F286" s="8" t="s">
        <v>299</v>
      </c>
      <c r="G286" s="8" t="s">
        <v>299</v>
      </c>
      <c r="H286" s="8" t="s">
        <v>299</v>
      </c>
    </row>
    <row r="287">
      <c r="A287" s="19"/>
      <c r="B287" s="8" t="s">
        <v>299</v>
      </c>
      <c r="C287" s="8" t="s">
        <v>299</v>
      </c>
      <c r="D287" s="8" t="s">
        <v>299</v>
      </c>
      <c r="E287" s="8" t="s">
        <v>299</v>
      </c>
      <c r="F287" s="8" t="s">
        <v>299</v>
      </c>
      <c r="G287" s="8" t="s">
        <v>299</v>
      </c>
      <c r="H287" s="8" t="s">
        <v>299</v>
      </c>
    </row>
    <row r="288">
      <c r="A288" s="19"/>
      <c r="B288" s="8" t="s">
        <v>299</v>
      </c>
      <c r="C288" s="8" t="s">
        <v>299</v>
      </c>
      <c r="D288" s="8" t="s">
        <v>299</v>
      </c>
      <c r="E288" s="8" t="s">
        <v>299</v>
      </c>
      <c r="F288" s="8" t="s">
        <v>299</v>
      </c>
      <c r="G288" s="8" t="s">
        <v>299</v>
      </c>
      <c r="H288" s="8" t="s">
        <v>299</v>
      </c>
    </row>
    <row r="289">
      <c r="A289" s="19"/>
      <c r="B289" s="8" t="s">
        <v>299</v>
      </c>
      <c r="C289" s="8" t="s">
        <v>299</v>
      </c>
      <c r="D289" s="8" t="s">
        <v>299</v>
      </c>
      <c r="E289" s="8" t="s">
        <v>299</v>
      </c>
      <c r="F289" s="8" t="s">
        <v>299</v>
      </c>
      <c r="G289" s="8" t="s">
        <v>299</v>
      </c>
      <c r="H289" s="8" t="s">
        <v>299</v>
      </c>
    </row>
    <row r="290">
      <c r="A290" s="19"/>
      <c r="B290" s="8" t="s">
        <v>299</v>
      </c>
      <c r="C290" s="8" t="s">
        <v>299</v>
      </c>
      <c r="D290" s="8" t="s">
        <v>299</v>
      </c>
      <c r="E290" s="8" t="s">
        <v>299</v>
      </c>
      <c r="F290" s="8" t="s">
        <v>299</v>
      </c>
      <c r="G290" s="8" t="s">
        <v>299</v>
      </c>
      <c r="H290" s="8" t="s">
        <v>299</v>
      </c>
    </row>
    <row r="291">
      <c r="A291" s="19"/>
      <c r="B291" s="8" t="s">
        <v>299</v>
      </c>
      <c r="C291" s="8" t="s">
        <v>299</v>
      </c>
      <c r="D291" s="8" t="s">
        <v>299</v>
      </c>
      <c r="E291" s="8" t="s">
        <v>299</v>
      </c>
      <c r="F291" s="8" t="s">
        <v>299</v>
      </c>
      <c r="G291" s="8" t="s">
        <v>299</v>
      </c>
      <c r="H291" s="8" t="s">
        <v>299</v>
      </c>
    </row>
    <row r="292">
      <c r="A292" s="19"/>
      <c r="B292" s="8" t="s">
        <v>299</v>
      </c>
      <c r="C292" s="8" t="s">
        <v>299</v>
      </c>
      <c r="D292" s="8" t="s">
        <v>299</v>
      </c>
      <c r="E292" s="8" t="s">
        <v>299</v>
      </c>
      <c r="F292" s="8" t="s">
        <v>299</v>
      </c>
      <c r="G292" s="8" t="s">
        <v>299</v>
      </c>
      <c r="H292" s="8" t="s">
        <v>299</v>
      </c>
    </row>
    <row r="293">
      <c r="A293" s="19"/>
      <c r="B293" s="8" t="s">
        <v>299</v>
      </c>
      <c r="C293" s="8" t="s">
        <v>299</v>
      </c>
      <c r="D293" s="8" t="s">
        <v>299</v>
      </c>
      <c r="E293" s="8" t="s">
        <v>299</v>
      </c>
      <c r="F293" s="8" t="s">
        <v>299</v>
      </c>
      <c r="G293" s="8" t="s">
        <v>299</v>
      </c>
      <c r="H293" s="8" t="s">
        <v>299</v>
      </c>
    </row>
    <row r="294">
      <c r="A294" s="19"/>
      <c r="B294" s="8" t="s">
        <v>299</v>
      </c>
      <c r="C294" s="8" t="s">
        <v>299</v>
      </c>
      <c r="D294" s="8" t="s">
        <v>299</v>
      </c>
      <c r="E294" s="8" t="s">
        <v>299</v>
      </c>
      <c r="F294" s="8" t="s">
        <v>299</v>
      </c>
      <c r="G294" s="8" t="s">
        <v>299</v>
      </c>
      <c r="H294" s="8" t="s">
        <v>299</v>
      </c>
    </row>
    <row r="295">
      <c r="A295" s="19"/>
      <c r="B295" s="8" t="s">
        <v>299</v>
      </c>
      <c r="C295" s="8" t="s">
        <v>299</v>
      </c>
      <c r="D295" s="8" t="s">
        <v>299</v>
      </c>
      <c r="E295" s="8" t="s">
        <v>299</v>
      </c>
      <c r="F295" s="8" t="s">
        <v>299</v>
      </c>
      <c r="G295" s="8" t="s">
        <v>299</v>
      </c>
      <c r="H295" s="8" t="s">
        <v>299</v>
      </c>
    </row>
    <row r="296">
      <c r="A296" s="19"/>
      <c r="B296" s="8" t="s">
        <v>299</v>
      </c>
      <c r="C296" s="8" t="s">
        <v>299</v>
      </c>
      <c r="D296" s="8" t="s">
        <v>299</v>
      </c>
      <c r="E296" s="8" t="s">
        <v>299</v>
      </c>
      <c r="F296" s="8" t="s">
        <v>299</v>
      </c>
      <c r="G296" s="8" t="s">
        <v>299</v>
      </c>
      <c r="H296" s="8" t="s">
        <v>299</v>
      </c>
    </row>
    <row r="297">
      <c r="A297" s="19"/>
      <c r="B297" s="8" t="s">
        <v>299</v>
      </c>
      <c r="C297" s="8" t="s">
        <v>299</v>
      </c>
      <c r="D297" s="8" t="s">
        <v>299</v>
      </c>
      <c r="E297" s="8" t="s">
        <v>299</v>
      </c>
      <c r="F297" s="8" t="s">
        <v>299</v>
      </c>
      <c r="G297" s="8" t="s">
        <v>299</v>
      </c>
      <c r="H297" s="8" t="s">
        <v>299</v>
      </c>
    </row>
    <row r="298">
      <c r="A298" s="19"/>
      <c r="B298" s="8" t="s">
        <v>299</v>
      </c>
      <c r="C298" s="8" t="s">
        <v>299</v>
      </c>
      <c r="D298" s="8" t="s">
        <v>299</v>
      </c>
      <c r="E298" s="8" t="s">
        <v>299</v>
      </c>
      <c r="F298" s="8" t="s">
        <v>299</v>
      </c>
      <c r="G298" s="8" t="s">
        <v>299</v>
      </c>
      <c r="H298" s="8" t="s">
        <v>299</v>
      </c>
    </row>
    <row r="299">
      <c r="A299" s="19"/>
      <c r="B299" s="8" t="s">
        <v>299</v>
      </c>
      <c r="C299" s="8" t="s">
        <v>299</v>
      </c>
      <c r="D299" s="8" t="s">
        <v>299</v>
      </c>
      <c r="E299" s="8" t="s">
        <v>299</v>
      </c>
      <c r="F299" s="8" t="s">
        <v>299</v>
      </c>
      <c r="G299" s="8" t="s">
        <v>299</v>
      </c>
      <c r="H299" s="8" t="s">
        <v>299</v>
      </c>
    </row>
    <row r="300">
      <c r="A300" s="19"/>
      <c r="B300" s="8" t="s">
        <v>299</v>
      </c>
      <c r="C300" s="8" t="s">
        <v>299</v>
      </c>
      <c r="D300" s="8" t="s">
        <v>299</v>
      </c>
      <c r="E300" s="8" t="s">
        <v>299</v>
      </c>
      <c r="F300" s="8" t="s">
        <v>299</v>
      </c>
      <c r="G300" s="8" t="s">
        <v>299</v>
      </c>
      <c r="H300" s="8" t="s">
        <v>299</v>
      </c>
    </row>
    <row r="301">
      <c r="A301" s="19"/>
      <c r="B301" s="8" t="s">
        <v>299</v>
      </c>
      <c r="C301" s="8" t="s">
        <v>299</v>
      </c>
      <c r="D301" s="8" t="s">
        <v>299</v>
      </c>
      <c r="E301" s="8" t="s">
        <v>299</v>
      </c>
      <c r="F301" s="8" t="s">
        <v>299</v>
      </c>
      <c r="G301" s="8" t="s">
        <v>299</v>
      </c>
      <c r="H301" s="8" t="s">
        <v>299</v>
      </c>
    </row>
    <row r="302">
      <c r="A302" s="19"/>
      <c r="B302" s="8" t="s">
        <v>299</v>
      </c>
      <c r="C302" s="8" t="s">
        <v>299</v>
      </c>
      <c r="D302" s="8" t="s">
        <v>299</v>
      </c>
      <c r="E302" s="8" t="s">
        <v>299</v>
      </c>
      <c r="F302" s="8" t="s">
        <v>299</v>
      </c>
      <c r="G302" s="8" t="s">
        <v>299</v>
      </c>
      <c r="H302" s="8" t="s">
        <v>299</v>
      </c>
    </row>
    <row r="303">
      <c r="A303" s="19"/>
      <c r="B303" s="8" t="s">
        <v>299</v>
      </c>
      <c r="C303" s="8" t="s">
        <v>299</v>
      </c>
      <c r="D303" s="8" t="s">
        <v>299</v>
      </c>
      <c r="E303" s="8" t="s">
        <v>299</v>
      </c>
      <c r="F303" s="8" t="s">
        <v>299</v>
      </c>
      <c r="G303" s="8" t="s">
        <v>299</v>
      </c>
      <c r="H303" s="8" t="s">
        <v>299</v>
      </c>
    </row>
    <row r="304">
      <c r="A304" s="19"/>
      <c r="B304" s="8" t="s">
        <v>299</v>
      </c>
      <c r="C304" s="8" t="s">
        <v>299</v>
      </c>
      <c r="D304" s="8" t="s">
        <v>299</v>
      </c>
      <c r="E304" s="8" t="s">
        <v>299</v>
      </c>
      <c r="F304" s="8" t="s">
        <v>299</v>
      </c>
      <c r="G304" s="8" t="s">
        <v>299</v>
      </c>
      <c r="H304" s="8" t="s">
        <v>299</v>
      </c>
    </row>
    <row r="305">
      <c r="A305" s="19"/>
      <c r="B305" s="8" t="s">
        <v>299</v>
      </c>
      <c r="C305" s="8" t="s">
        <v>299</v>
      </c>
      <c r="D305" s="8" t="s">
        <v>299</v>
      </c>
      <c r="E305" s="8" t="s">
        <v>299</v>
      </c>
      <c r="F305" s="8" t="s">
        <v>299</v>
      </c>
      <c r="G305" s="8" t="s">
        <v>299</v>
      </c>
      <c r="H305" s="8" t="s">
        <v>299</v>
      </c>
    </row>
    <row r="306">
      <c r="A306" s="19"/>
      <c r="B306" s="8" t="s">
        <v>299</v>
      </c>
      <c r="C306" s="8" t="s">
        <v>299</v>
      </c>
      <c r="D306" s="8" t="s">
        <v>299</v>
      </c>
      <c r="E306" s="8" t="s">
        <v>299</v>
      </c>
      <c r="F306" s="8" t="s">
        <v>299</v>
      </c>
      <c r="G306" s="8" t="s">
        <v>299</v>
      </c>
      <c r="H306" s="8" t="s">
        <v>299</v>
      </c>
    </row>
    <row r="307">
      <c r="A307" s="19"/>
      <c r="B307" s="8" t="s">
        <v>299</v>
      </c>
      <c r="C307" s="8" t="s">
        <v>299</v>
      </c>
      <c r="D307" s="8" t="s">
        <v>299</v>
      </c>
      <c r="E307" s="8" t="s">
        <v>299</v>
      </c>
      <c r="F307" s="8" t="s">
        <v>299</v>
      </c>
      <c r="G307" s="8" t="s">
        <v>299</v>
      </c>
      <c r="H307" s="8" t="s">
        <v>299</v>
      </c>
    </row>
    <row r="308">
      <c r="A308" s="19"/>
      <c r="B308" s="8" t="s">
        <v>299</v>
      </c>
      <c r="C308" s="8" t="s">
        <v>299</v>
      </c>
      <c r="D308" s="8" t="s">
        <v>299</v>
      </c>
      <c r="E308" s="8" t="s">
        <v>299</v>
      </c>
      <c r="F308" s="8" t="s">
        <v>299</v>
      </c>
      <c r="G308" s="8" t="s">
        <v>299</v>
      </c>
      <c r="H308" s="8" t="s">
        <v>299</v>
      </c>
    </row>
    <row r="309">
      <c r="A309" s="19"/>
      <c r="B309" s="8" t="s">
        <v>299</v>
      </c>
      <c r="C309" s="8" t="s">
        <v>299</v>
      </c>
      <c r="D309" s="8" t="s">
        <v>299</v>
      </c>
      <c r="E309" s="8" t="s">
        <v>299</v>
      </c>
      <c r="F309" s="8" t="s">
        <v>299</v>
      </c>
      <c r="G309" s="8" t="s">
        <v>299</v>
      </c>
      <c r="H309" s="8" t="s">
        <v>299</v>
      </c>
    </row>
    <row r="310">
      <c r="A310" s="19"/>
      <c r="B310" s="8" t="s">
        <v>299</v>
      </c>
      <c r="C310" s="8" t="s">
        <v>299</v>
      </c>
      <c r="D310" s="8" t="s">
        <v>299</v>
      </c>
      <c r="E310" s="8" t="s">
        <v>299</v>
      </c>
      <c r="F310" s="8" t="s">
        <v>299</v>
      </c>
      <c r="G310" s="8" t="s">
        <v>299</v>
      </c>
      <c r="H310" s="8" t="s">
        <v>299</v>
      </c>
    </row>
    <row r="311">
      <c r="A311" s="19"/>
      <c r="B311" s="8" t="s">
        <v>299</v>
      </c>
      <c r="C311" s="8" t="s">
        <v>299</v>
      </c>
      <c r="D311" s="8" t="s">
        <v>299</v>
      </c>
      <c r="E311" s="8" t="s">
        <v>299</v>
      </c>
      <c r="F311" s="8" t="s">
        <v>299</v>
      </c>
      <c r="G311" s="8" t="s">
        <v>299</v>
      </c>
      <c r="H311" s="8" t="s">
        <v>299</v>
      </c>
    </row>
    <row r="312">
      <c r="A312" s="19"/>
      <c r="B312" s="8" t="s">
        <v>299</v>
      </c>
      <c r="C312" s="8" t="s">
        <v>299</v>
      </c>
      <c r="D312" s="8" t="s">
        <v>299</v>
      </c>
      <c r="E312" s="8" t="s">
        <v>299</v>
      </c>
      <c r="F312" s="8" t="s">
        <v>299</v>
      </c>
      <c r="G312" s="8" t="s">
        <v>299</v>
      </c>
      <c r="H312" s="8" t="s">
        <v>299</v>
      </c>
    </row>
    <row r="313">
      <c r="A313" s="19"/>
      <c r="B313" s="8" t="s">
        <v>299</v>
      </c>
      <c r="C313" s="8" t="s">
        <v>299</v>
      </c>
      <c r="D313" s="8" t="s">
        <v>299</v>
      </c>
      <c r="E313" s="8" t="s">
        <v>299</v>
      </c>
      <c r="F313" s="8" t="s">
        <v>299</v>
      </c>
      <c r="G313" s="8" t="s">
        <v>299</v>
      </c>
      <c r="H313" s="8" t="s">
        <v>299</v>
      </c>
    </row>
    <row r="314">
      <c r="A314" s="19"/>
      <c r="B314" s="8" t="s">
        <v>299</v>
      </c>
      <c r="C314" s="8" t="s">
        <v>299</v>
      </c>
      <c r="D314" s="8" t="s">
        <v>299</v>
      </c>
      <c r="E314" s="8" t="s">
        <v>299</v>
      </c>
      <c r="F314" s="8" t="s">
        <v>299</v>
      </c>
      <c r="G314" s="8" t="s">
        <v>299</v>
      </c>
      <c r="H314" s="8" t="s">
        <v>299</v>
      </c>
    </row>
    <row r="315">
      <c r="A315" s="19"/>
      <c r="B315" s="8" t="s">
        <v>299</v>
      </c>
      <c r="C315" s="8" t="s">
        <v>299</v>
      </c>
      <c r="D315" s="8" t="s">
        <v>299</v>
      </c>
      <c r="E315" s="8" t="s">
        <v>299</v>
      </c>
      <c r="F315" s="8" t="s">
        <v>299</v>
      </c>
      <c r="G315" s="8" t="s">
        <v>299</v>
      </c>
      <c r="H315" s="8" t="s">
        <v>299</v>
      </c>
    </row>
    <row r="316">
      <c r="A316" s="19"/>
      <c r="B316" s="8" t="s">
        <v>299</v>
      </c>
      <c r="C316" s="8" t="s">
        <v>299</v>
      </c>
      <c r="D316" s="8" t="s">
        <v>299</v>
      </c>
      <c r="E316" s="8" t="s">
        <v>299</v>
      </c>
      <c r="F316" s="8" t="s">
        <v>299</v>
      </c>
      <c r="G316" s="8" t="s">
        <v>299</v>
      </c>
      <c r="H316" s="8" t="s">
        <v>299</v>
      </c>
    </row>
    <row r="317">
      <c r="A317" s="19"/>
      <c r="B317" s="8" t="s">
        <v>299</v>
      </c>
      <c r="C317" s="8" t="s">
        <v>299</v>
      </c>
      <c r="D317" s="8" t="s">
        <v>299</v>
      </c>
      <c r="E317" s="8" t="s">
        <v>299</v>
      </c>
      <c r="F317" s="8" t="s">
        <v>299</v>
      </c>
      <c r="G317" s="8" t="s">
        <v>299</v>
      </c>
      <c r="H317" s="8" t="s">
        <v>299</v>
      </c>
    </row>
    <row r="318">
      <c r="A318" s="19"/>
      <c r="B318" s="8" t="s">
        <v>299</v>
      </c>
      <c r="C318" s="8" t="s">
        <v>299</v>
      </c>
      <c r="D318" s="8" t="s">
        <v>299</v>
      </c>
      <c r="E318" s="8" t="s">
        <v>299</v>
      </c>
      <c r="F318" s="8" t="s">
        <v>299</v>
      </c>
      <c r="G318" s="8" t="s">
        <v>299</v>
      </c>
      <c r="H318" s="8" t="s">
        <v>299</v>
      </c>
    </row>
    <row r="319">
      <c r="A319" s="19"/>
      <c r="B319" s="8" t="s">
        <v>299</v>
      </c>
      <c r="C319" s="8" t="s">
        <v>299</v>
      </c>
      <c r="D319" s="8" t="s">
        <v>299</v>
      </c>
      <c r="E319" s="8" t="s">
        <v>299</v>
      </c>
      <c r="F319" s="8" t="s">
        <v>299</v>
      </c>
      <c r="G319" s="8" t="s">
        <v>299</v>
      </c>
      <c r="H319" s="8" t="s">
        <v>299</v>
      </c>
    </row>
    <row r="320">
      <c r="A320" s="19"/>
      <c r="B320" s="8" t="s">
        <v>299</v>
      </c>
      <c r="C320" s="8" t="s">
        <v>299</v>
      </c>
      <c r="D320" s="8" t="s">
        <v>299</v>
      </c>
      <c r="E320" s="8" t="s">
        <v>299</v>
      </c>
      <c r="F320" s="8" t="s">
        <v>299</v>
      </c>
      <c r="G320" s="8" t="s">
        <v>299</v>
      </c>
      <c r="H320" s="8" t="s">
        <v>299</v>
      </c>
    </row>
    <row r="321">
      <c r="A321" s="19"/>
      <c r="B321" s="8" t="s">
        <v>299</v>
      </c>
      <c r="C321" s="8" t="s">
        <v>299</v>
      </c>
      <c r="D321" s="8" t="s">
        <v>299</v>
      </c>
      <c r="E321" s="8" t="s">
        <v>299</v>
      </c>
      <c r="F321" s="8" t="s">
        <v>299</v>
      </c>
      <c r="G321" s="8" t="s">
        <v>299</v>
      </c>
      <c r="H321" s="8" t="s">
        <v>299</v>
      </c>
    </row>
    <row r="322">
      <c r="A322" s="19"/>
      <c r="B322" s="8" t="s">
        <v>299</v>
      </c>
      <c r="C322" s="8" t="s">
        <v>299</v>
      </c>
      <c r="D322" s="8" t="s">
        <v>299</v>
      </c>
      <c r="E322" s="8" t="s">
        <v>299</v>
      </c>
      <c r="F322" s="8" t="s">
        <v>299</v>
      </c>
      <c r="G322" s="8" t="s">
        <v>299</v>
      </c>
      <c r="H322" s="8" t="s">
        <v>299</v>
      </c>
    </row>
    <row r="323">
      <c r="A323" s="19"/>
      <c r="B323" s="8" t="s">
        <v>299</v>
      </c>
      <c r="C323" s="8" t="s">
        <v>299</v>
      </c>
      <c r="D323" s="8" t="s">
        <v>299</v>
      </c>
      <c r="E323" s="8" t="s">
        <v>299</v>
      </c>
      <c r="F323" s="8" t="s">
        <v>299</v>
      </c>
      <c r="G323" s="8" t="s">
        <v>299</v>
      </c>
      <c r="H323" s="8" t="s">
        <v>299</v>
      </c>
    </row>
    <row r="324">
      <c r="A324" s="19"/>
      <c r="B324" s="8" t="s">
        <v>299</v>
      </c>
      <c r="C324" s="8" t="s">
        <v>299</v>
      </c>
      <c r="D324" s="8" t="s">
        <v>299</v>
      </c>
      <c r="E324" s="8" t="s">
        <v>299</v>
      </c>
      <c r="F324" s="8" t="s">
        <v>299</v>
      </c>
      <c r="G324" s="8" t="s">
        <v>299</v>
      </c>
      <c r="H324" s="8" t="s">
        <v>299</v>
      </c>
    </row>
    <row r="325">
      <c r="A325" s="19"/>
      <c r="B325" s="8" t="s">
        <v>299</v>
      </c>
      <c r="C325" s="8" t="s">
        <v>299</v>
      </c>
      <c r="D325" s="8" t="s">
        <v>299</v>
      </c>
      <c r="E325" s="8" t="s">
        <v>299</v>
      </c>
      <c r="F325" s="8" t="s">
        <v>299</v>
      </c>
      <c r="G325" s="8" t="s">
        <v>299</v>
      </c>
      <c r="H325" s="8" t="s">
        <v>299</v>
      </c>
    </row>
    <row r="326">
      <c r="A326" s="19"/>
      <c r="B326" s="8" t="s">
        <v>299</v>
      </c>
      <c r="C326" s="8" t="s">
        <v>299</v>
      </c>
      <c r="D326" s="8" t="s">
        <v>299</v>
      </c>
      <c r="E326" s="8" t="s">
        <v>299</v>
      </c>
      <c r="F326" s="8" t="s">
        <v>299</v>
      </c>
      <c r="G326" s="8" t="s">
        <v>299</v>
      </c>
      <c r="H326" s="8" t="s">
        <v>299</v>
      </c>
    </row>
    <row r="327">
      <c r="A327" s="19"/>
      <c r="B327" s="8" t="s">
        <v>299</v>
      </c>
      <c r="C327" s="8" t="s">
        <v>299</v>
      </c>
      <c r="D327" s="8" t="s">
        <v>299</v>
      </c>
      <c r="E327" s="8" t="s">
        <v>299</v>
      </c>
      <c r="F327" s="8" t="s">
        <v>299</v>
      </c>
      <c r="G327" s="8" t="s">
        <v>299</v>
      </c>
      <c r="H327" s="8" t="s">
        <v>299</v>
      </c>
    </row>
    <row r="328">
      <c r="A328" s="19"/>
      <c r="B328" s="8" t="s">
        <v>299</v>
      </c>
      <c r="C328" s="8" t="s">
        <v>299</v>
      </c>
      <c r="D328" s="8" t="s">
        <v>299</v>
      </c>
      <c r="E328" s="8" t="s">
        <v>299</v>
      </c>
      <c r="F328" s="8" t="s">
        <v>299</v>
      </c>
      <c r="G328" s="8" t="s">
        <v>299</v>
      </c>
      <c r="H328" s="8" t="s">
        <v>299</v>
      </c>
    </row>
    <row r="329">
      <c r="A329" s="19"/>
      <c r="B329" s="8" t="s">
        <v>299</v>
      </c>
      <c r="C329" s="8" t="s">
        <v>299</v>
      </c>
      <c r="D329" s="8" t="s">
        <v>299</v>
      </c>
      <c r="E329" s="8" t="s">
        <v>299</v>
      </c>
      <c r="F329" s="8" t="s">
        <v>299</v>
      </c>
      <c r="G329" s="8" t="s">
        <v>299</v>
      </c>
      <c r="H329" s="8" t="s">
        <v>299</v>
      </c>
    </row>
    <row r="330">
      <c r="A330" s="19"/>
      <c r="B330" s="8" t="s">
        <v>299</v>
      </c>
      <c r="C330" s="8" t="s">
        <v>299</v>
      </c>
      <c r="D330" s="8" t="s">
        <v>299</v>
      </c>
      <c r="E330" s="8" t="s">
        <v>299</v>
      </c>
      <c r="F330" s="8" t="s">
        <v>299</v>
      </c>
      <c r="G330" s="8" t="s">
        <v>299</v>
      </c>
      <c r="H330" s="8" t="s">
        <v>299</v>
      </c>
    </row>
    <row r="331">
      <c r="A331" s="19"/>
      <c r="B331" s="8" t="s">
        <v>299</v>
      </c>
      <c r="C331" s="8" t="s">
        <v>299</v>
      </c>
      <c r="D331" s="8" t="s">
        <v>299</v>
      </c>
      <c r="E331" s="8" t="s">
        <v>299</v>
      </c>
      <c r="F331" s="8" t="s">
        <v>299</v>
      </c>
      <c r="G331" s="8" t="s">
        <v>299</v>
      </c>
      <c r="H331" s="8" t="s">
        <v>299</v>
      </c>
    </row>
    <row r="332">
      <c r="A332" s="19"/>
      <c r="B332" s="8" t="s">
        <v>299</v>
      </c>
      <c r="C332" s="8" t="s">
        <v>299</v>
      </c>
      <c r="D332" s="8" t="s">
        <v>299</v>
      </c>
      <c r="E332" s="8" t="s">
        <v>299</v>
      </c>
      <c r="F332" s="8" t="s">
        <v>299</v>
      </c>
      <c r="G332" s="8" t="s">
        <v>299</v>
      </c>
      <c r="H332" s="8" t="s">
        <v>299</v>
      </c>
    </row>
    <row r="333">
      <c r="A333" s="19"/>
      <c r="B333" s="8" t="s">
        <v>299</v>
      </c>
      <c r="C333" s="8" t="s">
        <v>299</v>
      </c>
      <c r="D333" s="8" t="s">
        <v>299</v>
      </c>
      <c r="E333" s="8" t="s">
        <v>299</v>
      </c>
      <c r="F333" s="8" t="s">
        <v>299</v>
      </c>
      <c r="G333" s="8" t="s">
        <v>299</v>
      </c>
      <c r="H333" s="8" t="s">
        <v>299</v>
      </c>
    </row>
    <row r="334">
      <c r="A334" s="19"/>
      <c r="B334" s="8" t="s">
        <v>299</v>
      </c>
      <c r="C334" s="8" t="s">
        <v>299</v>
      </c>
      <c r="D334" s="8" t="s">
        <v>299</v>
      </c>
      <c r="E334" s="8" t="s">
        <v>299</v>
      </c>
      <c r="F334" s="8" t="s">
        <v>299</v>
      </c>
      <c r="G334" s="8" t="s">
        <v>299</v>
      </c>
      <c r="H334" s="8" t="s">
        <v>299</v>
      </c>
    </row>
    <row r="335">
      <c r="A335" s="19"/>
      <c r="B335" s="8" t="s">
        <v>299</v>
      </c>
      <c r="C335" s="8" t="s">
        <v>299</v>
      </c>
      <c r="D335" s="8" t="s">
        <v>299</v>
      </c>
      <c r="E335" s="8" t="s">
        <v>299</v>
      </c>
      <c r="F335" s="8" t="s">
        <v>299</v>
      </c>
      <c r="G335" s="8" t="s">
        <v>299</v>
      </c>
      <c r="H335" s="8" t="s">
        <v>299</v>
      </c>
    </row>
    <row r="336">
      <c r="A336" s="19"/>
      <c r="B336" s="8" t="s">
        <v>299</v>
      </c>
      <c r="C336" s="8" t="s">
        <v>299</v>
      </c>
      <c r="D336" s="8" t="s">
        <v>299</v>
      </c>
      <c r="E336" s="8" t="s">
        <v>299</v>
      </c>
      <c r="F336" s="8" t="s">
        <v>299</v>
      </c>
      <c r="G336" s="8" t="s">
        <v>299</v>
      </c>
      <c r="H336" s="8" t="s">
        <v>299</v>
      </c>
    </row>
    <row r="337">
      <c r="A337" s="19"/>
      <c r="B337" s="8" t="s">
        <v>299</v>
      </c>
      <c r="C337" s="8" t="s">
        <v>299</v>
      </c>
      <c r="D337" s="8" t="s">
        <v>299</v>
      </c>
      <c r="E337" s="8" t="s">
        <v>299</v>
      </c>
      <c r="F337" s="8" t="s">
        <v>299</v>
      </c>
      <c r="G337" s="8" t="s">
        <v>299</v>
      </c>
      <c r="H337" s="8" t="s">
        <v>299</v>
      </c>
    </row>
    <row r="338">
      <c r="A338" s="19"/>
      <c r="B338" s="8" t="s">
        <v>299</v>
      </c>
      <c r="C338" s="8" t="s">
        <v>299</v>
      </c>
      <c r="D338" s="8" t="s">
        <v>299</v>
      </c>
      <c r="E338" s="8" t="s">
        <v>299</v>
      </c>
      <c r="F338" s="8" t="s">
        <v>299</v>
      </c>
      <c r="G338" s="8" t="s">
        <v>299</v>
      </c>
      <c r="H338" s="8" t="s">
        <v>299</v>
      </c>
    </row>
    <row r="339">
      <c r="A339" s="19"/>
      <c r="B339" s="8" t="s">
        <v>299</v>
      </c>
      <c r="C339" s="8" t="s">
        <v>299</v>
      </c>
      <c r="D339" s="8" t="s">
        <v>299</v>
      </c>
      <c r="E339" s="8" t="s">
        <v>299</v>
      </c>
      <c r="F339" s="8" t="s">
        <v>299</v>
      </c>
      <c r="G339" s="8" t="s">
        <v>299</v>
      </c>
      <c r="H339" s="8" t="s">
        <v>299</v>
      </c>
    </row>
    <row r="340">
      <c r="A340" s="19"/>
      <c r="B340" s="8" t="s">
        <v>299</v>
      </c>
      <c r="C340" s="8" t="s">
        <v>299</v>
      </c>
      <c r="D340" s="8" t="s">
        <v>299</v>
      </c>
      <c r="E340" s="8" t="s">
        <v>299</v>
      </c>
      <c r="F340" s="8" t="s">
        <v>299</v>
      </c>
      <c r="G340" s="8" t="s">
        <v>299</v>
      </c>
      <c r="H340" s="8" t="s">
        <v>299</v>
      </c>
    </row>
    <row r="341">
      <c r="A341" s="19"/>
      <c r="B341" s="8" t="s">
        <v>299</v>
      </c>
      <c r="C341" s="8" t="s">
        <v>299</v>
      </c>
      <c r="D341" s="8" t="s">
        <v>299</v>
      </c>
      <c r="E341" s="8" t="s">
        <v>299</v>
      </c>
      <c r="F341" s="8" t="s">
        <v>299</v>
      </c>
      <c r="G341" s="8" t="s">
        <v>299</v>
      </c>
      <c r="H341" s="8" t="s">
        <v>299</v>
      </c>
    </row>
    <row r="342">
      <c r="A342" s="19"/>
      <c r="B342" s="8" t="s">
        <v>299</v>
      </c>
      <c r="C342" s="8" t="s">
        <v>299</v>
      </c>
      <c r="D342" s="8" t="s">
        <v>299</v>
      </c>
      <c r="E342" s="8" t="s">
        <v>299</v>
      </c>
      <c r="F342" s="8" t="s">
        <v>299</v>
      </c>
      <c r="G342" s="8" t="s">
        <v>299</v>
      </c>
      <c r="H342" s="8" t="s">
        <v>299</v>
      </c>
    </row>
    <row r="343">
      <c r="A343" s="19"/>
      <c r="B343" s="8" t="s">
        <v>299</v>
      </c>
      <c r="C343" s="8" t="s">
        <v>299</v>
      </c>
      <c r="D343" s="8" t="s">
        <v>299</v>
      </c>
      <c r="E343" s="8" t="s">
        <v>299</v>
      </c>
      <c r="F343" s="8" t="s">
        <v>299</v>
      </c>
      <c r="G343" s="8" t="s">
        <v>299</v>
      </c>
      <c r="H343" s="8" t="s">
        <v>299</v>
      </c>
    </row>
    <row r="344">
      <c r="A344" s="19"/>
      <c r="B344" s="8" t="s">
        <v>299</v>
      </c>
      <c r="C344" s="8" t="s">
        <v>299</v>
      </c>
      <c r="D344" s="8" t="s">
        <v>299</v>
      </c>
      <c r="E344" s="8" t="s">
        <v>299</v>
      </c>
      <c r="F344" s="8" t="s">
        <v>299</v>
      </c>
      <c r="G344" s="8" t="s">
        <v>299</v>
      </c>
      <c r="H344" s="8" t="s">
        <v>299</v>
      </c>
    </row>
    <row r="345">
      <c r="A345" s="19"/>
      <c r="B345" s="8" t="s">
        <v>299</v>
      </c>
      <c r="C345" s="8" t="s">
        <v>299</v>
      </c>
      <c r="D345" s="8" t="s">
        <v>299</v>
      </c>
      <c r="E345" s="8" t="s">
        <v>299</v>
      </c>
      <c r="F345" s="8" t="s">
        <v>299</v>
      </c>
      <c r="G345" s="8" t="s">
        <v>299</v>
      </c>
      <c r="H345" s="8" t="s">
        <v>299</v>
      </c>
    </row>
    <row r="346">
      <c r="A346" s="19"/>
      <c r="B346" s="8" t="s">
        <v>299</v>
      </c>
      <c r="C346" s="8" t="s">
        <v>299</v>
      </c>
      <c r="D346" s="8" t="s">
        <v>299</v>
      </c>
      <c r="E346" s="8" t="s">
        <v>299</v>
      </c>
      <c r="F346" s="8" t="s">
        <v>299</v>
      </c>
      <c r="G346" s="8" t="s">
        <v>299</v>
      </c>
      <c r="H346" s="8" t="s">
        <v>299</v>
      </c>
    </row>
    <row r="347">
      <c r="A347" s="19"/>
      <c r="B347" s="8" t="s">
        <v>299</v>
      </c>
      <c r="C347" s="8" t="s">
        <v>299</v>
      </c>
      <c r="D347" s="8" t="s">
        <v>299</v>
      </c>
      <c r="E347" s="8" t="s">
        <v>299</v>
      </c>
      <c r="F347" s="8" t="s">
        <v>299</v>
      </c>
      <c r="G347" s="8" t="s">
        <v>299</v>
      </c>
      <c r="H347" s="8" t="s">
        <v>299</v>
      </c>
    </row>
    <row r="348">
      <c r="A348" s="19"/>
      <c r="B348" s="8" t="s">
        <v>299</v>
      </c>
      <c r="C348" s="8" t="s">
        <v>299</v>
      </c>
      <c r="D348" s="8" t="s">
        <v>299</v>
      </c>
      <c r="E348" s="8" t="s">
        <v>299</v>
      </c>
      <c r="F348" s="8" t="s">
        <v>299</v>
      </c>
      <c r="G348" s="8" t="s">
        <v>299</v>
      </c>
      <c r="H348" s="8" t="s">
        <v>299</v>
      </c>
    </row>
    <row r="349">
      <c r="A349" s="19"/>
      <c r="B349" s="8" t="s">
        <v>299</v>
      </c>
      <c r="C349" s="8" t="s">
        <v>299</v>
      </c>
      <c r="D349" s="8" t="s">
        <v>299</v>
      </c>
      <c r="E349" s="8" t="s">
        <v>299</v>
      </c>
      <c r="F349" s="8" t="s">
        <v>299</v>
      </c>
      <c r="G349" s="8" t="s">
        <v>299</v>
      </c>
      <c r="H349" s="8" t="s">
        <v>299</v>
      </c>
    </row>
    <row r="350">
      <c r="A350" s="19"/>
      <c r="B350" s="8" t="s">
        <v>299</v>
      </c>
      <c r="C350" s="8" t="s">
        <v>299</v>
      </c>
      <c r="D350" s="8" t="s">
        <v>299</v>
      </c>
      <c r="E350" s="8" t="s">
        <v>299</v>
      </c>
      <c r="F350" s="8" t="s">
        <v>299</v>
      </c>
      <c r="G350" s="8" t="s">
        <v>299</v>
      </c>
      <c r="H350" s="8" t="s">
        <v>299</v>
      </c>
    </row>
    <row r="351">
      <c r="A351" s="19"/>
      <c r="B351" s="8" t="s">
        <v>299</v>
      </c>
      <c r="C351" s="8" t="s">
        <v>299</v>
      </c>
      <c r="D351" s="8" t="s">
        <v>299</v>
      </c>
      <c r="E351" s="8" t="s">
        <v>299</v>
      </c>
      <c r="F351" s="8" t="s">
        <v>299</v>
      </c>
      <c r="G351" s="8" t="s">
        <v>299</v>
      </c>
      <c r="H351" s="8" t="s">
        <v>299</v>
      </c>
    </row>
    <row r="352">
      <c r="A352" s="19"/>
      <c r="B352" s="8" t="s">
        <v>299</v>
      </c>
      <c r="C352" s="8" t="s">
        <v>299</v>
      </c>
      <c r="D352" s="8" t="s">
        <v>299</v>
      </c>
      <c r="E352" s="8" t="s">
        <v>299</v>
      </c>
      <c r="F352" s="8" t="s">
        <v>299</v>
      </c>
      <c r="G352" s="8" t="s">
        <v>299</v>
      </c>
      <c r="H352" s="8" t="s">
        <v>299</v>
      </c>
    </row>
    <row r="353">
      <c r="A353" s="19"/>
      <c r="B353" s="8" t="s">
        <v>299</v>
      </c>
      <c r="C353" s="8" t="s">
        <v>299</v>
      </c>
      <c r="D353" s="8" t="s">
        <v>299</v>
      </c>
      <c r="E353" s="8" t="s">
        <v>299</v>
      </c>
      <c r="F353" s="8" t="s">
        <v>299</v>
      </c>
      <c r="G353" s="8" t="s">
        <v>299</v>
      </c>
      <c r="H353" s="8" t="s">
        <v>299</v>
      </c>
    </row>
    <row r="354">
      <c r="A354" s="19"/>
      <c r="B354" s="8" t="s">
        <v>299</v>
      </c>
      <c r="C354" s="8" t="s">
        <v>299</v>
      </c>
      <c r="D354" s="8" t="s">
        <v>299</v>
      </c>
      <c r="E354" s="8" t="s">
        <v>299</v>
      </c>
      <c r="F354" s="8" t="s">
        <v>299</v>
      </c>
      <c r="G354" s="8" t="s">
        <v>299</v>
      </c>
      <c r="H354" s="8" t="s">
        <v>299</v>
      </c>
    </row>
    <row r="355">
      <c r="A355" s="19"/>
      <c r="B355" s="8" t="s">
        <v>299</v>
      </c>
      <c r="C355" s="8" t="s">
        <v>299</v>
      </c>
      <c r="D355" s="8" t="s">
        <v>299</v>
      </c>
      <c r="E355" s="8" t="s">
        <v>299</v>
      </c>
      <c r="F355" s="8" t="s">
        <v>299</v>
      </c>
      <c r="G355" s="8" t="s">
        <v>299</v>
      </c>
      <c r="H355" s="8" t="s">
        <v>299</v>
      </c>
    </row>
    <row r="356">
      <c r="A356" s="19"/>
      <c r="B356" s="8" t="s">
        <v>299</v>
      </c>
      <c r="C356" s="8" t="s">
        <v>299</v>
      </c>
      <c r="D356" s="8" t="s">
        <v>299</v>
      </c>
      <c r="E356" s="8" t="s">
        <v>299</v>
      </c>
      <c r="F356" s="8" t="s">
        <v>299</v>
      </c>
      <c r="G356" s="8" t="s">
        <v>299</v>
      </c>
      <c r="H356" s="8" t="s">
        <v>299</v>
      </c>
    </row>
    <row r="357">
      <c r="A357" s="19"/>
      <c r="B357" s="8" t="s">
        <v>299</v>
      </c>
      <c r="C357" s="8" t="s">
        <v>299</v>
      </c>
      <c r="D357" s="8" t="s">
        <v>299</v>
      </c>
      <c r="E357" s="8" t="s">
        <v>299</v>
      </c>
      <c r="F357" s="8" t="s">
        <v>299</v>
      </c>
      <c r="G357" s="8" t="s">
        <v>299</v>
      </c>
      <c r="H357" s="8" t="s">
        <v>299</v>
      </c>
    </row>
    <row r="358">
      <c r="A358" s="19"/>
      <c r="B358" s="8" t="s">
        <v>299</v>
      </c>
      <c r="C358" s="8" t="s">
        <v>299</v>
      </c>
      <c r="D358" s="8" t="s">
        <v>299</v>
      </c>
      <c r="E358" s="8" t="s">
        <v>299</v>
      </c>
      <c r="F358" s="8" t="s">
        <v>299</v>
      </c>
      <c r="G358" s="8" t="s">
        <v>299</v>
      </c>
      <c r="H358" s="8" t="s">
        <v>299</v>
      </c>
    </row>
    <row r="359">
      <c r="A359" s="19"/>
      <c r="B359" s="8" t="s">
        <v>299</v>
      </c>
      <c r="C359" s="8" t="s">
        <v>299</v>
      </c>
      <c r="D359" s="8" t="s">
        <v>299</v>
      </c>
      <c r="E359" s="8" t="s">
        <v>299</v>
      </c>
      <c r="F359" s="8" t="s">
        <v>299</v>
      </c>
      <c r="G359" s="8" t="s">
        <v>299</v>
      </c>
      <c r="H359" s="8" t="s">
        <v>299</v>
      </c>
    </row>
    <row r="360">
      <c r="A360" s="19"/>
      <c r="B360" s="8" t="s">
        <v>299</v>
      </c>
      <c r="C360" s="8" t="s">
        <v>299</v>
      </c>
      <c r="D360" s="8" t="s">
        <v>299</v>
      </c>
      <c r="E360" s="8" t="s">
        <v>299</v>
      </c>
      <c r="F360" s="8" t="s">
        <v>299</v>
      </c>
      <c r="G360" s="8" t="s">
        <v>299</v>
      </c>
      <c r="H360" s="8" t="s">
        <v>299</v>
      </c>
    </row>
    <row r="361">
      <c r="A361" s="19"/>
      <c r="B361" s="8" t="s">
        <v>299</v>
      </c>
      <c r="C361" s="8" t="s">
        <v>299</v>
      </c>
      <c r="D361" s="8" t="s">
        <v>299</v>
      </c>
      <c r="E361" s="8" t="s">
        <v>299</v>
      </c>
      <c r="F361" s="8" t="s">
        <v>299</v>
      </c>
      <c r="G361" s="8" t="s">
        <v>299</v>
      </c>
      <c r="H361" s="8" t="s">
        <v>299</v>
      </c>
    </row>
    <row r="362">
      <c r="A362" s="19"/>
      <c r="B362" s="8" t="s">
        <v>299</v>
      </c>
      <c r="C362" s="8" t="s">
        <v>299</v>
      </c>
      <c r="D362" s="8" t="s">
        <v>299</v>
      </c>
      <c r="E362" s="8" t="s">
        <v>299</v>
      </c>
      <c r="F362" s="8" t="s">
        <v>299</v>
      </c>
      <c r="G362" s="8" t="s">
        <v>299</v>
      </c>
      <c r="H362" s="8" t="s">
        <v>299</v>
      </c>
    </row>
    <row r="363">
      <c r="A363" s="19"/>
      <c r="B363" s="8" t="s">
        <v>299</v>
      </c>
      <c r="C363" s="8" t="s">
        <v>299</v>
      </c>
      <c r="D363" s="8" t="s">
        <v>299</v>
      </c>
      <c r="E363" s="8" t="s">
        <v>299</v>
      </c>
      <c r="F363" s="8" t="s">
        <v>299</v>
      </c>
      <c r="G363" s="8" t="s">
        <v>299</v>
      </c>
      <c r="H363" s="8" t="s">
        <v>299</v>
      </c>
    </row>
    <row r="364">
      <c r="A364" s="19"/>
      <c r="B364" s="8" t="s">
        <v>299</v>
      </c>
      <c r="C364" s="8" t="s">
        <v>299</v>
      </c>
      <c r="D364" s="8" t="s">
        <v>299</v>
      </c>
      <c r="E364" s="8" t="s">
        <v>299</v>
      </c>
      <c r="F364" s="8" t="s">
        <v>299</v>
      </c>
      <c r="G364" s="8" t="s">
        <v>299</v>
      </c>
      <c r="H364" s="8" t="s">
        <v>299</v>
      </c>
    </row>
    <row r="365">
      <c r="A365" s="19"/>
      <c r="B365" s="8" t="s">
        <v>299</v>
      </c>
      <c r="C365" s="8" t="s">
        <v>299</v>
      </c>
      <c r="D365" s="8" t="s">
        <v>299</v>
      </c>
      <c r="E365" s="8" t="s">
        <v>299</v>
      </c>
      <c r="F365" s="8" t="s">
        <v>299</v>
      </c>
      <c r="G365" s="8" t="s">
        <v>299</v>
      </c>
      <c r="H365" s="8" t="s">
        <v>299</v>
      </c>
    </row>
    <row r="366">
      <c r="A366" s="19"/>
      <c r="B366" s="8" t="s">
        <v>299</v>
      </c>
      <c r="C366" s="8" t="s">
        <v>299</v>
      </c>
      <c r="D366" s="8" t="s">
        <v>299</v>
      </c>
      <c r="E366" s="8" t="s">
        <v>299</v>
      </c>
      <c r="F366" s="8" t="s">
        <v>299</v>
      </c>
      <c r="G366" s="8" t="s">
        <v>299</v>
      </c>
      <c r="H366" s="8" t="s">
        <v>299</v>
      </c>
    </row>
    <row r="367">
      <c r="A367" s="19"/>
      <c r="B367" s="8" t="s">
        <v>299</v>
      </c>
      <c r="C367" s="8" t="s">
        <v>299</v>
      </c>
      <c r="D367" s="8" t="s">
        <v>299</v>
      </c>
      <c r="E367" s="8" t="s">
        <v>299</v>
      </c>
      <c r="F367" s="8" t="s">
        <v>299</v>
      </c>
      <c r="G367" s="8" t="s">
        <v>299</v>
      </c>
      <c r="H367" s="8" t="s">
        <v>299</v>
      </c>
    </row>
    <row r="368">
      <c r="A368" s="19"/>
      <c r="B368" s="8" t="s">
        <v>299</v>
      </c>
      <c r="C368" s="8" t="s">
        <v>299</v>
      </c>
      <c r="D368" s="8" t="s">
        <v>299</v>
      </c>
      <c r="E368" s="8" t="s">
        <v>299</v>
      </c>
      <c r="F368" s="8" t="s">
        <v>299</v>
      </c>
      <c r="G368" s="8" t="s">
        <v>299</v>
      </c>
      <c r="H368" s="8" t="s">
        <v>299</v>
      </c>
    </row>
    <row r="369">
      <c r="A369" s="19"/>
      <c r="B369" s="8" t="s">
        <v>299</v>
      </c>
      <c r="C369" s="8" t="s">
        <v>299</v>
      </c>
      <c r="D369" s="8" t="s">
        <v>299</v>
      </c>
      <c r="E369" s="8" t="s">
        <v>299</v>
      </c>
      <c r="F369" s="8" t="s">
        <v>299</v>
      </c>
      <c r="G369" s="8" t="s">
        <v>299</v>
      </c>
      <c r="H369" s="8" t="s">
        <v>299</v>
      </c>
    </row>
    <row r="370">
      <c r="A370" s="19"/>
      <c r="B370" s="8" t="s">
        <v>299</v>
      </c>
      <c r="C370" s="8" t="s">
        <v>299</v>
      </c>
      <c r="D370" s="8" t="s">
        <v>299</v>
      </c>
      <c r="E370" s="8" t="s">
        <v>299</v>
      </c>
      <c r="F370" s="8" t="s">
        <v>299</v>
      </c>
      <c r="G370" s="8" t="s">
        <v>299</v>
      </c>
      <c r="H370" s="8" t="s">
        <v>299</v>
      </c>
    </row>
    <row r="371">
      <c r="A371" s="19"/>
      <c r="B371" s="8" t="s">
        <v>299</v>
      </c>
      <c r="C371" s="8" t="s">
        <v>299</v>
      </c>
      <c r="D371" s="8" t="s">
        <v>299</v>
      </c>
      <c r="E371" s="8" t="s">
        <v>299</v>
      </c>
      <c r="F371" s="8" t="s">
        <v>299</v>
      </c>
      <c r="G371" s="8" t="s">
        <v>299</v>
      </c>
      <c r="H371" s="8" t="s">
        <v>299</v>
      </c>
    </row>
    <row r="372">
      <c r="A372" s="19"/>
      <c r="B372" s="8" t="s">
        <v>299</v>
      </c>
      <c r="C372" s="8" t="s">
        <v>299</v>
      </c>
      <c r="D372" s="8" t="s">
        <v>299</v>
      </c>
      <c r="E372" s="8" t="s">
        <v>299</v>
      </c>
      <c r="F372" s="8" t="s">
        <v>299</v>
      </c>
      <c r="G372" s="8" t="s">
        <v>299</v>
      </c>
      <c r="H372" s="8" t="s">
        <v>299</v>
      </c>
    </row>
    <row r="373">
      <c r="A373" s="19"/>
      <c r="B373" s="8" t="s">
        <v>299</v>
      </c>
      <c r="C373" s="8" t="s">
        <v>299</v>
      </c>
      <c r="D373" s="8" t="s">
        <v>299</v>
      </c>
      <c r="E373" s="8" t="s">
        <v>299</v>
      </c>
      <c r="F373" s="8" t="s">
        <v>299</v>
      </c>
      <c r="G373" s="8" t="s">
        <v>299</v>
      </c>
      <c r="H373" s="8" t="s">
        <v>299</v>
      </c>
    </row>
    <row r="374">
      <c r="A374" s="19"/>
      <c r="B374" s="8" t="s">
        <v>299</v>
      </c>
      <c r="C374" s="8" t="s">
        <v>299</v>
      </c>
      <c r="D374" s="8" t="s">
        <v>299</v>
      </c>
      <c r="E374" s="8" t="s">
        <v>299</v>
      </c>
      <c r="F374" s="8" t="s">
        <v>299</v>
      </c>
      <c r="G374" s="8" t="s">
        <v>299</v>
      </c>
      <c r="H374" s="8" t="s">
        <v>299</v>
      </c>
    </row>
    <row r="375">
      <c r="A375" s="19"/>
      <c r="B375" s="8" t="s">
        <v>299</v>
      </c>
      <c r="C375" s="8" t="s">
        <v>299</v>
      </c>
      <c r="D375" s="8" t="s">
        <v>299</v>
      </c>
      <c r="E375" s="8" t="s">
        <v>299</v>
      </c>
      <c r="F375" s="8" t="s">
        <v>299</v>
      </c>
      <c r="G375" s="8" t="s">
        <v>299</v>
      </c>
      <c r="H375" s="8" t="s">
        <v>299</v>
      </c>
    </row>
    <row r="376">
      <c r="A376" s="19"/>
      <c r="B376" s="8" t="s">
        <v>299</v>
      </c>
      <c r="C376" s="8" t="s">
        <v>299</v>
      </c>
      <c r="D376" s="8" t="s">
        <v>299</v>
      </c>
      <c r="E376" s="8" t="s">
        <v>299</v>
      </c>
      <c r="F376" s="8" t="s">
        <v>299</v>
      </c>
      <c r="G376" s="8" t="s">
        <v>299</v>
      </c>
      <c r="H376" s="8" t="s">
        <v>299</v>
      </c>
    </row>
    <row r="377">
      <c r="A377" s="19"/>
      <c r="B377" s="8" t="s">
        <v>299</v>
      </c>
      <c r="C377" s="8" t="s">
        <v>299</v>
      </c>
      <c r="D377" s="8" t="s">
        <v>299</v>
      </c>
      <c r="E377" s="8" t="s">
        <v>299</v>
      </c>
      <c r="F377" s="8" t="s">
        <v>299</v>
      </c>
      <c r="G377" s="8" t="s">
        <v>299</v>
      </c>
      <c r="H377" s="8" t="s">
        <v>299</v>
      </c>
    </row>
    <row r="378">
      <c r="A378" s="19"/>
      <c r="B378" s="8" t="s">
        <v>299</v>
      </c>
      <c r="C378" s="8" t="s">
        <v>299</v>
      </c>
      <c r="D378" s="8" t="s">
        <v>299</v>
      </c>
      <c r="E378" s="8" t="s">
        <v>299</v>
      </c>
      <c r="F378" s="8" t="s">
        <v>299</v>
      </c>
      <c r="G378" s="8" t="s">
        <v>299</v>
      </c>
      <c r="H378" s="8" t="s">
        <v>299</v>
      </c>
    </row>
    <row r="379">
      <c r="A379" s="19"/>
      <c r="B379" s="8" t="s">
        <v>299</v>
      </c>
      <c r="C379" s="8" t="s">
        <v>299</v>
      </c>
      <c r="D379" s="8" t="s">
        <v>299</v>
      </c>
      <c r="E379" s="8" t="s">
        <v>299</v>
      </c>
      <c r="F379" s="8" t="s">
        <v>299</v>
      </c>
      <c r="G379" s="8" t="s">
        <v>299</v>
      </c>
      <c r="H379" s="8" t="s">
        <v>299</v>
      </c>
    </row>
    <row r="380">
      <c r="A380" s="19"/>
      <c r="B380" s="8" t="s">
        <v>299</v>
      </c>
      <c r="C380" s="8" t="s">
        <v>299</v>
      </c>
      <c r="D380" s="8" t="s">
        <v>299</v>
      </c>
      <c r="E380" s="8" t="s">
        <v>299</v>
      </c>
      <c r="F380" s="8" t="s">
        <v>299</v>
      </c>
      <c r="G380" s="8" t="s">
        <v>299</v>
      </c>
      <c r="H380" s="8" t="s">
        <v>299</v>
      </c>
    </row>
    <row r="381">
      <c r="A381" s="19"/>
      <c r="B381" s="8" t="s">
        <v>299</v>
      </c>
      <c r="C381" s="8" t="s">
        <v>299</v>
      </c>
      <c r="D381" s="8" t="s">
        <v>299</v>
      </c>
      <c r="E381" s="8" t="s">
        <v>299</v>
      </c>
      <c r="F381" s="8" t="s">
        <v>299</v>
      </c>
      <c r="G381" s="8" t="s">
        <v>299</v>
      </c>
      <c r="H381" s="8" t="s">
        <v>299</v>
      </c>
    </row>
    <row r="382">
      <c r="A382" s="19"/>
      <c r="B382" s="8" t="s">
        <v>299</v>
      </c>
      <c r="C382" s="8" t="s">
        <v>299</v>
      </c>
      <c r="D382" s="8" t="s">
        <v>299</v>
      </c>
      <c r="E382" s="8" t="s">
        <v>299</v>
      </c>
      <c r="F382" s="8" t="s">
        <v>299</v>
      </c>
      <c r="G382" s="8" t="s">
        <v>299</v>
      </c>
      <c r="H382" s="8" t="s">
        <v>299</v>
      </c>
    </row>
    <row r="383">
      <c r="A383" s="19"/>
      <c r="B383" s="8" t="s">
        <v>299</v>
      </c>
      <c r="C383" s="8" t="s">
        <v>299</v>
      </c>
      <c r="D383" s="8" t="s">
        <v>299</v>
      </c>
      <c r="E383" s="8" t="s">
        <v>299</v>
      </c>
      <c r="F383" s="8" t="s">
        <v>299</v>
      </c>
      <c r="G383" s="8" t="s">
        <v>299</v>
      </c>
      <c r="H383" s="8" t="s">
        <v>299</v>
      </c>
    </row>
    <row r="384">
      <c r="A384" s="19"/>
      <c r="B384" s="8" t="s">
        <v>299</v>
      </c>
      <c r="C384" s="8" t="s">
        <v>299</v>
      </c>
      <c r="D384" s="8" t="s">
        <v>299</v>
      </c>
      <c r="E384" s="8" t="s">
        <v>299</v>
      </c>
      <c r="F384" s="8" t="s">
        <v>299</v>
      </c>
      <c r="G384" s="8" t="s">
        <v>299</v>
      </c>
      <c r="H384" s="8" t="s">
        <v>299</v>
      </c>
    </row>
    <row r="385">
      <c r="A385" s="19"/>
      <c r="B385" s="8" t="s">
        <v>299</v>
      </c>
      <c r="C385" s="8" t="s">
        <v>299</v>
      </c>
      <c r="D385" s="8" t="s">
        <v>299</v>
      </c>
      <c r="E385" s="8" t="s">
        <v>299</v>
      </c>
      <c r="F385" s="8" t="s">
        <v>299</v>
      </c>
      <c r="G385" s="8" t="s">
        <v>299</v>
      </c>
      <c r="H385" s="8" t="s">
        <v>299</v>
      </c>
    </row>
    <row r="386">
      <c r="A386" s="19"/>
      <c r="B386" s="8" t="s">
        <v>299</v>
      </c>
      <c r="C386" s="8" t="s">
        <v>299</v>
      </c>
      <c r="D386" s="8" t="s">
        <v>299</v>
      </c>
      <c r="E386" s="8" t="s">
        <v>299</v>
      </c>
      <c r="F386" s="8" t="s">
        <v>299</v>
      </c>
      <c r="G386" s="8" t="s">
        <v>299</v>
      </c>
      <c r="H386" s="8" t="s">
        <v>299</v>
      </c>
    </row>
    <row r="387">
      <c r="A387" s="19"/>
      <c r="B387" s="8" t="s">
        <v>299</v>
      </c>
      <c r="C387" s="8" t="s">
        <v>299</v>
      </c>
      <c r="D387" s="8" t="s">
        <v>299</v>
      </c>
      <c r="E387" s="8" t="s">
        <v>299</v>
      </c>
      <c r="F387" s="8" t="s">
        <v>299</v>
      </c>
      <c r="G387" s="8" t="s">
        <v>299</v>
      </c>
      <c r="H387" s="8" t="s">
        <v>299</v>
      </c>
    </row>
    <row r="388">
      <c r="A388" s="19"/>
      <c r="B388" s="8" t="s">
        <v>299</v>
      </c>
      <c r="C388" s="8" t="s">
        <v>299</v>
      </c>
      <c r="D388" s="8" t="s">
        <v>299</v>
      </c>
      <c r="E388" s="8" t="s">
        <v>299</v>
      </c>
      <c r="F388" s="8" t="s">
        <v>299</v>
      </c>
      <c r="G388" s="8" t="s">
        <v>299</v>
      </c>
      <c r="H388" s="8" t="s">
        <v>299</v>
      </c>
    </row>
    <row r="389">
      <c r="A389" s="19"/>
      <c r="B389" s="8" t="s">
        <v>299</v>
      </c>
      <c r="C389" s="8" t="s">
        <v>299</v>
      </c>
      <c r="D389" s="8" t="s">
        <v>299</v>
      </c>
      <c r="E389" s="8" t="s">
        <v>299</v>
      </c>
      <c r="F389" s="8" t="s">
        <v>299</v>
      </c>
      <c r="G389" s="8" t="s">
        <v>299</v>
      </c>
      <c r="H389" s="8" t="s">
        <v>299</v>
      </c>
    </row>
    <row r="390">
      <c r="A390" s="19"/>
      <c r="B390" s="8" t="s">
        <v>299</v>
      </c>
      <c r="C390" s="8" t="s">
        <v>299</v>
      </c>
      <c r="D390" s="8" t="s">
        <v>299</v>
      </c>
      <c r="E390" s="8" t="s">
        <v>299</v>
      </c>
      <c r="F390" s="8" t="s">
        <v>299</v>
      </c>
      <c r="G390" s="8" t="s">
        <v>299</v>
      </c>
      <c r="H390" s="8" t="s">
        <v>299</v>
      </c>
    </row>
    <row r="391">
      <c r="A391" s="19"/>
      <c r="B391" s="8" t="s">
        <v>299</v>
      </c>
      <c r="C391" s="8" t="s">
        <v>299</v>
      </c>
      <c r="D391" s="8" t="s">
        <v>299</v>
      </c>
      <c r="E391" s="8" t="s">
        <v>299</v>
      </c>
      <c r="F391" s="8" t="s">
        <v>299</v>
      </c>
      <c r="G391" s="8" t="s">
        <v>299</v>
      </c>
      <c r="H391" s="8" t="s">
        <v>299</v>
      </c>
    </row>
    <row r="392">
      <c r="A392" s="19"/>
      <c r="B392" s="8" t="s">
        <v>299</v>
      </c>
      <c r="C392" s="8" t="s">
        <v>299</v>
      </c>
      <c r="D392" s="8" t="s">
        <v>299</v>
      </c>
      <c r="E392" s="8" t="s">
        <v>299</v>
      </c>
      <c r="F392" s="8" t="s">
        <v>299</v>
      </c>
      <c r="G392" s="8" t="s">
        <v>299</v>
      </c>
      <c r="H392" s="8" t="s">
        <v>299</v>
      </c>
    </row>
    <row r="393">
      <c r="A393" s="19"/>
      <c r="B393" s="8" t="s">
        <v>299</v>
      </c>
      <c r="C393" s="8" t="s">
        <v>299</v>
      </c>
      <c r="D393" s="8" t="s">
        <v>299</v>
      </c>
      <c r="E393" s="8" t="s">
        <v>299</v>
      </c>
      <c r="F393" s="8" t="s">
        <v>299</v>
      </c>
      <c r="G393" s="8" t="s">
        <v>299</v>
      </c>
      <c r="H393" s="8" t="s">
        <v>299</v>
      </c>
    </row>
    <row r="394">
      <c r="A394" s="19"/>
      <c r="B394" s="8" t="s">
        <v>299</v>
      </c>
      <c r="C394" s="8" t="s">
        <v>299</v>
      </c>
      <c r="D394" s="8" t="s">
        <v>299</v>
      </c>
      <c r="E394" s="8" t="s">
        <v>299</v>
      </c>
      <c r="F394" s="8" t="s">
        <v>299</v>
      </c>
      <c r="G394" s="8" t="s">
        <v>299</v>
      </c>
      <c r="H394" s="8" t="s">
        <v>299</v>
      </c>
    </row>
    <row r="395">
      <c r="A395" s="19"/>
      <c r="B395" s="8" t="s">
        <v>299</v>
      </c>
      <c r="C395" s="8" t="s">
        <v>299</v>
      </c>
      <c r="D395" s="8" t="s">
        <v>299</v>
      </c>
      <c r="E395" s="8" t="s">
        <v>299</v>
      </c>
      <c r="F395" s="8" t="s">
        <v>299</v>
      </c>
      <c r="G395" s="8" t="s">
        <v>299</v>
      </c>
      <c r="H395" s="8" t="s">
        <v>299</v>
      </c>
    </row>
    <row r="396">
      <c r="A396" s="19"/>
      <c r="B396" s="8" t="s">
        <v>299</v>
      </c>
      <c r="C396" s="8" t="s">
        <v>299</v>
      </c>
      <c r="D396" s="8" t="s">
        <v>299</v>
      </c>
      <c r="E396" s="8" t="s">
        <v>299</v>
      </c>
      <c r="F396" s="8" t="s">
        <v>299</v>
      </c>
      <c r="G396" s="8" t="s">
        <v>299</v>
      </c>
      <c r="H396" s="8" t="s">
        <v>299</v>
      </c>
    </row>
    <row r="397">
      <c r="A397" s="19"/>
      <c r="B397" s="8" t="s">
        <v>299</v>
      </c>
      <c r="C397" s="8" t="s">
        <v>299</v>
      </c>
      <c r="D397" s="8" t="s">
        <v>299</v>
      </c>
      <c r="E397" s="8" t="s">
        <v>299</v>
      </c>
      <c r="F397" s="8" t="s">
        <v>299</v>
      </c>
      <c r="G397" s="8" t="s">
        <v>299</v>
      </c>
      <c r="H397" s="8" t="s">
        <v>299</v>
      </c>
    </row>
    <row r="398">
      <c r="A398" s="19"/>
      <c r="B398" s="8" t="s">
        <v>299</v>
      </c>
      <c r="C398" s="8" t="s">
        <v>299</v>
      </c>
      <c r="D398" s="8" t="s">
        <v>299</v>
      </c>
      <c r="E398" s="8" t="s">
        <v>299</v>
      </c>
      <c r="F398" s="8" t="s">
        <v>299</v>
      </c>
      <c r="G398" s="8" t="s">
        <v>299</v>
      </c>
      <c r="H398" s="8" t="s">
        <v>299</v>
      </c>
    </row>
    <row r="399">
      <c r="A399" s="19"/>
      <c r="B399" s="8" t="s">
        <v>299</v>
      </c>
      <c r="C399" s="8" t="s">
        <v>299</v>
      </c>
      <c r="D399" s="8" t="s">
        <v>299</v>
      </c>
      <c r="E399" s="8" t="s">
        <v>299</v>
      </c>
      <c r="F399" s="8" t="s">
        <v>299</v>
      </c>
      <c r="G399" s="8" t="s">
        <v>299</v>
      </c>
      <c r="H399" s="8" t="s">
        <v>299</v>
      </c>
    </row>
    <row r="400">
      <c r="A400" s="19"/>
      <c r="B400" s="8" t="s">
        <v>299</v>
      </c>
      <c r="C400" s="8" t="s">
        <v>299</v>
      </c>
      <c r="D400" s="8" t="s">
        <v>299</v>
      </c>
      <c r="E400" s="8" t="s">
        <v>299</v>
      </c>
      <c r="F400" s="8" t="s">
        <v>299</v>
      </c>
      <c r="G400" s="8" t="s">
        <v>299</v>
      </c>
      <c r="H400" s="8" t="s">
        <v>299</v>
      </c>
    </row>
    <row r="401">
      <c r="A401" s="19"/>
      <c r="B401" s="8" t="s">
        <v>299</v>
      </c>
      <c r="C401" s="8" t="s">
        <v>299</v>
      </c>
      <c r="D401" s="8" t="s">
        <v>299</v>
      </c>
      <c r="E401" s="8" t="s">
        <v>299</v>
      </c>
      <c r="F401" s="8" t="s">
        <v>299</v>
      </c>
      <c r="G401" s="8" t="s">
        <v>299</v>
      </c>
      <c r="H401" s="8" t="s">
        <v>299</v>
      </c>
    </row>
    <row r="402">
      <c r="A402" s="19"/>
      <c r="B402" s="8" t="s">
        <v>299</v>
      </c>
      <c r="C402" s="8" t="s">
        <v>299</v>
      </c>
      <c r="D402" s="8" t="s">
        <v>299</v>
      </c>
      <c r="E402" s="8" t="s">
        <v>299</v>
      </c>
      <c r="F402" s="8" t="s">
        <v>299</v>
      </c>
      <c r="G402" s="8" t="s">
        <v>299</v>
      </c>
      <c r="H402" s="8" t="s">
        <v>299</v>
      </c>
    </row>
    <row r="403">
      <c r="A403" s="19"/>
      <c r="B403" s="8" t="s">
        <v>299</v>
      </c>
      <c r="C403" s="8" t="s">
        <v>299</v>
      </c>
      <c r="D403" s="8" t="s">
        <v>299</v>
      </c>
      <c r="E403" s="8" t="s">
        <v>299</v>
      </c>
      <c r="F403" s="8" t="s">
        <v>299</v>
      </c>
      <c r="G403" s="8" t="s">
        <v>299</v>
      </c>
      <c r="H403" s="8" t="s">
        <v>299</v>
      </c>
    </row>
    <row r="404">
      <c r="A404" s="19"/>
      <c r="B404" s="8" t="s">
        <v>299</v>
      </c>
      <c r="C404" s="8" t="s">
        <v>299</v>
      </c>
      <c r="D404" s="8" t="s">
        <v>299</v>
      </c>
      <c r="E404" s="8" t="s">
        <v>299</v>
      </c>
      <c r="F404" s="8" t="s">
        <v>299</v>
      </c>
      <c r="G404" s="8" t="s">
        <v>299</v>
      </c>
      <c r="H404" s="8" t="s">
        <v>299</v>
      </c>
    </row>
    <row r="405">
      <c r="A405" s="19"/>
      <c r="B405" s="8" t="s">
        <v>299</v>
      </c>
      <c r="C405" s="8" t="s">
        <v>299</v>
      </c>
      <c r="D405" s="8" t="s">
        <v>299</v>
      </c>
      <c r="E405" s="8" t="s">
        <v>299</v>
      </c>
      <c r="F405" s="8" t="s">
        <v>299</v>
      </c>
      <c r="G405" s="8" t="s">
        <v>299</v>
      </c>
      <c r="H405" s="8" t="s">
        <v>299</v>
      </c>
    </row>
    <row r="406">
      <c r="A406" s="19"/>
      <c r="B406" s="8" t="s">
        <v>299</v>
      </c>
      <c r="C406" s="8" t="s">
        <v>299</v>
      </c>
      <c r="D406" s="8" t="s">
        <v>299</v>
      </c>
      <c r="E406" s="8" t="s">
        <v>299</v>
      </c>
      <c r="F406" s="8" t="s">
        <v>299</v>
      </c>
      <c r="G406" s="8" t="s">
        <v>299</v>
      </c>
      <c r="H406" s="8" t="s">
        <v>299</v>
      </c>
    </row>
    <row r="407">
      <c r="A407" s="19"/>
      <c r="B407" s="8" t="s">
        <v>299</v>
      </c>
      <c r="C407" s="8" t="s">
        <v>299</v>
      </c>
      <c r="D407" s="8" t="s">
        <v>299</v>
      </c>
      <c r="E407" s="8" t="s">
        <v>299</v>
      </c>
      <c r="F407" s="8" t="s">
        <v>299</v>
      </c>
      <c r="G407" s="8" t="s">
        <v>299</v>
      </c>
      <c r="H407" s="8" t="s">
        <v>299</v>
      </c>
    </row>
    <row r="408">
      <c r="A408" s="19"/>
      <c r="B408" s="8" t="s">
        <v>299</v>
      </c>
      <c r="C408" s="8" t="s">
        <v>299</v>
      </c>
      <c r="D408" s="8" t="s">
        <v>299</v>
      </c>
      <c r="E408" s="8" t="s">
        <v>299</v>
      </c>
      <c r="F408" s="8" t="s">
        <v>299</v>
      </c>
      <c r="G408" s="8" t="s">
        <v>299</v>
      </c>
      <c r="H408" s="8" t="s">
        <v>299</v>
      </c>
    </row>
    <row r="409">
      <c r="A409" s="19"/>
      <c r="B409" s="8" t="s">
        <v>299</v>
      </c>
      <c r="C409" s="8" t="s">
        <v>299</v>
      </c>
      <c r="D409" s="8" t="s">
        <v>299</v>
      </c>
      <c r="E409" s="8" t="s">
        <v>299</v>
      </c>
      <c r="F409" s="8" t="s">
        <v>299</v>
      </c>
      <c r="G409" s="8" t="s">
        <v>299</v>
      </c>
      <c r="H409" s="8" t="s">
        <v>299</v>
      </c>
    </row>
    <row r="410">
      <c r="A410" s="19"/>
      <c r="B410" s="8" t="s">
        <v>299</v>
      </c>
      <c r="C410" s="8" t="s">
        <v>299</v>
      </c>
      <c r="D410" s="8" t="s">
        <v>299</v>
      </c>
      <c r="E410" s="8" t="s">
        <v>299</v>
      </c>
      <c r="F410" s="8" t="s">
        <v>299</v>
      </c>
      <c r="G410" s="8" t="s">
        <v>299</v>
      </c>
      <c r="H410" s="8" t="s">
        <v>299</v>
      </c>
    </row>
    <row r="411">
      <c r="A411" s="19"/>
      <c r="B411" s="8" t="s">
        <v>299</v>
      </c>
      <c r="C411" s="8" t="s">
        <v>299</v>
      </c>
      <c r="D411" s="8" t="s">
        <v>299</v>
      </c>
      <c r="E411" s="8" t="s">
        <v>299</v>
      </c>
      <c r="F411" s="8" t="s">
        <v>299</v>
      </c>
      <c r="G411" s="8" t="s">
        <v>299</v>
      </c>
      <c r="H411" s="8" t="s">
        <v>299</v>
      </c>
    </row>
    <row r="412">
      <c r="A412" s="19"/>
      <c r="B412" s="8" t="s">
        <v>299</v>
      </c>
      <c r="C412" s="8" t="s">
        <v>299</v>
      </c>
      <c r="D412" s="8" t="s">
        <v>299</v>
      </c>
      <c r="E412" s="8" t="s">
        <v>299</v>
      </c>
      <c r="F412" s="8" t="s">
        <v>299</v>
      </c>
      <c r="G412" s="8" t="s">
        <v>299</v>
      </c>
      <c r="H412" s="8" t="s">
        <v>299</v>
      </c>
    </row>
    <row r="413">
      <c r="A413" s="19"/>
      <c r="B413" s="8" t="s">
        <v>299</v>
      </c>
      <c r="C413" s="8" t="s">
        <v>299</v>
      </c>
      <c r="D413" s="8" t="s">
        <v>299</v>
      </c>
      <c r="E413" s="8" t="s">
        <v>299</v>
      </c>
      <c r="F413" s="8" t="s">
        <v>299</v>
      </c>
      <c r="G413" s="8" t="s">
        <v>299</v>
      </c>
      <c r="H413" s="8" t="s">
        <v>299</v>
      </c>
    </row>
    <row r="414">
      <c r="A414" s="19"/>
      <c r="B414" s="8" t="s">
        <v>299</v>
      </c>
      <c r="C414" s="8" t="s">
        <v>299</v>
      </c>
      <c r="D414" s="8" t="s">
        <v>299</v>
      </c>
      <c r="E414" s="8" t="s">
        <v>299</v>
      </c>
      <c r="F414" s="8" t="s">
        <v>299</v>
      </c>
      <c r="G414" s="8" t="s">
        <v>299</v>
      </c>
      <c r="H414" s="8" t="s">
        <v>299</v>
      </c>
    </row>
    <row r="415">
      <c r="A415" s="19"/>
      <c r="B415" s="8" t="s">
        <v>299</v>
      </c>
      <c r="C415" s="8" t="s">
        <v>299</v>
      </c>
      <c r="D415" s="8" t="s">
        <v>299</v>
      </c>
      <c r="E415" s="8" t="s">
        <v>299</v>
      </c>
      <c r="F415" s="8" t="s">
        <v>299</v>
      </c>
      <c r="G415" s="8" t="s">
        <v>299</v>
      </c>
      <c r="H415" s="8" t="s">
        <v>299</v>
      </c>
    </row>
    <row r="416">
      <c r="A416" s="19"/>
      <c r="B416" s="8" t="s">
        <v>299</v>
      </c>
      <c r="C416" s="8" t="s">
        <v>299</v>
      </c>
      <c r="D416" s="8" t="s">
        <v>299</v>
      </c>
      <c r="E416" s="8" t="s">
        <v>299</v>
      </c>
      <c r="F416" s="8" t="s">
        <v>299</v>
      </c>
      <c r="G416" s="8" t="s">
        <v>299</v>
      </c>
      <c r="H416" s="8" t="s">
        <v>299</v>
      </c>
    </row>
    <row r="417">
      <c r="A417" s="19"/>
      <c r="B417" s="8" t="s">
        <v>299</v>
      </c>
      <c r="C417" s="8" t="s">
        <v>299</v>
      </c>
      <c r="D417" s="8" t="s">
        <v>299</v>
      </c>
      <c r="E417" s="8" t="s">
        <v>299</v>
      </c>
      <c r="F417" s="8" t="s">
        <v>299</v>
      </c>
      <c r="G417" s="8" t="s">
        <v>299</v>
      </c>
      <c r="H417" s="8" t="s">
        <v>299</v>
      </c>
    </row>
    <row r="418">
      <c r="A418" s="19"/>
      <c r="B418" s="8" t="s">
        <v>299</v>
      </c>
      <c r="C418" s="8" t="s">
        <v>299</v>
      </c>
      <c r="D418" s="8" t="s">
        <v>299</v>
      </c>
      <c r="E418" s="8" t="s">
        <v>299</v>
      </c>
      <c r="F418" s="8" t="s">
        <v>299</v>
      </c>
      <c r="G418" s="8" t="s">
        <v>299</v>
      </c>
      <c r="H418" s="8" t="s">
        <v>299</v>
      </c>
    </row>
    <row r="419">
      <c r="A419" s="19"/>
      <c r="B419" s="8" t="s">
        <v>299</v>
      </c>
      <c r="C419" s="8" t="s">
        <v>299</v>
      </c>
      <c r="D419" s="8" t="s">
        <v>299</v>
      </c>
      <c r="E419" s="8" t="s">
        <v>299</v>
      </c>
      <c r="F419" s="8" t="s">
        <v>299</v>
      </c>
      <c r="G419" s="8" t="s">
        <v>299</v>
      </c>
      <c r="H419" s="8" t="s">
        <v>299</v>
      </c>
    </row>
    <row r="420">
      <c r="A420" s="19"/>
      <c r="B420" s="8" t="s">
        <v>299</v>
      </c>
      <c r="C420" s="8" t="s">
        <v>299</v>
      </c>
      <c r="D420" s="8" t="s">
        <v>299</v>
      </c>
      <c r="E420" s="8" t="s">
        <v>299</v>
      </c>
      <c r="F420" s="8" t="s">
        <v>299</v>
      </c>
      <c r="G420" s="8" t="s">
        <v>299</v>
      </c>
      <c r="H420" s="8" t="s">
        <v>299</v>
      </c>
    </row>
    <row r="421">
      <c r="A421" s="19"/>
      <c r="B421" s="8" t="s">
        <v>299</v>
      </c>
      <c r="C421" s="8" t="s">
        <v>299</v>
      </c>
      <c r="D421" s="8" t="s">
        <v>299</v>
      </c>
      <c r="E421" s="8" t="s">
        <v>299</v>
      </c>
      <c r="F421" s="8" t="s">
        <v>299</v>
      </c>
      <c r="G421" s="8" t="s">
        <v>299</v>
      </c>
      <c r="H421" s="8" t="s">
        <v>299</v>
      </c>
    </row>
    <row r="422">
      <c r="A422" s="19"/>
      <c r="B422" s="8" t="s">
        <v>299</v>
      </c>
      <c r="C422" s="8" t="s">
        <v>299</v>
      </c>
      <c r="D422" s="8" t="s">
        <v>299</v>
      </c>
      <c r="E422" s="8" t="s">
        <v>299</v>
      </c>
      <c r="F422" s="8" t="s">
        <v>299</v>
      </c>
      <c r="G422" s="8" t="s">
        <v>299</v>
      </c>
      <c r="H422" s="8" t="s">
        <v>299</v>
      </c>
    </row>
    <row r="423">
      <c r="A423" s="19"/>
      <c r="B423" s="8" t="s">
        <v>299</v>
      </c>
      <c r="C423" s="8" t="s">
        <v>299</v>
      </c>
      <c r="D423" s="8" t="s">
        <v>299</v>
      </c>
      <c r="E423" s="8" t="s">
        <v>299</v>
      </c>
      <c r="F423" s="8" t="s">
        <v>299</v>
      </c>
      <c r="G423" s="8" t="s">
        <v>299</v>
      </c>
      <c r="H423" s="8" t="s">
        <v>299</v>
      </c>
    </row>
    <row r="424">
      <c r="A424" s="19"/>
      <c r="B424" s="8" t="s">
        <v>299</v>
      </c>
      <c r="C424" s="8" t="s">
        <v>299</v>
      </c>
      <c r="D424" s="8" t="s">
        <v>299</v>
      </c>
      <c r="E424" s="8" t="s">
        <v>299</v>
      </c>
      <c r="F424" s="8" t="s">
        <v>299</v>
      </c>
      <c r="G424" s="8" t="s">
        <v>299</v>
      </c>
      <c r="H424" s="8" t="s">
        <v>299</v>
      </c>
    </row>
    <row r="425">
      <c r="A425" s="19"/>
      <c r="B425" s="8" t="s">
        <v>299</v>
      </c>
      <c r="C425" s="8" t="s">
        <v>299</v>
      </c>
      <c r="D425" s="8" t="s">
        <v>299</v>
      </c>
      <c r="E425" s="8" t="s">
        <v>299</v>
      </c>
      <c r="F425" s="8" t="s">
        <v>299</v>
      </c>
      <c r="G425" s="8" t="s">
        <v>299</v>
      </c>
      <c r="H425" s="8" t="s">
        <v>299</v>
      </c>
    </row>
    <row r="426">
      <c r="A426" s="19"/>
      <c r="B426" s="8" t="s">
        <v>299</v>
      </c>
      <c r="C426" s="8" t="s">
        <v>299</v>
      </c>
      <c r="D426" s="8" t="s">
        <v>299</v>
      </c>
      <c r="E426" s="8" t="s">
        <v>299</v>
      </c>
      <c r="F426" s="8" t="s">
        <v>299</v>
      </c>
      <c r="G426" s="8" t="s">
        <v>299</v>
      </c>
      <c r="H426" s="8" t="s">
        <v>299</v>
      </c>
    </row>
    <row r="427">
      <c r="A427" s="19"/>
      <c r="B427" s="8" t="s">
        <v>299</v>
      </c>
      <c r="C427" s="8" t="s">
        <v>299</v>
      </c>
      <c r="D427" s="8" t="s">
        <v>299</v>
      </c>
      <c r="E427" s="8" t="s">
        <v>299</v>
      </c>
      <c r="F427" s="8" t="s">
        <v>299</v>
      </c>
      <c r="G427" s="8" t="s">
        <v>299</v>
      </c>
      <c r="H427" s="8" t="s">
        <v>299</v>
      </c>
    </row>
    <row r="428">
      <c r="A428" s="19"/>
      <c r="B428" s="8" t="s">
        <v>299</v>
      </c>
      <c r="C428" s="8" t="s">
        <v>299</v>
      </c>
      <c r="D428" s="8" t="s">
        <v>299</v>
      </c>
      <c r="E428" s="8" t="s">
        <v>299</v>
      </c>
      <c r="F428" s="8" t="s">
        <v>299</v>
      </c>
      <c r="G428" s="8" t="s">
        <v>299</v>
      </c>
      <c r="H428" s="8" t="s">
        <v>299</v>
      </c>
    </row>
    <row r="429">
      <c r="A429" s="19"/>
      <c r="B429" s="8" t="s">
        <v>299</v>
      </c>
      <c r="C429" s="8" t="s">
        <v>299</v>
      </c>
      <c r="D429" s="8" t="s">
        <v>299</v>
      </c>
      <c r="E429" s="8" t="s">
        <v>299</v>
      </c>
      <c r="F429" s="8" t="s">
        <v>299</v>
      </c>
      <c r="G429" s="8" t="s">
        <v>299</v>
      </c>
      <c r="H429" s="8" t="s">
        <v>299</v>
      </c>
    </row>
    <row r="430">
      <c r="A430" s="19"/>
      <c r="B430" s="8" t="s">
        <v>299</v>
      </c>
      <c r="C430" s="8" t="s">
        <v>299</v>
      </c>
      <c r="D430" s="8" t="s">
        <v>299</v>
      </c>
      <c r="E430" s="8" t="s">
        <v>299</v>
      </c>
      <c r="F430" s="8" t="s">
        <v>299</v>
      </c>
      <c r="G430" s="8" t="s">
        <v>299</v>
      </c>
      <c r="H430" s="8" t="s">
        <v>299</v>
      </c>
    </row>
    <row r="431">
      <c r="A431" s="19"/>
      <c r="B431" s="8" t="s">
        <v>299</v>
      </c>
      <c r="C431" s="8" t="s">
        <v>299</v>
      </c>
      <c r="D431" s="8" t="s">
        <v>299</v>
      </c>
      <c r="E431" s="8" t="s">
        <v>299</v>
      </c>
      <c r="F431" s="8" t="s">
        <v>299</v>
      </c>
      <c r="G431" s="8" t="s">
        <v>299</v>
      </c>
      <c r="H431" s="8" t="s">
        <v>299</v>
      </c>
    </row>
    <row r="432">
      <c r="A432" s="19"/>
      <c r="B432" s="8" t="s">
        <v>299</v>
      </c>
      <c r="C432" s="8" t="s">
        <v>299</v>
      </c>
      <c r="D432" s="8" t="s">
        <v>299</v>
      </c>
      <c r="E432" s="8" t="s">
        <v>299</v>
      </c>
      <c r="F432" s="8" t="s">
        <v>299</v>
      </c>
      <c r="G432" s="8" t="s">
        <v>299</v>
      </c>
      <c r="H432" s="8" t="s">
        <v>299</v>
      </c>
    </row>
    <row r="433">
      <c r="A433" s="19"/>
      <c r="B433" s="8" t="s">
        <v>299</v>
      </c>
      <c r="C433" s="8" t="s">
        <v>299</v>
      </c>
      <c r="D433" s="8" t="s">
        <v>299</v>
      </c>
      <c r="E433" s="8" t="s">
        <v>299</v>
      </c>
      <c r="F433" s="8" t="s">
        <v>299</v>
      </c>
      <c r="G433" s="8" t="s">
        <v>299</v>
      </c>
      <c r="H433" s="8" t="s">
        <v>299</v>
      </c>
    </row>
    <row r="434">
      <c r="A434" s="19"/>
      <c r="B434" s="8" t="s">
        <v>299</v>
      </c>
      <c r="C434" s="8" t="s">
        <v>299</v>
      </c>
      <c r="D434" s="8" t="s">
        <v>299</v>
      </c>
      <c r="E434" s="8" t="s">
        <v>299</v>
      </c>
      <c r="F434" s="8" t="s">
        <v>299</v>
      </c>
      <c r="G434" s="8" t="s">
        <v>299</v>
      </c>
      <c r="H434" s="8" t="s">
        <v>299</v>
      </c>
    </row>
    <row r="435">
      <c r="A435" s="19"/>
      <c r="B435" s="8" t="s">
        <v>299</v>
      </c>
      <c r="C435" s="8" t="s">
        <v>299</v>
      </c>
      <c r="D435" s="8" t="s">
        <v>299</v>
      </c>
      <c r="E435" s="8" t="s">
        <v>299</v>
      </c>
      <c r="F435" s="8" t="s">
        <v>299</v>
      </c>
      <c r="G435" s="8" t="s">
        <v>299</v>
      </c>
      <c r="H435" s="8" t="s">
        <v>299</v>
      </c>
    </row>
    <row r="436">
      <c r="A436" s="19"/>
      <c r="B436" s="8" t="s">
        <v>299</v>
      </c>
      <c r="C436" s="8" t="s">
        <v>299</v>
      </c>
      <c r="D436" s="8" t="s">
        <v>299</v>
      </c>
      <c r="E436" s="8" t="s">
        <v>299</v>
      </c>
      <c r="F436" s="8" t="s">
        <v>299</v>
      </c>
      <c r="G436" s="8" t="s">
        <v>299</v>
      </c>
      <c r="H436" s="8" t="s">
        <v>299</v>
      </c>
    </row>
    <row r="437">
      <c r="A437" s="19"/>
      <c r="B437" s="8" t="s">
        <v>299</v>
      </c>
      <c r="C437" s="8" t="s">
        <v>299</v>
      </c>
      <c r="D437" s="8" t="s">
        <v>299</v>
      </c>
      <c r="E437" s="8" t="s">
        <v>299</v>
      </c>
      <c r="F437" s="8" t="s">
        <v>299</v>
      </c>
      <c r="G437" s="8" t="s">
        <v>299</v>
      </c>
      <c r="H437" s="8" t="s">
        <v>299</v>
      </c>
    </row>
    <row r="438">
      <c r="A438" s="19"/>
      <c r="B438" s="8" t="s">
        <v>299</v>
      </c>
      <c r="C438" s="8" t="s">
        <v>299</v>
      </c>
      <c r="D438" s="8" t="s">
        <v>299</v>
      </c>
      <c r="E438" s="8" t="s">
        <v>299</v>
      </c>
      <c r="F438" s="8" t="s">
        <v>299</v>
      </c>
      <c r="G438" s="8" t="s">
        <v>299</v>
      </c>
      <c r="H438" s="8" t="s">
        <v>299</v>
      </c>
    </row>
    <row r="439">
      <c r="A439" s="19"/>
      <c r="B439" s="8" t="s">
        <v>299</v>
      </c>
      <c r="C439" s="8" t="s">
        <v>299</v>
      </c>
      <c r="D439" s="8" t="s">
        <v>299</v>
      </c>
      <c r="E439" s="8" t="s">
        <v>299</v>
      </c>
      <c r="F439" s="8" t="s">
        <v>299</v>
      </c>
      <c r="G439" s="8" t="s">
        <v>299</v>
      </c>
      <c r="H439" s="8" t="s">
        <v>299</v>
      </c>
    </row>
    <row r="440">
      <c r="A440" s="19"/>
      <c r="B440" s="8" t="s">
        <v>299</v>
      </c>
      <c r="C440" s="8" t="s">
        <v>299</v>
      </c>
      <c r="D440" s="8" t="s">
        <v>299</v>
      </c>
      <c r="E440" s="8" t="s">
        <v>299</v>
      </c>
      <c r="F440" s="8" t="s">
        <v>299</v>
      </c>
      <c r="G440" s="8" t="s">
        <v>299</v>
      </c>
      <c r="H440" s="8" t="s">
        <v>299</v>
      </c>
    </row>
    <row r="441">
      <c r="A441" s="19"/>
      <c r="B441" s="8" t="s">
        <v>299</v>
      </c>
      <c r="C441" s="8" t="s">
        <v>299</v>
      </c>
      <c r="D441" s="8" t="s">
        <v>299</v>
      </c>
      <c r="E441" s="8" t="s">
        <v>299</v>
      </c>
      <c r="F441" s="8" t="s">
        <v>299</v>
      </c>
      <c r="G441" s="8" t="s">
        <v>299</v>
      </c>
      <c r="H441" s="8" t="s">
        <v>299</v>
      </c>
    </row>
    <row r="442">
      <c r="A442" s="19"/>
      <c r="B442" s="8" t="s">
        <v>299</v>
      </c>
      <c r="C442" s="8" t="s">
        <v>299</v>
      </c>
      <c r="D442" s="8" t="s">
        <v>299</v>
      </c>
      <c r="E442" s="8" t="s">
        <v>299</v>
      </c>
      <c r="F442" s="8" t="s">
        <v>299</v>
      </c>
      <c r="G442" s="8" t="s">
        <v>299</v>
      </c>
      <c r="H442" s="8" t="s">
        <v>299</v>
      </c>
    </row>
    <row r="443">
      <c r="A443" s="19"/>
      <c r="B443" s="8" t="s">
        <v>299</v>
      </c>
      <c r="C443" s="8" t="s">
        <v>299</v>
      </c>
      <c r="D443" s="8" t="s">
        <v>299</v>
      </c>
      <c r="E443" s="8" t="s">
        <v>299</v>
      </c>
      <c r="F443" s="8" t="s">
        <v>299</v>
      </c>
      <c r="G443" s="8" t="s">
        <v>299</v>
      </c>
      <c r="H443" s="8" t="s">
        <v>299</v>
      </c>
    </row>
    <row r="444">
      <c r="A444" s="19"/>
      <c r="B444" s="8" t="s">
        <v>299</v>
      </c>
      <c r="C444" s="8" t="s">
        <v>299</v>
      </c>
      <c r="D444" s="8" t="s">
        <v>299</v>
      </c>
      <c r="E444" s="8" t="s">
        <v>299</v>
      </c>
      <c r="F444" s="8" t="s">
        <v>299</v>
      </c>
      <c r="G444" s="8" t="s">
        <v>299</v>
      </c>
      <c r="H444" s="8" t="s">
        <v>299</v>
      </c>
    </row>
    <row r="445">
      <c r="A445" s="19"/>
      <c r="B445" s="8" t="s">
        <v>299</v>
      </c>
      <c r="C445" s="8" t="s">
        <v>299</v>
      </c>
      <c r="D445" s="8" t="s">
        <v>299</v>
      </c>
      <c r="E445" s="8" t="s">
        <v>299</v>
      </c>
      <c r="F445" s="8" t="s">
        <v>299</v>
      </c>
      <c r="G445" s="8" t="s">
        <v>299</v>
      </c>
      <c r="H445" s="8" t="s">
        <v>299</v>
      </c>
    </row>
    <row r="446">
      <c r="A446" s="19"/>
      <c r="B446" s="8" t="s">
        <v>299</v>
      </c>
      <c r="C446" s="8" t="s">
        <v>299</v>
      </c>
      <c r="D446" s="8" t="s">
        <v>299</v>
      </c>
      <c r="E446" s="8" t="s">
        <v>299</v>
      </c>
      <c r="F446" s="8" t="s">
        <v>299</v>
      </c>
      <c r="G446" s="8" t="s">
        <v>299</v>
      </c>
      <c r="H446" s="8" t="s">
        <v>299</v>
      </c>
    </row>
    <row r="447">
      <c r="A447" s="19"/>
      <c r="B447" s="8" t="s">
        <v>299</v>
      </c>
      <c r="C447" s="8" t="s">
        <v>299</v>
      </c>
      <c r="D447" s="8" t="s">
        <v>299</v>
      </c>
      <c r="E447" s="8" t="s">
        <v>299</v>
      </c>
      <c r="F447" s="8" t="s">
        <v>299</v>
      </c>
      <c r="G447" s="8" t="s">
        <v>299</v>
      </c>
      <c r="H447" s="8" t="s">
        <v>299</v>
      </c>
    </row>
    <row r="448">
      <c r="A448" s="19"/>
      <c r="B448" s="8" t="s">
        <v>299</v>
      </c>
      <c r="C448" s="8" t="s">
        <v>299</v>
      </c>
      <c r="D448" s="8" t="s">
        <v>299</v>
      </c>
      <c r="E448" s="8" t="s">
        <v>299</v>
      </c>
      <c r="F448" s="8" t="s">
        <v>299</v>
      </c>
      <c r="G448" s="8" t="s">
        <v>299</v>
      </c>
      <c r="H448" s="8" t="s">
        <v>299</v>
      </c>
    </row>
    <row r="449">
      <c r="A449" s="19"/>
      <c r="B449" s="8" t="s">
        <v>299</v>
      </c>
      <c r="C449" s="8" t="s">
        <v>299</v>
      </c>
      <c r="D449" s="8" t="s">
        <v>299</v>
      </c>
      <c r="E449" s="8" t="s">
        <v>299</v>
      </c>
      <c r="F449" s="8" t="s">
        <v>299</v>
      </c>
      <c r="G449" s="8" t="s">
        <v>299</v>
      </c>
      <c r="H449" s="8" t="s">
        <v>299</v>
      </c>
    </row>
    <row r="450">
      <c r="A450" s="19"/>
      <c r="B450" s="8" t="s">
        <v>299</v>
      </c>
      <c r="C450" s="8" t="s">
        <v>299</v>
      </c>
      <c r="D450" s="8" t="s">
        <v>299</v>
      </c>
      <c r="E450" s="8" t="s">
        <v>299</v>
      </c>
      <c r="F450" s="8" t="s">
        <v>299</v>
      </c>
      <c r="G450" s="8" t="s">
        <v>299</v>
      </c>
      <c r="H450" s="8" t="s">
        <v>299</v>
      </c>
    </row>
    <row r="451">
      <c r="A451" s="19"/>
      <c r="B451" s="8" t="s">
        <v>299</v>
      </c>
      <c r="C451" s="8" t="s">
        <v>299</v>
      </c>
      <c r="D451" s="8" t="s">
        <v>299</v>
      </c>
      <c r="E451" s="8" t="s">
        <v>299</v>
      </c>
      <c r="F451" s="8" t="s">
        <v>299</v>
      </c>
      <c r="G451" s="8" t="s">
        <v>299</v>
      </c>
      <c r="H451" s="8" t="s">
        <v>299</v>
      </c>
    </row>
    <row r="452">
      <c r="A452" s="19"/>
      <c r="B452" s="8" t="s">
        <v>299</v>
      </c>
      <c r="C452" s="8" t="s">
        <v>299</v>
      </c>
      <c r="D452" s="8" t="s">
        <v>299</v>
      </c>
      <c r="E452" s="8" t="s">
        <v>299</v>
      </c>
      <c r="F452" s="8" t="s">
        <v>299</v>
      </c>
      <c r="G452" s="8" t="s">
        <v>299</v>
      </c>
      <c r="H452" s="8" t="s">
        <v>299</v>
      </c>
    </row>
    <row r="453">
      <c r="A453" s="19"/>
      <c r="B453" s="8" t="s">
        <v>299</v>
      </c>
      <c r="C453" s="8" t="s">
        <v>299</v>
      </c>
      <c r="D453" s="8" t="s">
        <v>299</v>
      </c>
      <c r="E453" s="8" t="s">
        <v>299</v>
      </c>
      <c r="F453" s="8" t="s">
        <v>299</v>
      </c>
      <c r="G453" s="8" t="s">
        <v>299</v>
      </c>
      <c r="H453" s="8" t="s">
        <v>299</v>
      </c>
    </row>
    <row r="454">
      <c r="A454" s="19"/>
      <c r="B454" s="8" t="s">
        <v>299</v>
      </c>
      <c r="C454" s="8" t="s">
        <v>299</v>
      </c>
      <c r="D454" s="8" t="s">
        <v>299</v>
      </c>
      <c r="E454" s="8" t="s">
        <v>299</v>
      </c>
      <c r="F454" s="8" t="s">
        <v>299</v>
      </c>
      <c r="G454" s="8" t="s">
        <v>299</v>
      </c>
      <c r="H454" s="8" t="s">
        <v>299</v>
      </c>
    </row>
    <row r="455">
      <c r="A455" s="19"/>
      <c r="B455" s="8" t="s">
        <v>299</v>
      </c>
      <c r="C455" s="8" t="s">
        <v>299</v>
      </c>
      <c r="D455" s="8" t="s">
        <v>299</v>
      </c>
      <c r="E455" s="8" t="s">
        <v>299</v>
      </c>
      <c r="F455" s="8" t="s">
        <v>299</v>
      </c>
      <c r="G455" s="8" t="s">
        <v>299</v>
      </c>
      <c r="H455" s="8" t="s">
        <v>299</v>
      </c>
    </row>
    <row r="456">
      <c r="A456" s="19"/>
      <c r="B456" s="8" t="s">
        <v>299</v>
      </c>
      <c r="C456" s="8" t="s">
        <v>299</v>
      </c>
      <c r="D456" s="8" t="s">
        <v>299</v>
      </c>
      <c r="E456" s="8" t="s">
        <v>299</v>
      </c>
      <c r="F456" s="8" t="s">
        <v>299</v>
      </c>
      <c r="G456" s="8" t="s">
        <v>299</v>
      </c>
      <c r="H456" s="8" t="s">
        <v>299</v>
      </c>
    </row>
    <row r="457">
      <c r="A457" s="19"/>
      <c r="B457" s="8" t="s">
        <v>299</v>
      </c>
      <c r="C457" s="8" t="s">
        <v>299</v>
      </c>
      <c r="D457" s="8" t="s">
        <v>299</v>
      </c>
      <c r="E457" s="8" t="s">
        <v>299</v>
      </c>
      <c r="F457" s="8" t="s">
        <v>299</v>
      </c>
      <c r="G457" s="8" t="s">
        <v>299</v>
      </c>
      <c r="H457" s="8" t="s">
        <v>299</v>
      </c>
    </row>
    <row r="458">
      <c r="A458" s="19"/>
      <c r="B458" s="8" t="s">
        <v>299</v>
      </c>
      <c r="C458" s="8" t="s">
        <v>299</v>
      </c>
      <c r="D458" s="8" t="s">
        <v>299</v>
      </c>
      <c r="E458" s="8" t="s">
        <v>299</v>
      </c>
      <c r="F458" s="8" t="s">
        <v>299</v>
      </c>
      <c r="G458" s="8" t="s">
        <v>299</v>
      </c>
      <c r="H458" s="8" t="s">
        <v>299</v>
      </c>
    </row>
    <row r="459">
      <c r="A459" s="19"/>
      <c r="B459" s="8" t="s">
        <v>299</v>
      </c>
      <c r="C459" s="8" t="s">
        <v>299</v>
      </c>
      <c r="D459" s="8" t="s">
        <v>299</v>
      </c>
      <c r="E459" s="8" t="s">
        <v>299</v>
      </c>
      <c r="F459" s="8" t="s">
        <v>299</v>
      </c>
      <c r="G459" s="8" t="s">
        <v>299</v>
      </c>
      <c r="H459" s="8" t="s">
        <v>299</v>
      </c>
    </row>
    <row r="460">
      <c r="A460" s="19"/>
      <c r="B460" s="8" t="s">
        <v>299</v>
      </c>
      <c r="C460" s="8" t="s">
        <v>299</v>
      </c>
      <c r="D460" s="8" t="s">
        <v>299</v>
      </c>
      <c r="E460" s="8" t="s">
        <v>299</v>
      </c>
      <c r="F460" s="8" t="s">
        <v>299</v>
      </c>
      <c r="G460" s="8" t="s">
        <v>299</v>
      </c>
      <c r="H460" s="8" t="s">
        <v>299</v>
      </c>
    </row>
    <row r="461">
      <c r="A461" s="19"/>
      <c r="B461" s="8" t="s">
        <v>299</v>
      </c>
      <c r="C461" s="8" t="s">
        <v>299</v>
      </c>
      <c r="D461" s="8" t="s">
        <v>299</v>
      </c>
      <c r="E461" s="8" t="s">
        <v>299</v>
      </c>
      <c r="F461" s="8" t="s">
        <v>299</v>
      </c>
      <c r="G461" s="8" t="s">
        <v>299</v>
      </c>
      <c r="H461" s="8" t="s">
        <v>299</v>
      </c>
    </row>
    <row r="462">
      <c r="A462" s="19"/>
      <c r="B462" s="8" t="s">
        <v>299</v>
      </c>
      <c r="C462" s="8" t="s">
        <v>299</v>
      </c>
      <c r="D462" s="8" t="s">
        <v>299</v>
      </c>
      <c r="E462" s="8" t="s">
        <v>299</v>
      </c>
      <c r="F462" s="8" t="s">
        <v>299</v>
      </c>
      <c r="G462" s="8" t="s">
        <v>299</v>
      </c>
      <c r="H462" s="8" t="s">
        <v>299</v>
      </c>
    </row>
    <row r="463">
      <c r="A463" s="19"/>
      <c r="B463" s="8" t="s">
        <v>299</v>
      </c>
      <c r="C463" s="8" t="s">
        <v>299</v>
      </c>
      <c r="D463" s="8" t="s">
        <v>299</v>
      </c>
      <c r="E463" s="8" t="s">
        <v>299</v>
      </c>
      <c r="F463" s="8" t="s">
        <v>299</v>
      </c>
      <c r="G463" s="8" t="s">
        <v>299</v>
      </c>
      <c r="H463" s="8" t="s">
        <v>299</v>
      </c>
    </row>
    <row r="464">
      <c r="A464" s="19"/>
      <c r="B464" s="8" t="s">
        <v>299</v>
      </c>
      <c r="C464" s="8" t="s">
        <v>299</v>
      </c>
      <c r="D464" s="8" t="s">
        <v>299</v>
      </c>
      <c r="E464" s="8" t="s">
        <v>299</v>
      </c>
      <c r="F464" s="8" t="s">
        <v>299</v>
      </c>
      <c r="G464" s="8" t="s">
        <v>299</v>
      </c>
      <c r="H464" s="8" t="s">
        <v>299</v>
      </c>
    </row>
    <row r="465">
      <c r="A465" s="19"/>
      <c r="B465" s="8" t="s">
        <v>299</v>
      </c>
      <c r="C465" s="8" t="s">
        <v>299</v>
      </c>
      <c r="D465" s="8" t="s">
        <v>299</v>
      </c>
      <c r="E465" s="8" t="s">
        <v>299</v>
      </c>
      <c r="F465" s="8" t="s">
        <v>299</v>
      </c>
      <c r="G465" s="8" t="s">
        <v>299</v>
      </c>
      <c r="H465" s="8" t="s">
        <v>299</v>
      </c>
    </row>
    <row r="466">
      <c r="A466" s="19"/>
      <c r="B466" s="8" t="s">
        <v>299</v>
      </c>
      <c r="C466" s="8" t="s">
        <v>299</v>
      </c>
      <c r="D466" s="8" t="s">
        <v>299</v>
      </c>
      <c r="E466" s="8" t="s">
        <v>299</v>
      </c>
      <c r="F466" s="8" t="s">
        <v>299</v>
      </c>
      <c r="G466" s="8" t="s">
        <v>299</v>
      </c>
      <c r="H466" s="8" t="s">
        <v>299</v>
      </c>
    </row>
    <row r="467">
      <c r="A467" s="19"/>
      <c r="B467" s="8" t="s">
        <v>299</v>
      </c>
      <c r="C467" s="8" t="s">
        <v>299</v>
      </c>
      <c r="D467" s="8" t="s">
        <v>299</v>
      </c>
      <c r="E467" s="8" t="s">
        <v>299</v>
      </c>
      <c r="F467" s="8" t="s">
        <v>299</v>
      </c>
      <c r="G467" s="8" t="s">
        <v>299</v>
      </c>
      <c r="H467" s="8" t="s">
        <v>299</v>
      </c>
    </row>
    <row r="468">
      <c r="A468" s="19"/>
      <c r="B468" s="8" t="s">
        <v>299</v>
      </c>
      <c r="C468" s="8" t="s">
        <v>299</v>
      </c>
      <c r="D468" s="8" t="s">
        <v>299</v>
      </c>
      <c r="E468" s="8" t="s">
        <v>299</v>
      </c>
      <c r="F468" s="8" t="s">
        <v>299</v>
      </c>
      <c r="G468" s="8" t="s">
        <v>299</v>
      </c>
      <c r="H468" s="8" t="s">
        <v>299</v>
      </c>
    </row>
    <row r="469">
      <c r="A469" s="19"/>
      <c r="B469" s="8" t="s">
        <v>299</v>
      </c>
      <c r="C469" s="8" t="s">
        <v>299</v>
      </c>
      <c r="D469" s="8" t="s">
        <v>299</v>
      </c>
      <c r="E469" s="8" t="s">
        <v>299</v>
      </c>
      <c r="F469" s="8" t="s">
        <v>299</v>
      </c>
      <c r="G469" s="8" t="s">
        <v>299</v>
      </c>
      <c r="H469" s="8" t="s">
        <v>299</v>
      </c>
    </row>
    <row r="470">
      <c r="A470" s="19"/>
      <c r="B470" s="8" t="s">
        <v>299</v>
      </c>
      <c r="C470" s="8" t="s">
        <v>299</v>
      </c>
      <c r="D470" s="8" t="s">
        <v>299</v>
      </c>
      <c r="E470" s="8" t="s">
        <v>299</v>
      </c>
      <c r="F470" s="8" t="s">
        <v>299</v>
      </c>
      <c r="G470" s="8" t="s">
        <v>299</v>
      </c>
      <c r="H470" s="8" t="s">
        <v>299</v>
      </c>
    </row>
    <row r="471">
      <c r="A471" s="19"/>
      <c r="B471" s="8" t="s">
        <v>299</v>
      </c>
      <c r="C471" s="8" t="s">
        <v>299</v>
      </c>
      <c r="D471" s="8" t="s">
        <v>299</v>
      </c>
      <c r="E471" s="8" t="s">
        <v>299</v>
      </c>
      <c r="F471" s="8" t="s">
        <v>299</v>
      </c>
      <c r="G471" s="8" t="s">
        <v>299</v>
      </c>
      <c r="H471" s="8" t="s">
        <v>299</v>
      </c>
    </row>
    <row r="472">
      <c r="A472" s="19"/>
      <c r="B472" s="8" t="s">
        <v>299</v>
      </c>
      <c r="C472" s="8" t="s">
        <v>299</v>
      </c>
      <c r="D472" s="8" t="s">
        <v>299</v>
      </c>
      <c r="E472" s="8" t="s">
        <v>299</v>
      </c>
      <c r="F472" s="8" t="s">
        <v>299</v>
      </c>
      <c r="G472" s="8" t="s">
        <v>299</v>
      </c>
      <c r="H472" s="8" t="s">
        <v>299</v>
      </c>
    </row>
    <row r="473">
      <c r="A473" s="19"/>
      <c r="B473" s="8" t="s">
        <v>299</v>
      </c>
      <c r="C473" s="8" t="s">
        <v>299</v>
      </c>
      <c r="D473" s="8" t="s">
        <v>299</v>
      </c>
      <c r="E473" s="8" t="s">
        <v>299</v>
      </c>
      <c r="F473" s="8" t="s">
        <v>299</v>
      </c>
      <c r="G473" s="8" t="s">
        <v>299</v>
      </c>
      <c r="H473" s="8" t="s">
        <v>299</v>
      </c>
    </row>
    <row r="474">
      <c r="A474" s="19"/>
      <c r="B474" s="8" t="s">
        <v>299</v>
      </c>
      <c r="C474" s="8" t="s">
        <v>299</v>
      </c>
      <c r="D474" s="8" t="s">
        <v>299</v>
      </c>
      <c r="E474" s="8" t="s">
        <v>299</v>
      </c>
      <c r="F474" s="8" t="s">
        <v>299</v>
      </c>
      <c r="G474" s="8" t="s">
        <v>299</v>
      </c>
      <c r="H474" s="8" t="s">
        <v>299</v>
      </c>
    </row>
    <row r="475">
      <c r="A475" s="19"/>
      <c r="B475" s="8" t="s">
        <v>299</v>
      </c>
      <c r="C475" s="8" t="s">
        <v>299</v>
      </c>
      <c r="D475" s="8" t="s">
        <v>299</v>
      </c>
      <c r="E475" s="8" t="s">
        <v>299</v>
      </c>
      <c r="F475" s="8" t="s">
        <v>299</v>
      </c>
      <c r="G475" s="8" t="s">
        <v>299</v>
      </c>
      <c r="H475" s="8" t="s">
        <v>299</v>
      </c>
    </row>
    <row r="476">
      <c r="A476" s="19"/>
      <c r="B476" s="8" t="s">
        <v>299</v>
      </c>
      <c r="C476" s="8" t="s">
        <v>299</v>
      </c>
      <c r="D476" s="8" t="s">
        <v>299</v>
      </c>
      <c r="E476" s="8" t="s">
        <v>299</v>
      </c>
      <c r="F476" s="8" t="s">
        <v>299</v>
      </c>
      <c r="G476" s="8" t="s">
        <v>299</v>
      </c>
      <c r="H476" s="8" t="s">
        <v>299</v>
      </c>
    </row>
    <row r="477">
      <c r="A477" s="19"/>
      <c r="B477" s="8" t="s">
        <v>299</v>
      </c>
      <c r="C477" s="8" t="s">
        <v>299</v>
      </c>
      <c r="D477" s="8" t="s">
        <v>299</v>
      </c>
      <c r="E477" s="8" t="s">
        <v>299</v>
      </c>
      <c r="F477" s="8" t="s">
        <v>299</v>
      </c>
      <c r="G477" s="8" t="s">
        <v>299</v>
      </c>
      <c r="H477" s="8" t="s">
        <v>299</v>
      </c>
    </row>
    <row r="478">
      <c r="A478" s="19"/>
      <c r="B478" s="8" t="s">
        <v>299</v>
      </c>
      <c r="C478" s="8" t="s">
        <v>299</v>
      </c>
      <c r="D478" s="8" t="s">
        <v>299</v>
      </c>
      <c r="E478" s="8" t="s">
        <v>299</v>
      </c>
      <c r="F478" s="8" t="s">
        <v>299</v>
      </c>
      <c r="G478" s="8" t="s">
        <v>299</v>
      </c>
      <c r="H478" s="8" t="s">
        <v>299</v>
      </c>
    </row>
    <row r="479">
      <c r="A479" s="19"/>
      <c r="B479" s="8" t="s">
        <v>299</v>
      </c>
      <c r="C479" s="8" t="s">
        <v>299</v>
      </c>
      <c r="D479" s="8" t="s">
        <v>299</v>
      </c>
      <c r="E479" s="8" t="s">
        <v>299</v>
      </c>
      <c r="F479" s="8" t="s">
        <v>299</v>
      </c>
      <c r="G479" s="8" t="s">
        <v>299</v>
      </c>
      <c r="H479" s="8" t="s">
        <v>299</v>
      </c>
    </row>
    <row r="480">
      <c r="A480" s="19"/>
      <c r="B480" s="8" t="s">
        <v>299</v>
      </c>
      <c r="C480" s="8" t="s">
        <v>299</v>
      </c>
      <c r="D480" s="8" t="s">
        <v>299</v>
      </c>
      <c r="E480" s="8" t="s">
        <v>299</v>
      </c>
      <c r="F480" s="8" t="s">
        <v>299</v>
      </c>
      <c r="G480" s="8" t="s">
        <v>299</v>
      </c>
      <c r="H480" s="8" t="s">
        <v>299</v>
      </c>
    </row>
    <row r="481">
      <c r="A481" s="19"/>
      <c r="B481" s="8" t="s">
        <v>299</v>
      </c>
      <c r="C481" s="8" t="s">
        <v>299</v>
      </c>
      <c r="D481" s="8" t="s">
        <v>299</v>
      </c>
      <c r="E481" s="8" t="s">
        <v>299</v>
      </c>
      <c r="F481" s="8" t="s">
        <v>299</v>
      </c>
      <c r="G481" s="8" t="s">
        <v>299</v>
      </c>
      <c r="H481" s="8" t="s">
        <v>299</v>
      </c>
    </row>
    <row r="482">
      <c r="A482" s="19"/>
      <c r="B482" s="8" t="s">
        <v>299</v>
      </c>
      <c r="C482" s="8" t="s">
        <v>299</v>
      </c>
      <c r="D482" s="8" t="s">
        <v>299</v>
      </c>
      <c r="E482" s="8" t="s">
        <v>299</v>
      </c>
      <c r="F482" s="8" t="s">
        <v>299</v>
      </c>
      <c r="G482" s="8" t="s">
        <v>299</v>
      </c>
      <c r="H482" s="8" t="s">
        <v>299</v>
      </c>
    </row>
    <row r="483">
      <c r="A483" s="19"/>
      <c r="B483" s="8" t="s">
        <v>299</v>
      </c>
      <c r="C483" s="8" t="s">
        <v>299</v>
      </c>
      <c r="D483" s="8" t="s">
        <v>299</v>
      </c>
      <c r="E483" s="8" t="s">
        <v>299</v>
      </c>
      <c r="F483" s="8" t="s">
        <v>299</v>
      </c>
      <c r="G483" s="8" t="s">
        <v>299</v>
      </c>
      <c r="H483" s="8" t="s">
        <v>299</v>
      </c>
    </row>
    <row r="484">
      <c r="A484" s="19"/>
      <c r="B484" s="8" t="s">
        <v>299</v>
      </c>
      <c r="C484" s="8" t="s">
        <v>299</v>
      </c>
      <c r="D484" s="8" t="s">
        <v>299</v>
      </c>
      <c r="E484" s="8" t="s">
        <v>299</v>
      </c>
      <c r="F484" s="8" t="s">
        <v>299</v>
      </c>
      <c r="G484" s="8" t="s">
        <v>299</v>
      </c>
      <c r="H484" s="8" t="s">
        <v>299</v>
      </c>
    </row>
    <row r="485">
      <c r="A485" s="19"/>
      <c r="B485" s="8" t="s">
        <v>299</v>
      </c>
      <c r="C485" s="8" t="s">
        <v>299</v>
      </c>
      <c r="D485" s="8" t="s">
        <v>299</v>
      </c>
      <c r="E485" s="8" t="s">
        <v>299</v>
      </c>
      <c r="F485" s="8" t="s">
        <v>299</v>
      </c>
      <c r="G485" s="8" t="s">
        <v>299</v>
      </c>
      <c r="H485" s="8" t="s">
        <v>299</v>
      </c>
    </row>
    <row r="486">
      <c r="A486" s="19"/>
      <c r="B486" s="8" t="s">
        <v>299</v>
      </c>
      <c r="C486" s="8" t="s">
        <v>299</v>
      </c>
      <c r="D486" s="8" t="s">
        <v>299</v>
      </c>
      <c r="E486" s="8" t="s">
        <v>299</v>
      </c>
      <c r="F486" s="8" t="s">
        <v>299</v>
      </c>
      <c r="G486" s="8" t="s">
        <v>299</v>
      </c>
      <c r="H486" s="8" t="s">
        <v>299</v>
      </c>
    </row>
    <row r="487">
      <c r="A487" s="19"/>
      <c r="B487" s="8" t="s">
        <v>299</v>
      </c>
      <c r="C487" s="8" t="s">
        <v>299</v>
      </c>
      <c r="D487" s="8" t="s">
        <v>299</v>
      </c>
      <c r="E487" s="8" t="s">
        <v>299</v>
      </c>
      <c r="F487" s="8" t="s">
        <v>299</v>
      </c>
      <c r="G487" s="8" t="s">
        <v>299</v>
      </c>
      <c r="H487" s="8" t="s">
        <v>299</v>
      </c>
    </row>
    <row r="488">
      <c r="A488" s="19"/>
      <c r="B488" s="8" t="s">
        <v>299</v>
      </c>
      <c r="C488" s="8" t="s">
        <v>299</v>
      </c>
      <c r="D488" s="8" t="s">
        <v>299</v>
      </c>
      <c r="E488" s="8" t="s">
        <v>299</v>
      </c>
      <c r="F488" s="8" t="s">
        <v>299</v>
      </c>
      <c r="G488" s="8" t="s">
        <v>299</v>
      </c>
      <c r="H488" s="8" t="s">
        <v>299</v>
      </c>
    </row>
    <row r="489">
      <c r="A489" s="19"/>
      <c r="B489" s="8" t="s">
        <v>299</v>
      </c>
      <c r="C489" s="8" t="s">
        <v>299</v>
      </c>
      <c r="D489" s="8" t="s">
        <v>299</v>
      </c>
      <c r="E489" s="8" t="s">
        <v>299</v>
      </c>
      <c r="F489" s="8" t="s">
        <v>299</v>
      </c>
      <c r="G489" s="8" t="s">
        <v>299</v>
      </c>
      <c r="H489" s="8" t="s">
        <v>299</v>
      </c>
    </row>
    <row r="490">
      <c r="A490" s="19"/>
      <c r="B490" s="8" t="s">
        <v>299</v>
      </c>
      <c r="C490" s="8" t="s">
        <v>299</v>
      </c>
      <c r="D490" s="8" t="s">
        <v>299</v>
      </c>
      <c r="E490" s="8" t="s">
        <v>299</v>
      </c>
      <c r="F490" s="8" t="s">
        <v>299</v>
      </c>
      <c r="G490" s="8" t="s">
        <v>299</v>
      </c>
      <c r="H490" s="8" t="s">
        <v>299</v>
      </c>
    </row>
    <row r="491">
      <c r="A491" s="19"/>
      <c r="B491" s="8" t="s">
        <v>299</v>
      </c>
      <c r="C491" s="8" t="s">
        <v>299</v>
      </c>
      <c r="D491" s="8" t="s">
        <v>299</v>
      </c>
      <c r="E491" s="8" t="s">
        <v>299</v>
      </c>
      <c r="F491" s="8" t="s">
        <v>299</v>
      </c>
      <c r="G491" s="8" t="s">
        <v>299</v>
      </c>
      <c r="H491" s="8" t="s">
        <v>299</v>
      </c>
    </row>
    <row r="492">
      <c r="A492" s="19"/>
      <c r="B492" s="8" t="s">
        <v>299</v>
      </c>
      <c r="C492" s="8" t="s">
        <v>299</v>
      </c>
      <c r="D492" s="8" t="s">
        <v>299</v>
      </c>
      <c r="E492" s="8" t="s">
        <v>299</v>
      </c>
      <c r="F492" s="8" t="s">
        <v>299</v>
      </c>
      <c r="G492" s="8" t="s">
        <v>299</v>
      </c>
      <c r="H492" s="8" t="s">
        <v>299</v>
      </c>
    </row>
    <row r="493">
      <c r="A493" s="19"/>
      <c r="B493" s="8" t="s">
        <v>299</v>
      </c>
      <c r="C493" s="8" t="s">
        <v>299</v>
      </c>
      <c r="D493" s="8" t="s">
        <v>299</v>
      </c>
      <c r="E493" s="8" t="s">
        <v>299</v>
      </c>
      <c r="F493" s="8" t="s">
        <v>299</v>
      </c>
      <c r="G493" s="8" t="s">
        <v>299</v>
      </c>
      <c r="H493" s="8" t="s">
        <v>299</v>
      </c>
    </row>
    <row r="494">
      <c r="A494" s="19"/>
      <c r="B494" s="8" t="s">
        <v>299</v>
      </c>
      <c r="C494" s="8" t="s">
        <v>299</v>
      </c>
      <c r="D494" s="8" t="s">
        <v>299</v>
      </c>
      <c r="E494" s="8" t="s">
        <v>299</v>
      </c>
      <c r="F494" s="8" t="s">
        <v>299</v>
      </c>
      <c r="G494" s="8" t="s">
        <v>299</v>
      </c>
      <c r="H494" s="8" t="s">
        <v>299</v>
      </c>
    </row>
    <row r="495">
      <c r="A495" s="19"/>
      <c r="B495" s="8" t="s">
        <v>299</v>
      </c>
      <c r="C495" s="8" t="s">
        <v>299</v>
      </c>
      <c r="D495" s="8" t="s">
        <v>299</v>
      </c>
      <c r="E495" s="8" t="s">
        <v>299</v>
      </c>
      <c r="F495" s="8" t="s">
        <v>299</v>
      </c>
      <c r="G495" s="8" t="s">
        <v>299</v>
      </c>
      <c r="H495" s="8" t="s">
        <v>299</v>
      </c>
    </row>
    <row r="496">
      <c r="A496" s="19"/>
      <c r="B496" s="8" t="s">
        <v>299</v>
      </c>
      <c r="C496" s="8" t="s">
        <v>299</v>
      </c>
      <c r="D496" s="8" t="s">
        <v>299</v>
      </c>
      <c r="E496" s="8" t="s">
        <v>299</v>
      </c>
      <c r="F496" s="8" t="s">
        <v>299</v>
      </c>
      <c r="G496" s="8" t="s">
        <v>299</v>
      </c>
      <c r="H496" s="8" t="s">
        <v>299</v>
      </c>
    </row>
    <row r="497">
      <c r="A497" s="19"/>
      <c r="B497" s="8" t="s">
        <v>299</v>
      </c>
      <c r="C497" s="8" t="s">
        <v>299</v>
      </c>
      <c r="D497" s="8" t="s">
        <v>299</v>
      </c>
      <c r="E497" s="8" t="s">
        <v>299</v>
      </c>
      <c r="F497" s="8" t="s">
        <v>299</v>
      </c>
      <c r="G497" s="8" t="s">
        <v>299</v>
      </c>
      <c r="H497" s="8" t="s">
        <v>299</v>
      </c>
    </row>
    <row r="498">
      <c r="A498" s="19"/>
      <c r="B498" s="8" t="s">
        <v>299</v>
      </c>
      <c r="C498" s="8" t="s">
        <v>299</v>
      </c>
      <c r="D498" s="8" t="s">
        <v>299</v>
      </c>
      <c r="E498" s="8" t="s">
        <v>299</v>
      </c>
      <c r="F498" s="8" t="s">
        <v>299</v>
      </c>
      <c r="G498" s="8" t="s">
        <v>299</v>
      </c>
      <c r="H498" s="8" t="s">
        <v>299</v>
      </c>
    </row>
    <row r="499">
      <c r="A499" s="19"/>
      <c r="B499" s="8" t="s">
        <v>299</v>
      </c>
      <c r="C499" s="8" t="s">
        <v>299</v>
      </c>
      <c r="D499" s="8" t="s">
        <v>299</v>
      </c>
      <c r="E499" s="8" t="s">
        <v>299</v>
      </c>
      <c r="F499" s="8" t="s">
        <v>299</v>
      </c>
      <c r="G499" s="8" t="s">
        <v>299</v>
      </c>
      <c r="H499" s="8" t="s">
        <v>299</v>
      </c>
    </row>
    <row r="500">
      <c r="A500" s="19"/>
      <c r="B500" s="8" t="s">
        <v>299</v>
      </c>
      <c r="C500" s="8" t="s">
        <v>299</v>
      </c>
      <c r="D500" s="8" t="s">
        <v>299</v>
      </c>
      <c r="E500" s="8" t="s">
        <v>299</v>
      </c>
      <c r="F500" s="8" t="s">
        <v>299</v>
      </c>
      <c r="G500" s="8" t="s">
        <v>299</v>
      </c>
      <c r="H500" s="8" t="s">
        <v>299</v>
      </c>
    </row>
    <row r="501">
      <c r="A501" s="19"/>
      <c r="B501" s="8" t="s">
        <v>299</v>
      </c>
      <c r="C501" s="8" t="s">
        <v>299</v>
      </c>
      <c r="D501" s="8" t="s">
        <v>299</v>
      </c>
      <c r="E501" s="8" t="s">
        <v>299</v>
      </c>
      <c r="F501" s="8" t="s">
        <v>299</v>
      </c>
      <c r="G501" s="8" t="s">
        <v>299</v>
      </c>
      <c r="H501" s="8" t="s">
        <v>299</v>
      </c>
    </row>
    <row r="502">
      <c r="A502" s="19"/>
      <c r="B502" s="8" t="s">
        <v>299</v>
      </c>
      <c r="C502" s="8" t="s">
        <v>299</v>
      </c>
      <c r="D502" s="8" t="s">
        <v>299</v>
      </c>
      <c r="E502" s="8" t="s">
        <v>299</v>
      </c>
      <c r="F502" s="8" t="s">
        <v>299</v>
      </c>
      <c r="G502" s="8" t="s">
        <v>299</v>
      </c>
      <c r="H502" s="8" t="s">
        <v>299</v>
      </c>
    </row>
    <row r="503">
      <c r="A503" s="19"/>
      <c r="B503" s="8" t="s">
        <v>299</v>
      </c>
      <c r="C503" s="8" t="s">
        <v>299</v>
      </c>
      <c r="D503" s="8" t="s">
        <v>299</v>
      </c>
      <c r="E503" s="8" t="s">
        <v>299</v>
      </c>
      <c r="F503" s="8" t="s">
        <v>299</v>
      </c>
      <c r="G503" s="8" t="s">
        <v>299</v>
      </c>
      <c r="H503" s="8" t="s">
        <v>299</v>
      </c>
    </row>
    <row r="504">
      <c r="A504" s="19"/>
      <c r="B504" s="8" t="s">
        <v>299</v>
      </c>
      <c r="C504" s="8" t="s">
        <v>299</v>
      </c>
      <c r="D504" s="8" t="s">
        <v>299</v>
      </c>
      <c r="E504" s="8" t="s">
        <v>299</v>
      </c>
      <c r="F504" s="8" t="s">
        <v>299</v>
      </c>
      <c r="G504" s="8" t="s">
        <v>299</v>
      </c>
      <c r="H504" s="8" t="s">
        <v>299</v>
      </c>
    </row>
    <row r="505">
      <c r="A505" s="19"/>
      <c r="B505" s="8" t="s">
        <v>299</v>
      </c>
      <c r="C505" s="8" t="s">
        <v>299</v>
      </c>
      <c r="D505" s="8" t="s">
        <v>299</v>
      </c>
      <c r="E505" s="8" t="s">
        <v>299</v>
      </c>
      <c r="F505" s="8" t="s">
        <v>299</v>
      </c>
      <c r="G505" s="8" t="s">
        <v>299</v>
      </c>
      <c r="H505" s="8" t="s">
        <v>299</v>
      </c>
    </row>
    <row r="506">
      <c r="A506" s="19"/>
      <c r="B506" s="8" t="s">
        <v>299</v>
      </c>
      <c r="C506" s="8" t="s">
        <v>299</v>
      </c>
      <c r="D506" s="8" t="s">
        <v>299</v>
      </c>
      <c r="E506" s="8" t="s">
        <v>299</v>
      </c>
      <c r="F506" s="8" t="s">
        <v>299</v>
      </c>
      <c r="G506" s="8" t="s">
        <v>299</v>
      </c>
      <c r="H506" s="8" t="s">
        <v>299</v>
      </c>
    </row>
    <row r="507">
      <c r="A507" s="19"/>
      <c r="B507" s="8" t="s">
        <v>299</v>
      </c>
      <c r="C507" s="8" t="s">
        <v>299</v>
      </c>
      <c r="D507" s="8" t="s">
        <v>299</v>
      </c>
      <c r="E507" s="8" t="s">
        <v>299</v>
      </c>
      <c r="F507" s="8" t="s">
        <v>299</v>
      </c>
      <c r="G507" s="8" t="s">
        <v>299</v>
      </c>
      <c r="H507" s="8" t="s">
        <v>299</v>
      </c>
    </row>
    <row r="508">
      <c r="A508" s="19"/>
      <c r="B508" s="8" t="s">
        <v>299</v>
      </c>
      <c r="C508" s="8" t="s">
        <v>299</v>
      </c>
      <c r="D508" s="8" t="s">
        <v>299</v>
      </c>
      <c r="E508" s="8" t="s">
        <v>299</v>
      </c>
      <c r="F508" s="8" t="s">
        <v>299</v>
      </c>
      <c r="G508" s="8" t="s">
        <v>299</v>
      </c>
      <c r="H508" s="8" t="s">
        <v>299</v>
      </c>
    </row>
    <row r="509">
      <c r="A509" s="19"/>
      <c r="B509" s="8" t="s">
        <v>299</v>
      </c>
      <c r="C509" s="8" t="s">
        <v>299</v>
      </c>
      <c r="D509" s="8" t="s">
        <v>299</v>
      </c>
      <c r="E509" s="8" t="s">
        <v>299</v>
      </c>
      <c r="F509" s="8" t="s">
        <v>299</v>
      </c>
      <c r="G509" s="8" t="s">
        <v>299</v>
      </c>
      <c r="H509" s="8" t="s">
        <v>299</v>
      </c>
    </row>
    <row r="510">
      <c r="A510" s="19"/>
      <c r="B510" s="8" t="s">
        <v>299</v>
      </c>
      <c r="C510" s="8" t="s">
        <v>299</v>
      </c>
      <c r="D510" s="8" t="s">
        <v>299</v>
      </c>
      <c r="E510" s="8" t="s">
        <v>299</v>
      </c>
      <c r="F510" s="8" t="s">
        <v>299</v>
      </c>
      <c r="G510" s="8" t="s">
        <v>299</v>
      </c>
      <c r="H510" s="8" t="s">
        <v>299</v>
      </c>
    </row>
    <row r="511">
      <c r="A511" s="19"/>
      <c r="B511" s="8" t="s">
        <v>299</v>
      </c>
      <c r="C511" s="8" t="s">
        <v>299</v>
      </c>
      <c r="D511" s="8" t="s">
        <v>299</v>
      </c>
      <c r="E511" s="8" t="s">
        <v>299</v>
      </c>
      <c r="F511" s="8" t="s">
        <v>299</v>
      </c>
      <c r="G511" s="8" t="s">
        <v>299</v>
      </c>
      <c r="H511" s="8" t="s">
        <v>299</v>
      </c>
    </row>
    <row r="512">
      <c r="A512" s="19"/>
      <c r="B512" s="8" t="s">
        <v>299</v>
      </c>
      <c r="C512" s="8" t="s">
        <v>299</v>
      </c>
      <c r="D512" s="8" t="s">
        <v>299</v>
      </c>
      <c r="E512" s="8" t="s">
        <v>299</v>
      </c>
      <c r="F512" s="8" t="s">
        <v>299</v>
      </c>
      <c r="G512" s="8" t="s">
        <v>299</v>
      </c>
      <c r="H512" s="8" t="s">
        <v>299</v>
      </c>
    </row>
    <row r="513">
      <c r="A513" s="19"/>
      <c r="B513" s="8" t="s">
        <v>299</v>
      </c>
      <c r="C513" s="8" t="s">
        <v>299</v>
      </c>
      <c r="D513" s="8" t="s">
        <v>299</v>
      </c>
      <c r="E513" s="8" t="s">
        <v>299</v>
      </c>
      <c r="F513" s="8" t="s">
        <v>299</v>
      </c>
      <c r="G513" s="8" t="s">
        <v>299</v>
      </c>
      <c r="H513" s="8" t="s">
        <v>299</v>
      </c>
    </row>
    <row r="514">
      <c r="A514" s="19"/>
      <c r="B514" s="8" t="s">
        <v>299</v>
      </c>
      <c r="C514" s="8" t="s">
        <v>299</v>
      </c>
      <c r="D514" s="8" t="s">
        <v>299</v>
      </c>
      <c r="E514" s="8" t="s">
        <v>299</v>
      </c>
      <c r="F514" s="8" t="s">
        <v>299</v>
      </c>
      <c r="G514" s="8" t="s">
        <v>299</v>
      </c>
      <c r="H514" s="8" t="s">
        <v>299</v>
      </c>
    </row>
    <row r="515">
      <c r="A515" s="19"/>
      <c r="B515" s="8" t="s">
        <v>299</v>
      </c>
      <c r="C515" s="8" t="s">
        <v>299</v>
      </c>
      <c r="D515" s="8" t="s">
        <v>299</v>
      </c>
      <c r="E515" s="8" t="s">
        <v>299</v>
      </c>
      <c r="F515" s="8" t="s">
        <v>299</v>
      </c>
      <c r="G515" s="8" t="s">
        <v>299</v>
      </c>
      <c r="H515" s="8" t="s">
        <v>299</v>
      </c>
    </row>
    <row r="516">
      <c r="A516" s="19"/>
      <c r="B516" s="8" t="s">
        <v>299</v>
      </c>
      <c r="C516" s="8" t="s">
        <v>299</v>
      </c>
      <c r="D516" s="8" t="s">
        <v>299</v>
      </c>
      <c r="E516" s="8" t="s">
        <v>299</v>
      </c>
      <c r="F516" s="8" t="s">
        <v>299</v>
      </c>
      <c r="G516" s="8" t="s">
        <v>299</v>
      </c>
      <c r="H516" s="8" t="s">
        <v>299</v>
      </c>
    </row>
    <row r="517">
      <c r="A517" s="19"/>
      <c r="B517" s="8" t="s">
        <v>299</v>
      </c>
      <c r="C517" s="8" t="s">
        <v>299</v>
      </c>
      <c r="D517" s="8" t="s">
        <v>299</v>
      </c>
      <c r="E517" s="8" t="s">
        <v>299</v>
      </c>
      <c r="F517" s="8" t="s">
        <v>299</v>
      </c>
      <c r="G517" s="8" t="s">
        <v>299</v>
      </c>
      <c r="H517" s="8" t="s">
        <v>299</v>
      </c>
    </row>
    <row r="518">
      <c r="A518" s="19"/>
      <c r="B518" s="8" t="s">
        <v>299</v>
      </c>
      <c r="C518" s="8" t="s">
        <v>299</v>
      </c>
      <c r="D518" s="8" t="s">
        <v>299</v>
      </c>
      <c r="E518" s="8" t="s">
        <v>299</v>
      </c>
      <c r="F518" s="8" t="s">
        <v>299</v>
      </c>
      <c r="G518" s="8" t="s">
        <v>299</v>
      </c>
      <c r="H518" s="8" t="s">
        <v>299</v>
      </c>
    </row>
    <row r="519">
      <c r="A519" s="19"/>
      <c r="B519" s="8" t="s">
        <v>299</v>
      </c>
      <c r="C519" s="8" t="s">
        <v>299</v>
      </c>
      <c r="D519" s="8" t="s">
        <v>299</v>
      </c>
      <c r="E519" s="8" t="s">
        <v>299</v>
      </c>
      <c r="F519" s="8" t="s">
        <v>299</v>
      </c>
      <c r="G519" s="8" t="s">
        <v>299</v>
      </c>
      <c r="H519" s="8" t="s">
        <v>299</v>
      </c>
    </row>
    <row r="520">
      <c r="A520" s="19"/>
      <c r="B520" s="8" t="s">
        <v>299</v>
      </c>
      <c r="C520" s="8" t="s">
        <v>299</v>
      </c>
      <c r="D520" s="8" t="s">
        <v>299</v>
      </c>
      <c r="E520" s="8" t="s">
        <v>299</v>
      </c>
      <c r="F520" s="8" t="s">
        <v>299</v>
      </c>
      <c r="G520" s="8" t="s">
        <v>299</v>
      </c>
      <c r="H520" s="8" t="s">
        <v>299</v>
      </c>
    </row>
    <row r="521">
      <c r="A521" s="19"/>
      <c r="B521" s="8" t="s">
        <v>299</v>
      </c>
      <c r="C521" s="8" t="s">
        <v>299</v>
      </c>
      <c r="D521" s="8" t="s">
        <v>299</v>
      </c>
      <c r="E521" s="8" t="s">
        <v>299</v>
      </c>
      <c r="F521" s="8" t="s">
        <v>299</v>
      </c>
      <c r="G521" s="8" t="s">
        <v>299</v>
      </c>
      <c r="H521" s="8" t="s">
        <v>299</v>
      </c>
    </row>
    <row r="522">
      <c r="A522" s="19"/>
      <c r="B522" s="8" t="s">
        <v>299</v>
      </c>
      <c r="C522" s="8" t="s">
        <v>299</v>
      </c>
      <c r="D522" s="8" t="s">
        <v>299</v>
      </c>
      <c r="E522" s="8" t="s">
        <v>299</v>
      </c>
      <c r="F522" s="8" t="s">
        <v>299</v>
      </c>
      <c r="G522" s="8" t="s">
        <v>299</v>
      </c>
      <c r="H522" s="8" t="s">
        <v>299</v>
      </c>
    </row>
    <row r="523">
      <c r="A523" s="19"/>
      <c r="B523" s="8" t="s">
        <v>299</v>
      </c>
      <c r="C523" s="8" t="s">
        <v>299</v>
      </c>
      <c r="D523" s="8" t="s">
        <v>299</v>
      </c>
      <c r="E523" s="8" t="s">
        <v>299</v>
      </c>
      <c r="F523" s="8" t="s">
        <v>299</v>
      </c>
      <c r="G523" s="8" t="s">
        <v>299</v>
      </c>
      <c r="H523" s="8" t="s">
        <v>299</v>
      </c>
    </row>
    <row r="524">
      <c r="A524" s="19"/>
      <c r="B524" s="8" t="s">
        <v>299</v>
      </c>
      <c r="C524" s="8" t="s">
        <v>299</v>
      </c>
      <c r="D524" s="8" t="s">
        <v>299</v>
      </c>
      <c r="E524" s="8" t="s">
        <v>299</v>
      </c>
      <c r="F524" s="8" t="s">
        <v>299</v>
      </c>
      <c r="G524" s="8" t="s">
        <v>299</v>
      </c>
      <c r="H524" s="8" t="s">
        <v>299</v>
      </c>
    </row>
    <row r="525">
      <c r="A525" s="19"/>
      <c r="B525" s="8" t="s">
        <v>299</v>
      </c>
      <c r="C525" s="8" t="s">
        <v>299</v>
      </c>
      <c r="D525" s="8" t="s">
        <v>299</v>
      </c>
      <c r="E525" s="8" t="s">
        <v>299</v>
      </c>
      <c r="F525" s="8" t="s">
        <v>299</v>
      </c>
      <c r="G525" s="8" t="s">
        <v>299</v>
      </c>
      <c r="H525" s="8" t="s">
        <v>299</v>
      </c>
    </row>
    <row r="526">
      <c r="A526" s="19"/>
      <c r="B526" s="8" t="s">
        <v>299</v>
      </c>
      <c r="C526" s="8" t="s">
        <v>299</v>
      </c>
      <c r="D526" s="8" t="s">
        <v>299</v>
      </c>
      <c r="E526" s="8" t="s">
        <v>299</v>
      </c>
      <c r="F526" s="8" t="s">
        <v>299</v>
      </c>
      <c r="G526" s="8" t="s">
        <v>299</v>
      </c>
      <c r="H526" s="8" t="s">
        <v>299</v>
      </c>
    </row>
    <row r="527">
      <c r="A527" s="19"/>
      <c r="B527" s="8" t="s">
        <v>299</v>
      </c>
      <c r="C527" s="8" t="s">
        <v>299</v>
      </c>
      <c r="D527" s="8" t="s">
        <v>299</v>
      </c>
      <c r="E527" s="8" t="s">
        <v>299</v>
      </c>
      <c r="F527" s="8" t="s">
        <v>299</v>
      </c>
      <c r="G527" s="8" t="s">
        <v>299</v>
      </c>
      <c r="H527" s="8" t="s">
        <v>299</v>
      </c>
    </row>
    <row r="528">
      <c r="A528" s="19"/>
      <c r="B528" s="8" t="s">
        <v>299</v>
      </c>
      <c r="C528" s="8" t="s">
        <v>299</v>
      </c>
      <c r="D528" s="8" t="s">
        <v>299</v>
      </c>
      <c r="E528" s="8" t="s">
        <v>299</v>
      </c>
      <c r="F528" s="8" t="s">
        <v>299</v>
      </c>
      <c r="G528" s="8" t="s">
        <v>299</v>
      </c>
      <c r="H528" s="8" t="s">
        <v>299</v>
      </c>
    </row>
    <row r="529">
      <c r="A529" s="19"/>
      <c r="B529" s="8" t="s">
        <v>299</v>
      </c>
      <c r="C529" s="8" t="s">
        <v>299</v>
      </c>
      <c r="D529" s="8" t="s">
        <v>299</v>
      </c>
      <c r="E529" s="8" t="s">
        <v>299</v>
      </c>
      <c r="F529" s="8" t="s">
        <v>299</v>
      </c>
      <c r="G529" s="8" t="s">
        <v>299</v>
      </c>
      <c r="H529" s="8" t="s">
        <v>299</v>
      </c>
    </row>
    <row r="530">
      <c r="A530" s="19"/>
      <c r="B530" s="8" t="s">
        <v>299</v>
      </c>
      <c r="C530" s="8" t="s">
        <v>299</v>
      </c>
      <c r="D530" s="8" t="s">
        <v>299</v>
      </c>
      <c r="E530" s="8" t="s">
        <v>299</v>
      </c>
      <c r="F530" s="8" t="s">
        <v>299</v>
      </c>
      <c r="G530" s="8" t="s">
        <v>299</v>
      </c>
      <c r="H530" s="8" t="s">
        <v>299</v>
      </c>
    </row>
    <row r="531">
      <c r="A531" s="19"/>
      <c r="B531" s="8" t="s">
        <v>299</v>
      </c>
      <c r="C531" s="8" t="s">
        <v>299</v>
      </c>
      <c r="D531" s="8" t="s">
        <v>299</v>
      </c>
      <c r="E531" s="8" t="s">
        <v>299</v>
      </c>
      <c r="F531" s="8" t="s">
        <v>299</v>
      </c>
      <c r="G531" s="8" t="s">
        <v>299</v>
      </c>
      <c r="H531" s="8" t="s">
        <v>299</v>
      </c>
    </row>
    <row r="532">
      <c r="A532" s="19"/>
      <c r="B532" s="8" t="s">
        <v>299</v>
      </c>
      <c r="C532" s="8" t="s">
        <v>299</v>
      </c>
      <c r="D532" s="8" t="s">
        <v>299</v>
      </c>
      <c r="E532" s="8" t="s">
        <v>299</v>
      </c>
      <c r="F532" s="8" t="s">
        <v>299</v>
      </c>
      <c r="G532" s="8" t="s">
        <v>299</v>
      </c>
      <c r="H532" s="8" t="s">
        <v>299</v>
      </c>
    </row>
    <row r="533">
      <c r="A533" s="19"/>
      <c r="B533" s="8" t="s">
        <v>299</v>
      </c>
      <c r="C533" s="8" t="s">
        <v>299</v>
      </c>
      <c r="D533" s="8" t="s">
        <v>299</v>
      </c>
      <c r="E533" s="8" t="s">
        <v>299</v>
      </c>
      <c r="F533" s="8" t="s">
        <v>299</v>
      </c>
      <c r="G533" s="8" t="s">
        <v>299</v>
      </c>
      <c r="H533" s="8" t="s">
        <v>299</v>
      </c>
    </row>
    <row r="534">
      <c r="A534" s="19"/>
      <c r="B534" s="8" t="s">
        <v>299</v>
      </c>
      <c r="C534" s="8" t="s">
        <v>299</v>
      </c>
      <c r="D534" s="8" t="s">
        <v>299</v>
      </c>
      <c r="E534" s="8" t="s">
        <v>299</v>
      </c>
      <c r="F534" s="8" t="s">
        <v>299</v>
      </c>
      <c r="G534" s="8" t="s">
        <v>299</v>
      </c>
      <c r="H534" s="8" t="s">
        <v>299</v>
      </c>
    </row>
    <row r="535">
      <c r="A535" s="19"/>
      <c r="B535" s="8" t="s">
        <v>299</v>
      </c>
      <c r="C535" s="8" t="s">
        <v>299</v>
      </c>
      <c r="D535" s="8" t="s">
        <v>299</v>
      </c>
      <c r="E535" s="8" t="s">
        <v>299</v>
      </c>
      <c r="F535" s="8" t="s">
        <v>299</v>
      </c>
      <c r="G535" s="8" t="s">
        <v>299</v>
      </c>
      <c r="H535" s="8" t="s">
        <v>299</v>
      </c>
    </row>
    <row r="536">
      <c r="A536" s="19"/>
      <c r="B536" s="8" t="s">
        <v>299</v>
      </c>
      <c r="C536" s="8" t="s">
        <v>299</v>
      </c>
      <c r="D536" s="8" t="s">
        <v>299</v>
      </c>
      <c r="E536" s="8" t="s">
        <v>299</v>
      </c>
      <c r="F536" s="8" t="s">
        <v>299</v>
      </c>
      <c r="G536" s="8" t="s">
        <v>299</v>
      </c>
      <c r="H536" s="8" t="s">
        <v>299</v>
      </c>
    </row>
    <row r="537">
      <c r="A537" s="19"/>
      <c r="B537" s="8" t="s">
        <v>299</v>
      </c>
      <c r="C537" s="8" t="s">
        <v>299</v>
      </c>
      <c r="D537" s="8" t="s">
        <v>299</v>
      </c>
      <c r="E537" s="8" t="s">
        <v>299</v>
      </c>
      <c r="F537" s="8" t="s">
        <v>299</v>
      </c>
      <c r="G537" s="8" t="s">
        <v>299</v>
      </c>
      <c r="H537" s="8" t="s">
        <v>299</v>
      </c>
    </row>
    <row r="538">
      <c r="A538" s="19"/>
      <c r="B538" s="8" t="s">
        <v>299</v>
      </c>
      <c r="C538" s="8" t="s">
        <v>299</v>
      </c>
      <c r="D538" s="8" t="s">
        <v>299</v>
      </c>
      <c r="E538" s="8" t="s">
        <v>299</v>
      </c>
      <c r="F538" s="8" t="s">
        <v>299</v>
      </c>
      <c r="G538" s="8" t="s">
        <v>299</v>
      </c>
      <c r="H538" s="8" t="s">
        <v>299</v>
      </c>
    </row>
    <row r="539">
      <c r="A539" s="19"/>
      <c r="B539" s="8" t="s">
        <v>299</v>
      </c>
      <c r="C539" s="8" t="s">
        <v>299</v>
      </c>
      <c r="D539" s="8" t="s">
        <v>299</v>
      </c>
      <c r="E539" s="8" t="s">
        <v>299</v>
      </c>
      <c r="F539" s="8" t="s">
        <v>299</v>
      </c>
      <c r="G539" s="8" t="s">
        <v>299</v>
      </c>
      <c r="H539" s="8" t="s">
        <v>299</v>
      </c>
    </row>
    <row r="540">
      <c r="A540" s="19"/>
      <c r="B540" s="8" t="s">
        <v>299</v>
      </c>
      <c r="C540" s="8" t="s">
        <v>299</v>
      </c>
      <c r="D540" s="8" t="s">
        <v>299</v>
      </c>
      <c r="E540" s="8" t="s">
        <v>299</v>
      </c>
      <c r="F540" s="8" t="s">
        <v>299</v>
      </c>
      <c r="G540" s="8" t="s">
        <v>299</v>
      </c>
      <c r="H540" s="8" t="s">
        <v>299</v>
      </c>
    </row>
    <row r="541">
      <c r="A541" s="19"/>
      <c r="B541" s="8" t="s">
        <v>299</v>
      </c>
      <c r="C541" s="8" t="s">
        <v>299</v>
      </c>
      <c r="D541" s="8" t="s">
        <v>299</v>
      </c>
      <c r="E541" s="8" t="s">
        <v>299</v>
      </c>
      <c r="F541" s="8" t="s">
        <v>299</v>
      </c>
      <c r="G541" s="8" t="s">
        <v>299</v>
      </c>
      <c r="H541" s="8" t="s">
        <v>299</v>
      </c>
    </row>
    <row r="542">
      <c r="A542" s="19"/>
      <c r="B542" s="8" t="s">
        <v>299</v>
      </c>
      <c r="C542" s="8" t="s">
        <v>299</v>
      </c>
      <c r="D542" s="8" t="s">
        <v>299</v>
      </c>
      <c r="E542" s="8" t="s">
        <v>299</v>
      </c>
      <c r="F542" s="8" t="s">
        <v>299</v>
      </c>
      <c r="G542" s="8" t="s">
        <v>299</v>
      </c>
      <c r="H542" s="8" t="s">
        <v>299</v>
      </c>
    </row>
    <row r="543">
      <c r="A543" s="19"/>
      <c r="B543" s="8" t="s">
        <v>299</v>
      </c>
      <c r="C543" s="8" t="s">
        <v>299</v>
      </c>
      <c r="D543" s="8" t="s">
        <v>299</v>
      </c>
      <c r="E543" s="8" t="s">
        <v>299</v>
      </c>
      <c r="F543" s="8" t="s">
        <v>299</v>
      </c>
      <c r="G543" s="8" t="s">
        <v>299</v>
      </c>
      <c r="H543" s="8" t="s">
        <v>299</v>
      </c>
    </row>
    <row r="544">
      <c r="A544" s="19"/>
      <c r="B544" s="8" t="s">
        <v>299</v>
      </c>
      <c r="C544" s="8" t="s">
        <v>299</v>
      </c>
      <c r="D544" s="8" t="s">
        <v>299</v>
      </c>
      <c r="E544" s="8" t="s">
        <v>299</v>
      </c>
      <c r="F544" s="8" t="s">
        <v>299</v>
      </c>
      <c r="G544" s="8" t="s">
        <v>299</v>
      </c>
      <c r="H544" s="8" t="s">
        <v>299</v>
      </c>
    </row>
    <row r="545">
      <c r="A545" s="19"/>
      <c r="B545" s="8" t="s">
        <v>299</v>
      </c>
      <c r="C545" s="8" t="s">
        <v>299</v>
      </c>
      <c r="D545" s="8" t="s">
        <v>299</v>
      </c>
      <c r="E545" s="8" t="s">
        <v>299</v>
      </c>
      <c r="F545" s="8" t="s">
        <v>299</v>
      </c>
      <c r="G545" s="8" t="s">
        <v>299</v>
      </c>
      <c r="H545" s="8" t="s">
        <v>299</v>
      </c>
    </row>
    <row r="546">
      <c r="A546" s="19"/>
      <c r="B546" s="8" t="s">
        <v>299</v>
      </c>
      <c r="C546" s="8" t="s">
        <v>299</v>
      </c>
      <c r="D546" s="8" t="s">
        <v>299</v>
      </c>
      <c r="E546" s="8" t="s">
        <v>299</v>
      </c>
      <c r="F546" s="8" t="s">
        <v>299</v>
      </c>
      <c r="G546" s="8" t="s">
        <v>299</v>
      </c>
      <c r="H546" s="8" t="s">
        <v>299</v>
      </c>
    </row>
    <row r="547">
      <c r="A547" s="19"/>
      <c r="B547" s="8" t="s">
        <v>299</v>
      </c>
      <c r="C547" s="8" t="s">
        <v>299</v>
      </c>
      <c r="D547" s="8" t="s">
        <v>299</v>
      </c>
      <c r="E547" s="8" t="s">
        <v>299</v>
      </c>
      <c r="F547" s="8" t="s">
        <v>299</v>
      </c>
      <c r="G547" s="8" t="s">
        <v>299</v>
      </c>
      <c r="H547" s="8" t="s">
        <v>299</v>
      </c>
    </row>
    <row r="548">
      <c r="A548" s="19"/>
      <c r="B548" s="8" t="s">
        <v>299</v>
      </c>
      <c r="C548" s="8" t="s">
        <v>299</v>
      </c>
      <c r="D548" s="8" t="s">
        <v>299</v>
      </c>
      <c r="E548" s="8" t="s">
        <v>299</v>
      </c>
      <c r="F548" s="8" t="s">
        <v>299</v>
      </c>
      <c r="G548" s="8" t="s">
        <v>299</v>
      </c>
      <c r="H548" s="8" t="s">
        <v>299</v>
      </c>
    </row>
    <row r="549">
      <c r="A549" s="19"/>
      <c r="B549" s="8" t="s">
        <v>299</v>
      </c>
      <c r="C549" s="8" t="s">
        <v>299</v>
      </c>
      <c r="D549" s="8" t="s">
        <v>299</v>
      </c>
      <c r="E549" s="8" t="s">
        <v>299</v>
      </c>
      <c r="F549" s="8" t="s">
        <v>299</v>
      </c>
      <c r="G549" s="8" t="s">
        <v>299</v>
      </c>
      <c r="H549" s="8" t="s">
        <v>299</v>
      </c>
    </row>
    <row r="550">
      <c r="A550" s="19"/>
      <c r="B550" s="8" t="s">
        <v>299</v>
      </c>
      <c r="C550" s="8" t="s">
        <v>299</v>
      </c>
      <c r="D550" s="8" t="s">
        <v>299</v>
      </c>
      <c r="E550" s="8" t="s">
        <v>299</v>
      </c>
      <c r="F550" s="8" t="s">
        <v>299</v>
      </c>
      <c r="G550" s="8" t="s">
        <v>299</v>
      </c>
      <c r="H550" s="8" t="s">
        <v>299</v>
      </c>
    </row>
    <row r="551">
      <c r="A551" s="19"/>
      <c r="B551" s="8" t="s">
        <v>299</v>
      </c>
      <c r="C551" s="8" t="s">
        <v>299</v>
      </c>
      <c r="D551" s="8" t="s">
        <v>299</v>
      </c>
      <c r="E551" s="8" t="s">
        <v>299</v>
      </c>
      <c r="F551" s="8" t="s">
        <v>299</v>
      </c>
      <c r="G551" s="8" t="s">
        <v>299</v>
      </c>
      <c r="H551" s="8" t="s">
        <v>299</v>
      </c>
    </row>
    <row r="552">
      <c r="A552" s="19"/>
      <c r="B552" s="8" t="s">
        <v>299</v>
      </c>
      <c r="C552" s="8" t="s">
        <v>299</v>
      </c>
      <c r="D552" s="8" t="s">
        <v>299</v>
      </c>
      <c r="E552" s="8" t="s">
        <v>299</v>
      </c>
      <c r="F552" s="8" t="s">
        <v>299</v>
      </c>
      <c r="G552" s="8" t="s">
        <v>299</v>
      </c>
      <c r="H552" s="8" t="s">
        <v>299</v>
      </c>
    </row>
    <row r="553">
      <c r="A553" s="19"/>
      <c r="B553" s="8" t="s">
        <v>299</v>
      </c>
      <c r="C553" s="8" t="s">
        <v>299</v>
      </c>
      <c r="D553" s="8" t="s">
        <v>299</v>
      </c>
      <c r="E553" s="8" t="s">
        <v>299</v>
      </c>
      <c r="F553" s="8" t="s">
        <v>299</v>
      </c>
      <c r="G553" s="8" t="s">
        <v>299</v>
      </c>
      <c r="H553" s="8" t="s">
        <v>299</v>
      </c>
    </row>
    <row r="554">
      <c r="A554" s="19"/>
      <c r="B554" s="8" t="s">
        <v>299</v>
      </c>
      <c r="C554" s="8" t="s">
        <v>299</v>
      </c>
      <c r="D554" s="8" t="s">
        <v>299</v>
      </c>
      <c r="E554" s="8" t="s">
        <v>299</v>
      </c>
      <c r="F554" s="8" t="s">
        <v>299</v>
      </c>
      <c r="G554" s="8" t="s">
        <v>299</v>
      </c>
      <c r="H554" s="8" t="s">
        <v>299</v>
      </c>
    </row>
    <row r="555">
      <c r="A555" s="19"/>
      <c r="B555" s="8" t="s">
        <v>299</v>
      </c>
      <c r="C555" s="8" t="s">
        <v>299</v>
      </c>
      <c r="D555" s="8" t="s">
        <v>299</v>
      </c>
      <c r="E555" s="8" t="s">
        <v>299</v>
      </c>
      <c r="F555" s="8" t="s">
        <v>299</v>
      </c>
      <c r="G555" s="8" t="s">
        <v>299</v>
      </c>
      <c r="H555" s="8" t="s">
        <v>299</v>
      </c>
    </row>
    <row r="556">
      <c r="A556" s="19"/>
      <c r="B556" s="8" t="s">
        <v>299</v>
      </c>
      <c r="C556" s="8" t="s">
        <v>299</v>
      </c>
      <c r="D556" s="8" t="s">
        <v>299</v>
      </c>
      <c r="E556" s="8" t="s">
        <v>299</v>
      </c>
      <c r="F556" s="8" t="s">
        <v>299</v>
      </c>
      <c r="G556" s="8" t="s">
        <v>299</v>
      </c>
      <c r="H556" s="8" t="s">
        <v>299</v>
      </c>
    </row>
    <row r="557">
      <c r="A557" s="19"/>
      <c r="B557" s="8" t="s">
        <v>299</v>
      </c>
      <c r="C557" s="8" t="s">
        <v>299</v>
      </c>
      <c r="D557" s="8" t="s">
        <v>299</v>
      </c>
      <c r="E557" s="8" t="s">
        <v>299</v>
      </c>
      <c r="F557" s="8" t="s">
        <v>299</v>
      </c>
      <c r="G557" s="8" t="s">
        <v>299</v>
      </c>
      <c r="H557" s="8" t="s">
        <v>299</v>
      </c>
    </row>
    <row r="558">
      <c r="A558" s="19"/>
      <c r="B558" s="8" t="s">
        <v>299</v>
      </c>
      <c r="C558" s="8" t="s">
        <v>299</v>
      </c>
      <c r="D558" s="8" t="s">
        <v>299</v>
      </c>
      <c r="E558" s="8" t="s">
        <v>299</v>
      </c>
      <c r="F558" s="8" t="s">
        <v>299</v>
      </c>
      <c r="G558" s="8" t="s">
        <v>299</v>
      </c>
      <c r="H558" s="8" t="s">
        <v>299</v>
      </c>
    </row>
    <row r="559">
      <c r="A559" s="19"/>
      <c r="B559" s="8" t="s">
        <v>299</v>
      </c>
      <c r="C559" s="8" t="s">
        <v>299</v>
      </c>
      <c r="D559" s="8" t="s">
        <v>299</v>
      </c>
      <c r="E559" s="8" t="s">
        <v>299</v>
      </c>
      <c r="F559" s="8" t="s">
        <v>299</v>
      </c>
      <c r="G559" s="8" t="s">
        <v>299</v>
      </c>
      <c r="H559" s="8" t="s">
        <v>299</v>
      </c>
    </row>
    <row r="560">
      <c r="A560" s="19"/>
      <c r="B560" s="8" t="s">
        <v>299</v>
      </c>
      <c r="C560" s="8" t="s">
        <v>299</v>
      </c>
      <c r="D560" s="8" t="s">
        <v>299</v>
      </c>
      <c r="E560" s="8" t="s">
        <v>299</v>
      </c>
      <c r="F560" s="8" t="s">
        <v>299</v>
      </c>
      <c r="G560" s="8" t="s">
        <v>299</v>
      </c>
      <c r="H560" s="8" t="s">
        <v>299</v>
      </c>
    </row>
    <row r="561">
      <c r="A561" s="19"/>
      <c r="B561" s="8" t="s">
        <v>299</v>
      </c>
      <c r="C561" s="8" t="s">
        <v>299</v>
      </c>
      <c r="D561" s="8" t="s">
        <v>299</v>
      </c>
      <c r="E561" s="8" t="s">
        <v>299</v>
      </c>
      <c r="F561" s="8" t="s">
        <v>299</v>
      </c>
      <c r="G561" s="8" t="s">
        <v>299</v>
      </c>
      <c r="H561" s="8" t="s">
        <v>299</v>
      </c>
    </row>
    <row r="562">
      <c r="A562" s="19"/>
      <c r="B562" s="8" t="s">
        <v>299</v>
      </c>
      <c r="C562" s="8" t="s">
        <v>299</v>
      </c>
      <c r="D562" s="8" t="s">
        <v>299</v>
      </c>
      <c r="E562" s="8" t="s">
        <v>299</v>
      </c>
      <c r="F562" s="8" t="s">
        <v>299</v>
      </c>
      <c r="G562" s="8" t="s">
        <v>299</v>
      </c>
      <c r="H562" s="8" t="s">
        <v>299</v>
      </c>
    </row>
    <row r="563">
      <c r="A563" s="19"/>
      <c r="B563" s="8" t="s">
        <v>299</v>
      </c>
      <c r="C563" s="8" t="s">
        <v>299</v>
      </c>
      <c r="D563" s="8" t="s">
        <v>299</v>
      </c>
      <c r="E563" s="8" t="s">
        <v>299</v>
      </c>
      <c r="F563" s="8" t="s">
        <v>299</v>
      </c>
      <c r="G563" s="8" t="s">
        <v>299</v>
      </c>
      <c r="H563" s="8" t="s">
        <v>299</v>
      </c>
    </row>
    <row r="564">
      <c r="A564" s="19"/>
      <c r="B564" s="8" t="s">
        <v>299</v>
      </c>
      <c r="C564" s="8" t="s">
        <v>299</v>
      </c>
      <c r="D564" s="8" t="s">
        <v>299</v>
      </c>
      <c r="E564" s="8" t="s">
        <v>299</v>
      </c>
      <c r="F564" s="8" t="s">
        <v>299</v>
      </c>
      <c r="G564" s="8" t="s">
        <v>299</v>
      </c>
      <c r="H564" s="8" t="s">
        <v>299</v>
      </c>
    </row>
    <row r="565">
      <c r="A565" s="19"/>
      <c r="B565" s="8" t="s">
        <v>299</v>
      </c>
      <c r="C565" s="8" t="s">
        <v>299</v>
      </c>
      <c r="D565" s="8" t="s">
        <v>299</v>
      </c>
      <c r="E565" s="8" t="s">
        <v>299</v>
      </c>
      <c r="F565" s="8" t="s">
        <v>299</v>
      </c>
      <c r="G565" s="8" t="s">
        <v>299</v>
      </c>
      <c r="H565" s="8" t="s">
        <v>299</v>
      </c>
    </row>
    <row r="566">
      <c r="A566" s="19"/>
      <c r="B566" s="8" t="s">
        <v>299</v>
      </c>
      <c r="C566" s="8" t="s">
        <v>299</v>
      </c>
      <c r="D566" s="8" t="s">
        <v>299</v>
      </c>
      <c r="E566" s="8" t="s">
        <v>299</v>
      </c>
      <c r="F566" s="8" t="s">
        <v>299</v>
      </c>
      <c r="G566" s="8" t="s">
        <v>299</v>
      </c>
      <c r="H566" s="8" t="s">
        <v>299</v>
      </c>
    </row>
    <row r="567">
      <c r="A567" s="19"/>
      <c r="B567" s="8" t="s">
        <v>299</v>
      </c>
      <c r="C567" s="8" t="s">
        <v>299</v>
      </c>
      <c r="D567" s="8" t="s">
        <v>299</v>
      </c>
      <c r="E567" s="8" t="s">
        <v>299</v>
      </c>
      <c r="F567" s="8" t="s">
        <v>299</v>
      </c>
      <c r="G567" s="8" t="s">
        <v>299</v>
      </c>
      <c r="H567" s="8" t="s">
        <v>299</v>
      </c>
    </row>
    <row r="568">
      <c r="A568" s="19"/>
      <c r="B568" s="8" t="s">
        <v>299</v>
      </c>
      <c r="C568" s="8" t="s">
        <v>299</v>
      </c>
      <c r="D568" s="8" t="s">
        <v>299</v>
      </c>
      <c r="E568" s="8" t="s">
        <v>299</v>
      </c>
      <c r="F568" s="8" t="s">
        <v>299</v>
      </c>
      <c r="G568" s="8" t="s">
        <v>299</v>
      </c>
      <c r="H568" s="8" t="s">
        <v>299</v>
      </c>
    </row>
    <row r="569">
      <c r="A569" s="19"/>
      <c r="B569" s="8" t="s">
        <v>299</v>
      </c>
      <c r="C569" s="8" t="s">
        <v>299</v>
      </c>
      <c r="D569" s="8" t="s">
        <v>299</v>
      </c>
      <c r="E569" s="8" t="s">
        <v>299</v>
      </c>
      <c r="F569" s="8" t="s">
        <v>299</v>
      </c>
      <c r="G569" s="8" t="s">
        <v>299</v>
      </c>
      <c r="H569" s="8" t="s">
        <v>299</v>
      </c>
    </row>
    <row r="570">
      <c r="A570" s="19"/>
      <c r="B570" s="8" t="s">
        <v>299</v>
      </c>
      <c r="C570" s="8" t="s">
        <v>299</v>
      </c>
      <c r="D570" s="8" t="s">
        <v>299</v>
      </c>
      <c r="E570" s="8" t="s">
        <v>299</v>
      </c>
      <c r="F570" s="8" t="s">
        <v>299</v>
      </c>
      <c r="G570" s="8" t="s">
        <v>299</v>
      </c>
      <c r="H570" s="8" t="s">
        <v>299</v>
      </c>
    </row>
    <row r="571">
      <c r="A571" s="19"/>
      <c r="B571" s="8" t="s">
        <v>299</v>
      </c>
      <c r="C571" s="8" t="s">
        <v>299</v>
      </c>
      <c r="D571" s="8" t="s">
        <v>299</v>
      </c>
      <c r="E571" s="8" t="s">
        <v>299</v>
      </c>
      <c r="F571" s="8" t="s">
        <v>299</v>
      </c>
      <c r="G571" s="8" t="s">
        <v>299</v>
      </c>
      <c r="H571" s="8" t="s">
        <v>299</v>
      </c>
    </row>
    <row r="572">
      <c r="A572" s="19"/>
      <c r="B572" s="8" t="s">
        <v>299</v>
      </c>
      <c r="C572" s="8" t="s">
        <v>299</v>
      </c>
      <c r="D572" s="8" t="s">
        <v>299</v>
      </c>
      <c r="E572" s="8" t="s">
        <v>299</v>
      </c>
      <c r="F572" s="8" t="s">
        <v>299</v>
      </c>
      <c r="G572" s="8" t="s">
        <v>299</v>
      </c>
      <c r="H572" s="8" t="s">
        <v>299</v>
      </c>
    </row>
    <row r="573">
      <c r="A573" s="19"/>
      <c r="B573" s="8" t="s">
        <v>299</v>
      </c>
      <c r="C573" s="8" t="s">
        <v>299</v>
      </c>
      <c r="D573" s="8" t="s">
        <v>299</v>
      </c>
      <c r="E573" s="8" t="s">
        <v>299</v>
      </c>
      <c r="F573" s="8" t="s">
        <v>299</v>
      </c>
      <c r="G573" s="8" t="s">
        <v>299</v>
      </c>
      <c r="H573" s="8" t="s">
        <v>299</v>
      </c>
    </row>
    <row r="574">
      <c r="A574" s="19"/>
      <c r="B574" s="8" t="s">
        <v>299</v>
      </c>
      <c r="C574" s="8" t="s">
        <v>299</v>
      </c>
      <c r="D574" s="8" t="s">
        <v>299</v>
      </c>
      <c r="E574" s="8" t="s">
        <v>299</v>
      </c>
      <c r="F574" s="8" t="s">
        <v>299</v>
      </c>
      <c r="G574" s="8" t="s">
        <v>299</v>
      </c>
      <c r="H574" s="8" t="s">
        <v>299</v>
      </c>
    </row>
    <row r="575">
      <c r="A575" s="19"/>
      <c r="B575" s="8" t="s">
        <v>299</v>
      </c>
      <c r="C575" s="8" t="s">
        <v>299</v>
      </c>
      <c r="D575" s="8" t="s">
        <v>299</v>
      </c>
      <c r="E575" s="8" t="s">
        <v>299</v>
      </c>
      <c r="F575" s="8" t="s">
        <v>299</v>
      </c>
      <c r="G575" s="8" t="s">
        <v>299</v>
      </c>
      <c r="H575" s="8" t="s">
        <v>299</v>
      </c>
    </row>
    <row r="576">
      <c r="A576" s="19"/>
      <c r="B576" s="8" t="s">
        <v>299</v>
      </c>
      <c r="C576" s="8" t="s">
        <v>299</v>
      </c>
      <c r="D576" s="8" t="s">
        <v>299</v>
      </c>
      <c r="E576" s="8" t="s">
        <v>299</v>
      </c>
      <c r="F576" s="8" t="s">
        <v>299</v>
      </c>
      <c r="G576" s="8" t="s">
        <v>299</v>
      </c>
      <c r="H576" s="8" t="s">
        <v>299</v>
      </c>
    </row>
    <row r="577">
      <c r="A577" s="19"/>
      <c r="B577" s="8" t="s">
        <v>299</v>
      </c>
      <c r="C577" s="8" t="s">
        <v>299</v>
      </c>
      <c r="D577" s="8" t="s">
        <v>299</v>
      </c>
      <c r="E577" s="8" t="s">
        <v>299</v>
      </c>
      <c r="F577" s="8" t="s">
        <v>299</v>
      </c>
      <c r="G577" s="8" t="s">
        <v>299</v>
      </c>
      <c r="H577" s="8" t="s">
        <v>299</v>
      </c>
    </row>
    <row r="578">
      <c r="A578" s="19"/>
      <c r="B578" s="8" t="s">
        <v>299</v>
      </c>
      <c r="C578" s="8" t="s">
        <v>299</v>
      </c>
      <c r="D578" s="8" t="s">
        <v>299</v>
      </c>
      <c r="E578" s="8" t="s">
        <v>299</v>
      </c>
      <c r="F578" s="8" t="s">
        <v>299</v>
      </c>
      <c r="G578" s="8" t="s">
        <v>299</v>
      </c>
      <c r="H578" s="8" t="s">
        <v>299</v>
      </c>
    </row>
    <row r="579">
      <c r="A579" s="19"/>
      <c r="B579" s="8" t="s">
        <v>299</v>
      </c>
      <c r="C579" s="8" t="s">
        <v>299</v>
      </c>
      <c r="D579" s="8" t="s">
        <v>299</v>
      </c>
      <c r="E579" s="8" t="s">
        <v>299</v>
      </c>
      <c r="F579" s="8" t="s">
        <v>299</v>
      </c>
      <c r="G579" s="8" t="s">
        <v>299</v>
      </c>
      <c r="H579" s="8" t="s">
        <v>299</v>
      </c>
    </row>
    <row r="580">
      <c r="A580" s="19"/>
      <c r="B580" s="8" t="s">
        <v>299</v>
      </c>
      <c r="C580" s="8" t="s">
        <v>299</v>
      </c>
      <c r="D580" s="8" t="s">
        <v>299</v>
      </c>
      <c r="E580" s="8" t="s">
        <v>299</v>
      </c>
      <c r="F580" s="8" t="s">
        <v>299</v>
      </c>
      <c r="G580" s="8" t="s">
        <v>299</v>
      </c>
      <c r="H580" s="8" t="s">
        <v>299</v>
      </c>
    </row>
    <row r="581">
      <c r="A581" s="19"/>
      <c r="B581" s="8" t="s">
        <v>299</v>
      </c>
      <c r="C581" s="8" t="s">
        <v>299</v>
      </c>
      <c r="D581" s="8" t="s">
        <v>299</v>
      </c>
      <c r="E581" s="8" t="s">
        <v>299</v>
      </c>
      <c r="F581" s="8" t="s">
        <v>299</v>
      </c>
      <c r="G581" s="8" t="s">
        <v>299</v>
      </c>
      <c r="H581" s="8" t="s">
        <v>299</v>
      </c>
    </row>
    <row r="582">
      <c r="A582" s="19"/>
      <c r="B582" s="8" t="s">
        <v>299</v>
      </c>
      <c r="C582" s="8" t="s">
        <v>299</v>
      </c>
      <c r="D582" s="8" t="s">
        <v>299</v>
      </c>
      <c r="E582" s="8" t="s">
        <v>299</v>
      </c>
      <c r="F582" s="8" t="s">
        <v>299</v>
      </c>
      <c r="G582" s="8" t="s">
        <v>299</v>
      </c>
      <c r="H582" s="8" t="s">
        <v>299</v>
      </c>
    </row>
    <row r="583">
      <c r="A583" s="19"/>
      <c r="B583" s="8" t="s">
        <v>299</v>
      </c>
      <c r="C583" s="8" t="s">
        <v>299</v>
      </c>
      <c r="D583" s="8" t="s">
        <v>299</v>
      </c>
      <c r="E583" s="8" t="s">
        <v>299</v>
      </c>
      <c r="F583" s="8" t="s">
        <v>299</v>
      </c>
      <c r="G583" s="8" t="s">
        <v>299</v>
      </c>
      <c r="H583" s="8" t="s">
        <v>299</v>
      </c>
    </row>
    <row r="584">
      <c r="A584" s="19"/>
      <c r="B584" s="8" t="s">
        <v>299</v>
      </c>
      <c r="C584" s="8" t="s">
        <v>299</v>
      </c>
      <c r="D584" s="8" t="s">
        <v>299</v>
      </c>
      <c r="E584" s="8" t="s">
        <v>299</v>
      </c>
      <c r="F584" s="8" t="s">
        <v>299</v>
      </c>
      <c r="G584" s="8" t="s">
        <v>299</v>
      </c>
      <c r="H584" s="8" t="s">
        <v>299</v>
      </c>
    </row>
    <row r="585">
      <c r="A585" s="19"/>
      <c r="B585" s="8" t="s">
        <v>299</v>
      </c>
      <c r="C585" s="8" t="s">
        <v>299</v>
      </c>
      <c r="D585" s="8" t="s">
        <v>299</v>
      </c>
      <c r="E585" s="8" t="s">
        <v>299</v>
      </c>
      <c r="F585" s="8" t="s">
        <v>299</v>
      </c>
      <c r="G585" s="8" t="s">
        <v>299</v>
      </c>
      <c r="H585" s="8" t="s">
        <v>299</v>
      </c>
    </row>
    <row r="586">
      <c r="A586" s="19"/>
      <c r="B586" s="8" t="s">
        <v>299</v>
      </c>
      <c r="C586" s="8" t="s">
        <v>299</v>
      </c>
      <c r="D586" s="8" t="s">
        <v>299</v>
      </c>
      <c r="E586" s="8" t="s">
        <v>299</v>
      </c>
      <c r="F586" s="8" t="s">
        <v>299</v>
      </c>
      <c r="G586" s="8" t="s">
        <v>299</v>
      </c>
      <c r="H586" s="8" t="s">
        <v>299</v>
      </c>
    </row>
    <row r="587">
      <c r="A587" s="19"/>
      <c r="B587" s="8" t="s">
        <v>299</v>
      </c>
      <c r="C587" s="8" t="s">
        <v>299</v>
      </c>
      <c r="D587" s="8" t="s">
        <v>299</v>
      </c>
      <c r="E587" s="8" t="s">
        <v>299</v>
      </c>
      <c r="F587" s="8" t="s">
        <v>299</v>
      </c>
      <c r="G587" s="8" t="s">
        <v>299</v>
      </c>
      <c r="H587" s="8" t="s">
        <v>299</v>
      </c>
    </row>
    <row r="588">
      <c r="A588" s="19"/>
      <c r="B588" s="8" t="s">
        <v>299</v>
      </c>
      <c r="C588" s="8" t="s">
        <v>299</v>
      </c>
      <c r="D588" s="8" t="s">
        <v>299</v>
      </c>
      <c r="E588" s="8" t="s">
        <v>299</v>
      </c>
      <c r="F588" s="8" t="s">
        <v>299</v>
      </c>
      <c r="G588" s="8" t="s">
        <v>299</v>
      </c>
      <c r="H588" s="8" t="s">
        <v>299</v>
      </c>
    </row>
    <row r="589">
      <c r="A589" s="19"/>
      <c r="B589" s="8" t="s">
        <v>299</v>
      </c>
      <c r="C589" s="8" t="s">
        <v>299</v>
      </c>
      <c r="D589" s="8" t="s">
        <v>299</v>
      </c>
      <c r="E589" s="8" t="s">
        <v>299</v>
      </c>
      <c r="F589" s="8" t="s">
        <v>299</v>
      </c>
      <c r="G589" s="8" t="s">
        <v>299</v>
      </c>
      <c r="H589" s="8" t="s">
        <v>299</v>
      </c>
    </row>
    <row r="590">
      <c r="A590" s="19"/>
      <c r="B590" s="8" t="s">
        <v>299</v>
      </c>
      <c r="C590" s="8" t="s">
        <v>299</v>
      </c>
      <c r="D590" s="8" t="s">
        <v>299</v>
      </c>
      <c r="E590" s="8" t="s">
        <v>299</v>
      </c>
      <c r="F590" s="8" t="s">
        <v>299</v>
      </c>
      <c r="G590" s="8" t="s">
        <v>299</v>
      </c>
      <c r="H590" s="8" t="s">
        <v>299</v>
      </c>
    </row>
    <row r="591">
      <c r="A591" s="19"/>
      <c r="B591" s="8" t="s">
        <v>299</v>
      </c>
      <c r="C591" s="8" t="s">
        <v>299</v>
      </c>
      <c r="D591" s="8" t="s">
        <v>299</v>
      </c>
      <c r="E591" s="8" t="s">
        <v>299</v>
      </c>
      <c r="F591" s="8" t="s">
        <v>299</v>
      </c>
      <c r="G591" s="8" t="s">
        <v>299</v>
      </c>
      <c r="H591" s="8" t="s">
        <v>299</v>
      </c>
    </row>
    <row r="592">
      <c r="A592" s="19"/>
      <c r="B592" s="8" t="s">
        <v>299</v>
      </c>
      <c r="C592" s="8" t="s">
        <v>299</v>
      </c>
      <c r="D592" s="8" t="s">
        <v>299</v>
      </c>
      <c r="E592" s="8" t="s">
        <v>299</v>
      </c>
      <c r="F592" s="8" t="s">
        <v>299</v>
      </c>
      <c r="G592" s="8" t="s">
        <v>299</v>
      </c>
      <c r="H592" s="8" t="s">
        <v>299</v>
      </c>
    </row>
    <row r="593">
      <c r="A593" s="19"/>
      <c r="B593" s="8" t="s">
        <v>299</v>
      </c>
      <c r="C593" s="8" t="s">
        <v>299</v>
      </c>
      <c r="D593" s="8" t="s">
        <v>299</v>
      </c>
      <c r="E593" s="8" t="s">
        <v>299</v>
      </c>
      <c r="F593" s="8" t="s">
        <v>299</v>
      </c>
      <c r="G593" s="8" t="s">
        <v>299</v>
      </c>
      <c r="H593" s="8" t="s">
        <v>299</v>
      </c>
    </row>
    <row r="594">
      <c r="A594" s="19"/>
      <c r="B594" s="8" t="s">
        <v>299</v>
      </c>
      <c r="C594" s="8" t="s">
        <v>299</v>
      </c>
      <c r="D594" s="8" t="s">
        <v>299</v>
      </c>
      <c r="E594" s="8" t="s">
        <v>299</v>
      </c>
      <c r="F594" s="8" t="s">
        <v>299</v>
      </c>
      <c r="G594" s="8" t="s">
        <v>299</v>
      </c>
      <c r="H594" s="8" t="s">
        <v>299</v>
      </c>
    </row>
    <row r="595">
      <c r="A595" s="19"/>
      <c r="B595" s="8" t="s">
        <v>299</v>
      </c>
      <c r="C595" s="8" t="s">
        <v>299</v>
      </c>
      <c r="D595" s="8" t="s">
        <v>299</v>
      </c>
      <c r="E595" s="8" t="s">
        <v>299</v>
      </c>
      <c r="F595" s="8" t="s">
        <v>299</v>
      </c>
      <c r="G595" s="8" t="s">
        <v>299</v>
      </c>
      <c r="H595" s="8" t="s">
        <v>299</v>
      </c>
    </row>
    <row r="596">
      <c r="A596" s="19"/>
      <c r="B596" s="8" t="s">
        <v>299</v>
      </c>
      <c r="C596" s="8" t="s">
        <v>299</v>
      </c>
      <c r="D596" s="8" t="s">
        <v>299</v>
      </c>
      <c r="E596" s="8" t="s">
        <v>299</v>
      </c>
      <c r="F596" s="8" t="s">
        <v>299</v>
      </c>
      <c r="G596" s="8" t="s">
        <v>299</v>
      </c>
      <c r="H596" s="8" t="s">
        <v>299</v>
      </c>
    </row>
    <row r="597">
      <c r="A597" s="19"/>
      <c r="B597" s="8" t="s">
        <v>299</v>
      </c>
      <c r="C597" s="8" t="s">
        <v>299</v>
      </c>
      <c r="D597" s="8" t="s">
        <v>299</v>
      </c>
      <c r="E597" s="8" t="s">
        <v>299</v>
      </c>
      <c r="F597" s="8" t="s">
        <v>299</v>
      </c>
      <c r="G597" s="8" t="s">
        <v>299</v>
      </c>
      <c r="H597" s="8" t="s">
        <v>299</v>
      </c>
    </row>
    <row r="598">
      <c r="A598" s="19"/>
      <c r="B598" s="8" t="s">
        <v>299</v>
      </c>
      <c r="C598" s="8" t="s">
        <v>299</v>
      </c>
      <c r="D598" s="8" t="s">
        <v>299</v>
      </c>
      <c r="E598" s="8" t="s">
        <v>299</v>
      </c>
      <c r="F598" s="8" t="s">
        <v>299</v>
      </c>
      <c r="G598" s="8" t="s">
        <v>299</v>
      </c>
      <c r="H598" s="8" t="s">
        <v>299</v>
      </c>
    </row>
    <row r="599">
      <c r="A599" s="19"/>
      <c r="B599" s="8" t="s">
        <v>299</v>
      </c>
      <c r="C599" s="8" t="s">
        <v>299</v>
      </c>
      <c r="D599" s="8" t="s">
        <v>299</v>
      </c>
      <c r="E599" s="8" t="s">
        <v>299</v>
      </c>
      <c r="F599" s="8" t="s">
        <v>299</v>
      </c>
      <c r="G599" s="8" t="s">
        <v>299</v>
      </c>
      <c r="H599" s="8" t="s">
        <v>299</v>
      </c>
    </row>
    <row r="600">
      <c r="A600" s="19"/>
      <c r="B600" s="8" t="s">
        <v>299</v>
      </c>
      <c r="C600" s="8" t="s">
        <v>299</v>
      </c>
      <c r="D600" s="8" t="s">
        <v>299</v>
      </c>
      <c r="E600" s="8" t="s">
        <v>299</v>
      </c>
      <c r="F600" s="8" t="s">
        <v>299</v>
      </c>
      <c r="G600" s="8" t="s">
        <v>299</v>
      </c>
      <c r="H600" s="8" t="s">
        <v>299</v>
      </c>
    </row>
    <row r="601">
      <c r="A601" s="19"/>
      <c r="B601" s="8" t="s">
        <v>299</v>
      </c>
      <c r="C601" s="8" t="s">
        <v>299</v>
      </c>
      <c r="D601" s="8" t="s">
        <v>299</v>
      </c>
      <c r="E601" s="8" t="s">
        <v>299</v>
      </c>
      <c r="F601" s="8" t="s">
        <v>299</v>
      </c>
      <c r="G601" s="8" t="s">
        <v>299</v>
      </c>
      <c r="H601" s="8" t="s">
        <v>299</v>
      </c>
    </row>
    <row r="602">
      <c r="A602" s="19"/>
      <c r="B602" s="8" t="s">
        <v>299</v>
      </c>
      <c r="C602" s="8" t="s">
        <v>299</v>
      </c>
      <c r="D602" s="8" t="s">
        <v>299</v>
      </c>
      <c r="E602" s="8" t="s">
        <v>299</v>
      </c>
      <c r="F602" s="8" t="s">
        <v>299</v>
      </c>
      <c r="G602" s="8" t="s">
        <v>299</v>
      </c>
      <c r="H602" s="8" t="s">
        <v>299</v>
      </c>
    </row>
    <row r="603">
      <c r="A603" s="19"/>
      <c r="B603" s="8" t="s">
        <v>299</v>
      </c>
      <c r="C603" s="8" t="s">
        <v>299</v>
      </c>
      <c r="D603" s="8" t="s">
        <v>299</v>
      </c>
      <c r="E603" s="8" t="s">
        <v>299</v>
      </c>
      <c r="F603" s="8" t="s">
        <v>299</v>
      </c>
      <c r="G603" s="8" t="s">
        <v>299</v>
      </c>
      <c r="H603" s="8" t="s">
        <v>299</v>
      </c>
    </row>
    <row r="604">
      <c r="A604" s="19"/>
      <c r="B604" s="8" t="s">
        <v>299</v>
      </c>
      <c r="C604" s="8" t="s">
        <v>299</v>
      </c>
      <c r="D604" s="8" t="s">
        <v>299</v>
      </c>
      <c r="E604" s="8" t="s">
        <v>299</v>
      </c>
      <c r="F604" s="8" t="s">
        <v>299</v>
      </c>
      <c r="G604" s="8" t="s">
        <v>299</v>
      </c>
      <c r="H604" s="8" t="s">
        <v>299</v>
      </c>
    </row>
    <row r="605">
      <c r="A605" s="19"/>
      <c r="B605" s="8" t="s">
        <v>299</v>
      </c>
      <c r="C605" s="8" t="s">
        <v>299</v>
      </c>
      <c r="D605" s="8" t="s">
        <v>299</v>
      </c>
      <c r="E605" s="8" t="s">
        <v>299</v>
      </c>
      <c r="F605" s="8" t="s">
        <v>299</v>
      </c>
      <c r="G605" s="8" t="s">
        <v>299</v>
      </c>
      <c r="H605" s="8" t="s">
        <v>299</v>
      </c>
    </row>
    <row r="606">
      <c r="A606" s="19"/>
      <c r="B606" s="8" t="s">
        <v>299</v>
      </c>
      <c r="C606" s="8" t="s">
        <v>299</v>
      </c>
      <c r="D606" s="8" t="s">
        <v>299</v>
      </c>
      <c r="E606" s="8" t="s">
        <v>299</v>
      </c>
      <c r="F606" s="8" t="s">
        <v>299</v>
      </c>
      <c r="G606" s="8" t="s">
        <v>299</v>
      </c>
      <c r="H606" s="8" t="s">
        <v>299</v>
      </c>
    </row>
    <row r="607">
      <c r="A607" s="19"/>
      <c r="B607" s="8" t="s">
        <v>299</v>
      </c>
      <c r="C607" s="8" t="s">
        <v>299</v>
      </c>
      <c r="D607" s="8" t="s">
        <v>299</v>
      </c>
      <c r="E607" s="8" t="s">
        <v>299</v>
      </c>
      <c r="F607" s="8" t="s">
        <v>299</v>
      </c>
      <c r="G607" s="8" t="s">
        <v>299</v>
      </c>
      <c r="H607" s="8" t="s">
        <v>299</v>
      </c>
    </row>
    <row r="608">
      <c r="A608" s="19"/>
      <c r="B608" s="8" t="s">
        <v>299</v>
      </c>
      <c r="C608" s="8" t="s">
        <v>299</v>
      </c>
      <c r="D608" s="8" t="s">
        <v>299</v>
      </c>
      <c r="E608" s="8" t="s">
        <v>299</v>
      </c>
      <c r="F608" s="8" t="s">
        <v>299</v>
      </c>
      <c r="G608" s="8" t="s">
        <v>299</v>
      </c>
      <c r="H608" s="8" t="s">
        <v>299</v>
      </c>
    </row>
    <row r="609">
      <c r="A609" s="19"/>
      <c r="B609" s="8" t="s">
        <v>299</v>
      </c>
      <c r="C609" s="8" t="s">
        <v>299</v>
      </c>
      <c r="D609" s="8" t="s">
        <v>299</v>
      </c>
      <c r="E609" s="8" t="s">
        <v>299</v>
      </c>
      <c r="F609" s="8" t="s">
        <v>299</v>
      </c>
      <c r="G609" s="8" t="s">
        <v>299</v>
      </c>
      <c r="H609" s="8" t="s">
        <v>299</v>
      </c>
    </row>
    <row r="610">
      <c r="A610" s="19"/>
      <c r="B610" s="8" t="s">
        <v>299</v>
      </c>
      <c r="C610" s="8" t="s">
        <v>299</v>
      </c>
      <c r="D610" s="8" t="s">
        <v>299</v>
      </c>
      <c r="E610" s="8" t="s">
        <v>299</v>
      </c>
      <c r="F610" s="8" t="s">
        <v>299</v>
      </c>
      <c r="G610" s="8" t="s">
        <v>299</v>
      </c>
      <c r="H610" s="8" t="s">
        <v>299</v>
      </c>
    </row>
    <row r="611">
      <c r="A611" s="19"/>
      <c r="B611" s="8" t="s">
        <v>299</v>
      </c>
      <c r="C611" s="8" t="s">
        <v>299</v>
      </c>
      <c r="D611" s="8" t="s">
        <v>299</v>
      </c>
      <c r="E611" s="8" t="s">
        <v>299</v>
      </c>
      <c r="F611" s="8" t="s">
        <v>299</v>
      </c>
      <c r="G611" s="8" t="s">
        <v>299</v>
      </c>
      <c r="H611" s="8" t="s">
        <v>299</v>
      </c>
    </row>
    <row r="612">
      <c r="A612" s="19"/>
      <c r="B612" s="8" t="s">
        <v>299</v>
      </c>
      <c r="C612" s="8" t="s">
        <v>299</v>
      </c>
      <c r="D612" s="8" t="s">
        <v>299</v>
      </c>
      <c r="E612" s="8" t="s">
        <v>299</v>
      </c>
      <c r="F612" s="8" t="s">
        <v>299</v>
      </c>
      <c r="G612" s="8" t="s">
        <v>299</v>
      </c>
      <c r="H612" s="8" t="s">
        <v>299</v>
      </c>
    </row>
    <row r="613">
      <c r="A613" s="19"/>
      <c r="B613" s="8" t="s">
        <v>299</v>
      </c>
      <c r="C613" s="8" t="s">
        <v>299</v>
      </c>
      <c r="D613" s="8" t="s">
        <v>299</v>
      </c>
      <c r="E613" s="8" t="s">
        <v>299</v>
      </c>
      <c r="F613" s="8" t="s">
        <v>299</v>
      </c>
      <c r="G613" s="8" t="s">
        <v>299</v>
      </c>
      <c r="H613" s="8" t="s">
        <v>299</v>
      </c>
    </row>
    <row r="614">
      <c r="A614" s="19"/>
      <c r="B614" s="8" t="s">
        <v>299</v>
      </c>
      <c r="C614" s="8" t="s">
        <v>299</v>
      </c>
      <c r="D614" s="8" t="s">
        <v>299</v>
      </c>
      <c r="E614" s="8" t="s">
        <v>299</v>
      </c>
      <c r="F614" s="8" t="s">
        <v>299</v>
      </c>
      <c r="G614" s="8" t="s">
        <v>299</v>
      </c>
      <c r="H614" s="8" t="s">
        <v>299</v>
      </c>
    </row>
    <row r="615">
      <c r="A615" s="19"/>
      <c r="B615" s="8" t="s">
        <v>299</v>
      </c>
      <c r="C615" s="8" t="s">
        <v>299</v>
      </c>
      <c r="D615" s="8" t="s">
        <v>299</v>
      </c>
      <c r="E615" s="8" t="s">
        <v>299</v>
      </c>
      <c r="F615" s="8" t="s">
        <v>299</v>
      </c>
      <c r="G615" s="8" t="s">
        <v>299</v>
      </c>
      <c r="H615" s="8" t="s">
        <v>299</v>
      </c>
    </row>
    <row r="616">
      <c r="A616" s="19"/>
      <c r="B616" s="8" t="s">
        <v>299</v>
      </c>
      <c r="C616" s="8" t="s">
        <v>299</v>
      </c>
      <c r="D616" s="8" t="s">
        <v>299</v>
      </c>
      <c r="E616" s="8" t="s">
        <v>299</v>
      </c>
      <c r="F616" s="8" t="s">
        <v>299</v>
      </c>
      <c r="G616" s="8" t="s">
        <v>299</v>
      </c>
      <c r="H616" s="8" t="s">
        <v>299</v>
      </c>
    </row>
    <row r="617">
      <c r="A617" s="19"/>
      <c r="B617" s="8" t="s">
        <v>299</v>
      </c>
      <c r="C617" s="8" t="s">
        <v>299</v>
      </c>
      <c r="D617" s="8" t="s">
        <v>299</v>
      </c>
      <c r="E617" s="8" t="s">
        <v>299</v>
      </c>
      <c r="F617" s="8" t="s">
        <v>299</v>
      </c>
      <c r="G617" s="8" t="s">
        <v>299</v>
      </c>
      <c r="H617" s="8" t="s">
        <v>299</v>
      </c>
    </row>
    <row r="618">
      <c r="A618" s="19"/>
      <c r="B618" s="8" t="s">
        <v>299</v>
      </c>
      <c r="C618" s="8" t="s">
        <v>299</v>
      </c>
      <c r="D618" s="8" t="s">
        <v>299</v>
      </c>
      <c r="E618" s="8" t="s">
        <v>299</v>
      </c>
      <c r="F618" s="8" t="s">
        <v>299</v>
      </c>
      <c r="G618" s="8" t="s">
        <v>299</v>
      </c>
      <c r="H618" s="8" t="s">
        <v>299</v>
      </c>
    </row>
    <row r="619">
      <c r="A619" s="19"/>
      <c r="B619" s="8" t="s">
        <v>299</v>
      </c>
      <c r="C619" s="8" t="s">
        <v>299</v>
      </c>
      <c r="D619" s="8" t="s">
        <v>299</v>
      </c>
      <c r="E619" s="8" t="s">
        <v>299</v>
      </c>
      <c r="F619" s="8" t="s">
        <v>299</v>
      </c>
      <c r="G619" s="8" t="s">
        <v>299</v>
      </c>
      <c r="H619" s="8" t="s">
        <v>299</v>
      </c>
    </row>
    <row r="620">
      <c r="A620" s="19"/>
      <c r="B620" s="8" t="s">
        <v>299</v>
      </c>
      <c r="C620" s="8" t="s">
        <v>299</v>
      </c>
      <c r="D620" s="8" t="s">
        <v>299</v>
      </c>
      <c r="E620" s="8" t="s">
        <v>299</v>
      </c>
      <c r="F620" s="8" t="s">
        <v>299</v>
      </c>
      <c r="G620" s="8" t="s">
        <v>299</v>
      </c>
      <c r="H620" s="8" t="s">
        <v>299</v>
      </c>
    </row>
    <row r="621">
      <c r="A621" s="19"/>
      <c r="B621" s="8" t="s">
        <v>299</v>
      </c>
      <c r="C621" s="8" t="s">
        <v>299</v>
      </c>
      <c r="D621" s="8" t="s">
        <v>299</v>
      </c>
      <c r="E621" s="8" t="s">
        <v>299</v>
      </c>
      <c r="F621" s="8" t="s">
        <v>299</v>
      </c>
      <c r="G621" s="8" t="s">
        <v>299</v>
      </c>
      <c r="H621" s="8" t="s">
        <v>299</v>
      </c>
    </row>
    <row r="622">
      <c r="A622" s="19"/>
      <c r="B622" s="8" t="s">
        <v>299</v>
      </c>
      <c r="C622" s="8" t="s">
        <v>299</v>
      </c>
      <c r="D622" s="8" t="s">
        <v>299</v>
      </c>
      <c r="E622" s="8" t="s">
        <v>299</v>
      </c>
      <c r="F622" s="8" t="s">
        <v>299</v>
      </c>
      <c r="G622" s="8" t="s">
        <v>299</v>
      </c>
      <c r="H622" s="8" t="s">
        <v>299</v>
      </c>
    </row>
    <row r="623">
      <c r="A623" s="19"/>
      <c r="B623" s="8" t="s">
        <v>299</v>
      </c>
      <c r="C623" s="8" t="s">
        <v>299</v>
      </c>
      <c r="D623" s="8" t="s">
        <v>299</v>
      </c>
      <c r="E623" s="8" t="s">
        <v>299</v>
      </c>
      <c r="F623" s="8" t="s">
        <v>299</v>
      </c>
      <c r="G623" s="8" t="s">
        <v>299</v>
      </c>
      <c r="H623" s="8" t="s">
        <v>299</v>
      </c>
    </row>
    <row r="624">
      <c r="A624" s="19"/>
      <c r="B624" s="8" t="s">
        <v>299</v>
      </c>
      <c r="C624" s="8" t="s">
        <v>299</v>
      </c>
      <c r="D624" s="8" t="s">
        <v>299</v>
      </c>
      <c r="E624" s="8" t="s">
        <v>299</v>
      </c>
      <c r="F624" s="8" t="s">
        <v>299</v>
      </c>
      <c r="G624" s="8" t="s">
        <v>299</v>
      </c>
      <c r="H624" s="8" t="s">
        <v>299</v>
      </c>
    </row>
    <row r="625">
      <c r="A625" s="19"/>
      <c r="B625" s="8" t="s">
        <v>299</v>
      </c>
      <c r="C625" s="8" t="s">
        <v>299</v>
      </c>
      <c r="D625" s="8" t="s">
        <v>299</v>
      </c>
      <c r="E625" s="8" t="s">
        <v>299</v>
      </c>
      <c r="F625" s="8" t="s">
        <v>299</v>
      </c>
      <c r="G625" s="8" t="s">
        <v>299</v>
      </c>
      <c r="H625" s="8" t="s">
        <v>299</v>
      </c>
    </row>
    <row r="626">
      <c r="A626" s="19"/>
      <c r="B626" s="8" t="s">
        <v>299</v>
      </c>
      <c r="C626" s="8" t="s">
        <v>299</v>
      </c>
      <c r="D626" s="8" t="s">
        <v>299</v>
      </c>
      <c r="E626" s="8" t="s">
        <v>299</v>
      </c>
      <c r="F626" s="8" t="s">
        <v>299</v>
      </c>
      <c r="G626" s="8" t="s">
        <v>299</v>
      </c>
      <c r="H626" s="8" t="s">
        <v>299</v>
      </c>
    </row>
    <row r="627">
      <c r="A627" s="19"/>
      <c r="B627" s="8" t="s">
        <v>299</v>
      </c>
      <c r="C627" s="8" t="s">
        <v>299</v>
      </c>
      <c r="D627" s="8" t="s">
        <v>299</v>
      </c>
      <c r="E627" s="8" t="s">
        <v>299</v>
      </c>
      <c r="F627" s="8" t="s">
        <v>299</v>
      </c>
      <c r="G627" s="8" t="s">
        <v>299</v>
      </c>
      <c r="H627" s="8" t="s">
        <v>299</v>
      </c>
    </row>
    <row r="628">
      <c r="A628" s="19"/>
      <c r="B628" s="8" t="s">
        <v>299</v>
      </c>
      <c r="C628" s="8" t="s">
        <v>299</v>
      </c>
      <c r="D628" s="8" t="s">
        <v>299</v>
      </c>
      <c r="E628" s="8" t="s">
        <v>299</v>
      </c>
      <c r="F628" s="8" t="s">
        <v>299</v>
      </c>
      <c r="G628" s="8" t="s">
        <v>299</v>
      </c>
      <c r="H628" s="8" t="s">
        <v>299</v>
      </c>
    </row>
    <row r="629">
      <c r="A629" s="19"/>
      <c r="B629" s="8" t="s">
        <v>299</v>
      </c>
      <c r="C629" s="8" t="s">
        <v>299</v>
      </c>
      <c r="D629" s="8" t="s">
        <v>299</v>
      </c>
      <c r="E629" s="8" t="s">
        <v>299</v>
      </c>
      <c r="F629" s="8" t="s">
        <v>299</v>
      </c>
      <c r="G629" s="8" t="s">
        <v>299</v>
      </c>
      <c r="H629" s="8" t="s">
        <v>299</v>
      </c>
    </row>
    <row r="630">
      <c r="A630" s="19"/>
      <c r="B630" s="8" t="s">
        <v>299</v>
      </c>
      <c r="C630" s="8" t="s">
        <v>299</v>
      </c>
      <c r="D630" s="8" t="s">
        <v>299</v>
      </c>
      <c r="E630" s="8" t="s">
        <v>299</v>
      </c>
      <c r="F630" s="8" t="s">
        <v>299</v>
      </c>
      <c r="G630" s="8" t="s">
        <v>299</v>
      </c>
      <c r="H630" s="8" t="s">
        <v>299</v>
      </c>
    </row>
    <row r="631">
      <c r="A631" s="19"/>
      <c r="B631" s="8" t="s">
        <v>299</v>
      </c>
      <c r="C631" s="8" t="s">
        <v>299</v>
      </c>
      <c r="D631" s="8" t="s">
        <v>299</v>
      </c>
      <c r="E631" s="8" t="s">
        <v>299</v>
      </c>
      <c r="F631" s="8" t="s">
        <v>299</v>
      </c>
      <c r="G631" s="8" t="s">
        <v>299</v>
      </c>
      <c r="H631" s="8" t="s">
        <v>299</v>
      </c>
    </row>
    <row r="632">
      <c r="A632" s="19"/>
      <c r="B632" s="8" t="s">
        <v>299</v>
      </c>
      <c r="C632" s="8" t="s">
        <v>299</v>
      </c>
      <c r="D632" s="8" t="s">
        <v>299</v>
      </c>
      <c r="E632" s="8" t="s">
        <v>299</v>
      </c>
      <c r="F632" s="8" t="s">
        <v>299</v>
      </c>
      <c r="G632" s="8" t="s">
        <v>299</v>
      </c>
      <c r="H632" s="8" t="s">
        <v>299</v>
      </c>
    </row>
    <row r="633">
      <c r="A633" s="19"/>
      <c r="B633" s="8" t="s">
        <v>299</v>
      </c>
      <c r="C633" s="8" t="s">
        <v>299</v>
      </c>
      <c r="D633" s="8" t="s">
        <v>299</v>
      </c>
      <c r="E633" s="8" t="s">
        <v>299</v>
      </c>
      <c r="F633" s="8" t="s">
        <v>299</v>
      </c>
      <c r="G633" s="8" t="s">
        <v>299</v>
      </c>
      <c r="H633" s="8" t="s">
        <v>299</v>
      </c>
    </row>
    <row r="634">
      <c r="A634" s="19"/>
      <c r="B634" s="8" t="s">
        <v>299</v>
      </c>
      <c r="C634" s="8" t="s">
        <v>299</v>
      </c>
      <c r="D634" s="8" t="s">
        <v>299</v>
      </c>
      <c r="E634" s="8" t="s">
        <v>299</v>
      </c>
      <c r="F634" s="8" t="s">
        <v>299</v>
      </c>
      <c r="G634" s="8" t="s">
        <v>299</v>
      </c>
      <c r="H634" s="8" t="s">
        <v>299</v>
      </c>
    </row>
    <row r="635">
      <c r="A635" s="19"/>
      <c r="B635" s="8" t="s">
        <v>299</v>
      </c>
      <c r="C635" s="8" t="s">
        <v>299</v>
      </c>
      <c r="D635" s="8" t="s">
        <v>299</v>
      </c>
      <c r="E635" s="8" t="s">
        <v>299</v>
      </c>
      <c r="F635" s="8" t="s">
        <v>299</v>
      </c>
      <c r="G635" s="8" t="s">
        <v>299</v>
      </c>
      <c r="H635" s="8" t="s">
        <v>299</v>
      </c>
    </row>
    <row r="636">
      <c r="A636" s="19"/>
      <c r="B636" s="8" t="s">
        <v>299</v>
      </c>
      <c r="C636" s="8" t="s">
        <v>299</v>
      </c>
      <c r="D636" s="8" t="s">
        <v>299</v>
      </c>
      <c r="E636" s="8" t="s">
        <v>299</v>
      </c>
      <c r="F636" s="8" t="s">
        <v>299</v>
      </c>
      <c r="G636" s="8" t="s">
        <v>299</v>
      </c>
      <c r="H636" s="8" t="s">
        <v>299</v>
      </c>
    </row>
    <row r="637">
      <c r="A637" s="19"/>
      <c r="B637" s="8" t="s">
        <v>299</v>
      </c>
      <c r="C637" s="8" t="s">
        <v>299</v>
      </c>
      <c r="D637" s="8" t="s">
        <v>299</v>
      </c>
      <c r="E637" s="8" t="s">
        <v>299</v>
      </c>
      <c r="F637" s="8" t="s">
        <v>299</v>
      </c>
      <c r="G637" s="8" t="s">
        <v>299</v>
      </c>
      <c r="H637" s="8" t="s">
        <v>299</v>
      </c>
    </row>
    <row r="638">
      <c r="A638" s="19"/>
      <c r="B638" s="8" t="s">
        <v>299</v>
      </c>
      <c r="C638" s="8" t="s">
        <v>299</v>
      </c>
      <c r="D638" s="8" t="s">
        <v>299</v>
      </c>
      <c r="E638" s="8" t="s">
        <v>299</v>
      </c>
      <c r="F638" s="8" t="s">
        <v>299</v>
      </c>
      <c r="G638" s="8" t="s">
        <v>299</v>
      </c>
      <c r="H638" s="8" t="s">
        <v>299</v>
      </c>
    </row>
    <row r="639">
      <c r="A639" s="19"/>
      <c r="B639" s="8" t="s">
        <v>299</v>
      </c>
      <c r="C639" s="8" t="s">
        <v>299</v>
      </c>
      <c r="D639" s="8" t="s">
        <v>299</v>
      </c>
      <c r="E639" s="8" t="s">
        <v>299</v>
      </c>
      <c r="F639" s="8" t="s">
        <v>299</v>
      </c>
      <c r="G639" s="8" t="s">
        <v>299</v>
      </c>
      <c r="H639" s="8" t="s">
        <v>299</v>
      </c>
    </row>
    <row r="640">
      <c r="A640" s="19"/>
      <c r="B640" s="8" t="s">
        <v>299</v>
      </c>
      <c r="C640" s="8" t="s">
        <v>299</v>
      </c>
      <c r="D640" s="8" t="s">
        <v>299</v>
      </c>
      <c r="E640" s="8" t="s">
        <v>299</v>
      </c>
      <c r="F640" s="8" t="s">
        <v>299</v>
      </c>
      <c r="G640" s="8" t="s">
        <v>299</v>
      </c>
      <c r="H640" s="8" t="s">
        <v>299</v>
      </c>
    </row>
    <row r="641">
      <c r="A641" s="19"/>
      <c r="B641" s="8" t="s">
        <v>299</v>
      </c>
      <c r="C641" s="8" t="s">
        <v>299</v>
      </c>
      <c r="D641" s="8" t="s">
        <v>299</v>
      </c>
      <c r="E641" s="8" t="s">
        <v>299</v>
      </c>
      <c r="F641" s="8" t="s">
        <v>299</v>
      </c>
      <c r="G641" s="8" t="s">
        <v>299</v>
      </c>
      <c r="H641" s="8" t="s">
        <v>299</v>
      </c>
    </row>
    <row r="642">
      <c r="A642" s="19"/>
      <c r="B642" s="8" t="s">
        <v>299</v>
      </c>
      <c r="C642" s="8" t="s">
        <v>299</v>
      </c>
      <c r="D642" s="8" t="s">
        <v>299</v>
      </c>
      <c r="E642" s="8" t="s">
        <v>299</v>
      </c>
      <c r="F642" s="8" t="s">
        <v>299</v>
      </c>
      <c r="G642" s="8" t="s">
        <v>299</v>
      </c>
      <c r="H642" s="8" t="s">
        <v>299</v>
      </c>
    </row>
    <row r="643">
      <c r="A643" s="19"/>
      <c r="B643" s="8" t="s">
        <v>299</v>
      </c>
      <c r="C643" s="8" t="s">
        <v>299</v>
      </c>
      <c r="D643" s="8" t="s">
        <v>299</v>
      </c>
      <c r="E643" s="8" t="s">
        <v>299</v>
      </c>
      <c r="F643" s="8" t="s">
        <v>299</v>
      </c>
      <c r="G643" s="8" t="s">
        <v>299</v>
      </c>
      <c r="H643" s="8" t="s">
        <v>299</v>
      </c>
    </row>
    <row r="644">
      <c r="A644" s="19"/>
      <c r="B644" s="8" t="s">
        <v>299</v>
      </c>
      <c r="C644" s="8" t="s">
        <v>299</v>
      </c>
      <c r="D644" s="8" t="s">
        <v>299</v>
      </c>
      <c r="E644" s="8" t="s">
        <v>299</v>
      </c>
      <c r="F644" s="8" t="s">
        <v>299</v>
      </c>
      <c r="G644" s="8" t="s">
        <v>299</v>
      </c>
      <c r="H644" s="8" t="s">
        <v>299</v>
      </c>
    </row>
    <row r="645">
      <c r="A645" s="19"/>
      <c r="B645" s="8" t="s">
        <v>299</v>
      </c>
      <c r="C645" s="8" t="s">
        <v>299</v>
      </c>
      <c r="D645" s="8" t="s">
        <v>299</v>
      </c>
      <c r="E645" s="8" t="s">
        <v>299</v>
      </c>
      <c r="F645" s="8" t="s">
        <v>299</v>
      </c>
      <c r="G645" s="8" t="s">
        <v>299</v>
      </c>
      <c r="H645" s="8" t="s">
        <v>299</v>
      </c>
    </row>
    <row r="646">
      <c r="A646" s="19"/>
      <c r="B646" s="8" t="s">
        <v>299</v>
      </c>
      <c r="C646" s="8" t="s">
        <v>299</v>
      </c>
      <c r="D646" s="8" t="s">
        <v>299</v>
      </c>
      <c r="E646" s="8" t="s">
        <v>299</v>
      </c>
      <c r="F646" s="8" t="s">
        <v>299</v>
      </c>
      <c r="G646" s="8" t="s">
        <v>299</v>
      </c>
      <c r="H646" s="8" t="s">
        <v>299</v>
      </c>
    </row>
    <row r="647">
      <c r="A647" s="19"/>
      <c r="B647" s="8" t="s">
        <v>299</v>
      </c>
      <c r="C647" s="8" t="s">
        <v>299</v>
      </c>
      <c r="D647" s="8" t="s">
        <v>299</v>
      </c>
      <c r="E647" s="8" t="s">
        <v>299</v>
      </c>
      <c r="F647" s="8" t="s">
        <v>299</v>
      </c>
      <c r="G647" s="8" t="s">
        <v>299</v>
      </c>
      <c r="H647" s="8" t="s">
        <v>299</v>
      </c>
    </row>
    <row r="648">
      <c r="A648" s="19"/>
      <c r="B648" s="8" t="s">
        <v>299</v>
      </c>
      <c r="C648" s="8" t="s">
        <v>299</v>
      </c>
      <c r="D648" s="8" t="s">
        <v>299</v>
      </c>
      <c r="E648" s="8" t="s">
        <v>299</v>
      </c>
      <c r="F648" s="8" t="s">
        <v>299</v>
      </c>
      <c r="G648" s="8" t="s">
        <v>299</v>
      </c>
      <c r="H648" s="8" t="s">
        <v>299</v>
      </c>
    </row>
    <row r="649">
      <c r="A649" s="19"/>
      <c r="B649" s="8" t="s">
        <v>299</v>
      </c>
      <c r="C649" s="8" t="s">
        <v>299</v>
      </c>
      <c r="D649" s="8" t="s">
        <v>299</v>
      </c>
      <c r="E649" s="8" t="s">
        <v>299</v>
      </c>
      <c r="F649" s="8" t="s">
        <v>299</v>
      </c>
      <c r="G649" s="8" t="s">
        <v>299</v>
      </c>
      <c r="H649" s="8" t="s">
        <v>299</v>
      </c>
    </row>
    <row r="650">
      <c r="A650" s="19"/>
      <c r="B650" s="8" t="s">
        <v>299</v>
      </c>
      <c r="C650" s="8" t="s">
        <v>299</v>
      </c>
      <c r="D650" s="8" t="s">
        <v>299</v>
      </c>
      <c r="E650" s="8" t="s">
        <v>299</v>
      </c>
      <c r="F650" s="8" t="s">
        <v>299</v>
      </c>
      <c r="G650" s="8" t="s">
        <v>299</v>
      </c>
      <c r="H650" s="8" t="s">
        <v>299</v>
      </c>
    </row>
    <row r="651">
      <c r="A651" s="19"/>
      <c r="B651" s="8" t="s">
        <v>299</v>
      </c>
      <c r="C651" s="8" t="s">
        <v>299</v>
      </c>
      <c r="D651" s="8" t="s">
        <v>299</v>
      </c>
      <c r="E651" s="8" t="s">
        <v>299</v>
      </c>
      <c r="F651" s="8" t="s">
        <v>299</v>
      </c>
      <c r="G651" s="8" t="s">
        <v>299</v>
      </c>
      <c r="H651" s="8" t="s">
        <v>299</v>
      </c>
    </row>
    <row r="652">
      <c r="A652" s="19"/>
      <c r="B652" s="8" t="s">
        <v>299</v>
      </c>
      <c r="C652" s="8" t="s">
        <v>299</v>
      </c>
      <c r="D652" s="8" t="s">
        <v>299</v>
      </c>
      <c r="E652" s="8" t="s">
        <v>299</v>
      </c>
      <c r="F652" s="8" t="s">
        <v>299</v>
      </c>
      <c r="G652" s="8" t="s">
        <v>299</v>
      </c>
      <c r="H652" s="8" t="s">
        <v>299</v>
      </c>
    </row>
    <row r="653">
      <c r="A653" s="19"/>
      <c r="B653" s="8" t="s">
        <v>299</v>
      </c>
      <c r="C653" s="8" t="s">
        <v>299</v>
      </c>
      <c r="D653" s="8" t="s">
        <v>299</v>
      </c>
      <c r="E653" s="8" t="s">
        <v>299</v>
      </c>
      <c r="F653" s="8" t="s">
        <v>299</v>
      </c>
      <c r="G653" s="8" t="s">
        <v>299</v>
      </c>
      <c r="H653" s="8" t="s">
        <v>299</v>
      </c>
    </row>
    <row r="654">
      <c r="A654" s="19"/>
      <c r="B654" s="8" t="s">
        <v>299</v>
      </c>
      <c r="C654" s="8" t="s">
        <v>299</v>
      </c>
      <c r="D654" s="8" t="s">
        <v>299</v>
      </c>
      <c r="E654" s="8" t="s">
        <v>299</v>
      </c>
      <c r="F654" s="8" t="s">
        <v>299</v>
      </c>
      <c r="G654" s="8" t="s">
        <v>299</v>
      </c>
      <c r="H654" s="8" t="s">
        <v>299</v>
      </c>
    </row>
    <row r="655">
      <c r="A655" s="19"/>
      <c r="B655" s="8" t="s">
        <v>299</v>
      </c>
      <c r="C655" s="8" t="s">
        <v>299</v>
      </c>
      <c r="D655" s="8" t="s">
        <v>299</v>
      </c>
      <c r="E655" s="8" t="s">
        <v>299</v>
      </c>
      <c r="F655" s="8" t="s">
        <v>299</v>
      </c>
      <c r="G655" s="8" t="s">
        <v>299</v>
      </c>
      <c r="H655" s="8" t="s">
        <v>299</v>
      </c>
    </row>
    <row r="656">
      <c r="A656" s="19"/>
      <c r="B656" s="8" t="s">
        <v>299</v>
      </c>
      <c r="C656" s="8" t="s">
        <v>299</v>
      </c>
      <c r="D656" s="8" t="s">
        <v>299</v>
      </c>
      <c r="E656" s="8" t="s">
        <v>299</v>
      </c>
      <c r="F656" s="8" t="s">
        <v>299</v>
      </c>
      <c r="G656" s="8" t="s">
        <v>299</v>
      </c>
      <c r="H656" s="8" t="s">
        <v>299</v>
      </c>
    </row>
    <row r="657">
      <c r="A657" s="19"/>
      <c r="B657" s="8" t="s">
        <v>299</v>
      </c>
      <c r="C657" s="8" t="s">
        <v>299</v>
      </c>
      <c r="D657" s="8" t="s">
        <v>299</v>
      </c>
      <c r="E657" s="8" t="s">
        <v>299</v>
      </c>
      <c r="F657" s="8" t="s">
        <v>299</v>
      </c>
      <c r="G657" s="8" t="s">
        <v>299</v>
      </c>
      <c r="H657" s="8" t="s">
        <v>299</v>
      </c>
    </row>
    <row r="658">
      <c r="A658" s="19"/>
      <c r="B658" s="8" t="s">
        <v>299</v>
      </c>
      <c r="C658" s="8" t="s">
        <v>299</v>
      </c>
      <c r="D658" s="8" t="s">
        <v>299</v>
      </c>
      <c r="E658" s="8" t="s">
        <v>299</v>
      </c>
      <c r="F658" s="8" t="s">
        <v>299</v>
      </c>
      <c r="G658" s="8" t="s">
        <v>299</v>
      </c>
      <c r="H658" s="8" t="s">
        <v>299</v>
      </c>
    </row>
    <row r="659">
      <c r="A659" s="19"/>
      <c r="B659" s="8" t="s">
        <v>299</v>
      </c>
      <c r="C659" s="8" t="s">
        <v>299</v>
      </c>
      <c r="D659" s="8" t="s">
        <v>299</v>
      </c>
      <c r="E659" s="8" t="s">
        <v>299</v>
      </c>
      <c r="F659" s="8" t="s">
        <v>299</v>
      </c>
      <c r="G659" s="8" t="s">
        <v>299</v>
      </c>
      <c r="H659" s="8" t="s">
        <v>299</v>
      </c>
    </row>
    <row r="660">
      <c r="A660" s="19"/>
      <c r="B660" s="8" t="s">
        <v>299</v>
      </c>
      <c r="C660" s="8" t="s">
        <v>299</v>
      </c>
      <c r="D660" s="8" t="s">
        <v>299</v>
      </c>
      <c r="E660" s="8" t="s">
        <v>299</v>
      </c>
      <c r="F660" s="8" t="s">
        <v>299</v>
      </c>
      <c r="G660" s="8" t="s">
        <v>299</v>
      </c>
      <c r="H660" s="8" t="s">
        <v>299</v>
      </c>
    </row>
    <row r="661">
      <c r="A661" s="19"/>
      <c r="B661" s="8" t="s">
        <v>299</v>
      </c>
      <c r="C661" s="8" t="s">
        <v>299</v>
      </c>
      <c r="D661" s="8" t="s">
        <v>299</v>
      </c>
      <c r="E661" s="8" t="s">
        <v>299</v>
      </c>
      <c r="F661" s="8" t="s">
        <v>299</v>
      </c>
      <c r="G661" s="8" t="s">
        <v>299</v>
      </c>
      <c r="H661" s="8" t="s">
        <v>299</v>
      </c>
    </row>
    <row r="662">
      <c r="A662" s="19"/>
      <c r="B662" s="8" t="s">
        <v>299</v>
      </c>
      <c r="C662" s="8" t="s">
        <v>299</v>
      </c>
      <c r="D662" s="8" t="s">
        <v>299</v>
      </c>
      <c r="E662" s="8" t="s">
        <v>299</v>
      </c>
      <c r="F662" s="8" t="s">
        <v>299</v>
      </c>
      <c r="G662" s="8" t="s">
        <v>299</v>
      </c>
      <c r="H662" s="8" t="s">
        <v>299</v>
      </c>
    </row>
    <row r="663">
      <c r="A663" s="19"/>
      <c r="B663" s="8" t="s">
        <v>299</v>
      </c>
      <c r="C663" s="8" t="s">
        <v>299</v>
      </c>
      <c r="D663" s="8" t="s">
        <v>299</v>
      </c>
      <c r="E663" s="8" t="s">
        <v>299</v>
      </c>
      <c r="F663" s="8" t="s">
        <v>299</v>
      </c>
      <c r="G663" s="8" t="s">
        <v>299</v>
      </c>
      <c r="H663" s="8" t="s">
        <v>299</v>
      </c>
    </row>
    <row r="664">
      <c r="A664" s="19"/>
      <c r="B664" s="8" t="s">
        <v>299</v>
      </c>
      <c r="C664" s="8" t="s">
        <v>299</v>
      </c>
      <c r="D664" s="8" t="s">
        <v>299</v>
      </c>
      <c r="E664" s="8" t="s">
        <v>299</v>
      </c>
      <c r="F664" s="8" t="s">
        <v>299</v>
      </c>
      <c r="G664" s="8" t="s">
        <v>299</v>
      </c>
      <c r="H664" s="8" t="s">
        <v>299</v>
      </c>
    </row>
    <row r="665">
      <c r="A665" s="19"/>
      <c r="B665" s="8" t="s">
        <v>299</v>
      </c>
      <c r="C665" s="8" t="s">
        <v>299</v>
      </c>
      <c r="D665" s="8" t="s">
        <v>299</v>
      </c>
      <c r="E665" s="8" t="s">
        <v>299</v>
      </c>
      <c r="F665" s="8" t="s">
        <v>299</v>
      </c>
      <c r="G665" s="8" t="s">
        <v>299</v>
      </c>
      <c r="H665" s="8" t="s">
        <v>299</v>
      </c>
    </row>
    <row r="666">
      <c r="A666" s="19"/>
      <c r="B666" s="8" t="s">
        <v>299</v>
      </c>
      <c r="C666" s="8" t="s">
        <v>299</v>
      </c>
      <c r="D666" s="8" t="s">
        <v>299</v>
      </c>
      <c r="E666" s="8" t="s">
        <v>299</v>
      </c>
      <c r="F666" s="8" t="s">
        <v>299</v>
      </c>
      <c r="G666" s="8" t="s">
        <v>299</v>
      </c>
      <c r="H666" s="8" t="s">
        <v>299</v>
      </c>
    </row>
    <row r="667">
      <c r="A667" s="19"/>
      <c r="B667" s="8" t="s">
        <v>299</v>
      </c>
      <c r="C667" s="8" t="s">
        <v>299</v>
      </c>
      <c r="D667" s="8" t="s">
        <v>299</v>
      </c>
      <c r="E667" s="8" t="s">
        <v>299</v>
      </c>
      <c r="F667" s="8" t="s">
        <v>299</v>
      </c>
      <c r="G667" s="8" t="s">
        <v>299</v>
      </c>
      <c r="H667" s="8" t="s">
        <v>299</v>
      </c>
    </row>
    <row r="668">
      <c r="A668" s="19"/>
      <c r="B668" s="8" t="s">
        <v>299</v>
      </c>
      <c r="C668" s="8" t="s">
        <v>299</v>
      </c>
      <c r="D668" s="8" t="s">
        <v>299</v>
      </c>
      <c r="E668" s="8" t="s">
        <v>299</v>
      </c>
      <c r="F668" s="8" t="s">
        <v>299</v>
      </c>
      <c r="G668" s="8" t="s">
        <v>299</v>
      </c>
      <c r="H668" s="8" t="s">
        <v>299</v>
      </c>
    </row>
    <row r="669">
      <c r="A669" s="19"/>
      <c r="B669" s="8" t="s">
        <v>299</v>
      </c>
      <c r="C669" s="8" t="s">
        <v>299</v>
      </c>
      <c r="D669" s="8" t="s">
        <v>299</v>
      </c>
      <c r="E669" s="8" t="s">
        <v>299</v>
      </c>
      <c r="F669" s="8" t="s">
        <v>299</v>
      </c>
      <c r="G669" s="8" t="s">
        <v>299</v>
      </c>
      <c r="H669" s="8" t="s">
        <v>299</v>
      </c>
    </row>
    <row r="670">
      <c r="A670" s="19"/>
      <c r="B670" s="8" t="s">
        <v>299</v>
      </c>
      <c r="C670" s="8" t="s">
        <v>299</v>
      </c>
      <c r="D670" s="8" t="s">
        <v>299</v>
      </c>
      <c r="E670" s="8" t="s">
        <v>299</v>
      </c>
      <c r="F670" s="8" t="s">
        <v>299</v>
      </c>
      <c r="G670" s="8" t="s">
        <v>299</v>
      </c>
      <c r="H670" s="8" t="s">
        <v>299</v>
      </c>
    </row>
    <row r="671">
      <c r="A671" s="19"/>
      <c r="B671" s="8" t="s">
        <v>299</v>
      </c>
      <c r="C671" s="8" t="s">
        <v>299</v>
      </c>
      <c r="D671" s="8" t="s">
        <v>299</v>
      </c>
      <c r="E671" s="8" t="s">
        <v>299</v>
      </c>
      <c r="F671" s="8" t="s">
        <v>299</v>
      </c>
      <c r="G671" s="8" t="s">
        <v>299</v>
      </c>
      <c r="H671" s="8" t="s">
        <v>299</v>
      </c>
    </row>
    <row r="672">
      <c r="A672" s="19"/>
      <c r="B672" s="8" t="s">
        <v>299</v>
      </c>
      <c r="C672" s="8" t="s">
        <v>299</v>
      </c>
      <c r="D672" s="8" t="s">
        <v>299</v>
      </c>
      <c r="E672" s="8" t="s">
        <v>299</v>
      </c>
      <c r="F672" s="8" t="s">
        <v>299</v>
      </c>
      <c r="G672" s="8" t="s">
        <v>299</v>
      </c>
      <c r="H672" s="8" t="s">
        <v>299</v>
      </c>
    </row>
    <row r="673">
      <c r="A673" s="19"/>
      <c r="B673" s="8" t="s">
        <v>299</v>
      </c>
      <c r="C673" s="8" t="s">
        <v>299</v>
      </c>
      <c r="D673" s="8" t="s">
        <v>299</v>
      </c>
      <c r="E673" s="8" t="s">
        <v>299</v>
      </c>
      <c r="F673" s="8" t="s">
        <v>299</v>
      </c>
      <c r="G673" s="8" t="s">
        <v>299</v>
      </c>
      <c r="H673" s="8" t="s">
        <v>299</v>
      </c>
    </row>
    <row r="674">
      <c r="A674" s="19"/>
      <c r="B674" s="8" t="s">
        <v>299</v>
      </c>
      <c r="C674" s="8" t="s">
        <v>299</v>
      </c>
      <c r="D674" s="8" t="s">
        <v>299</v>
      </c>
      <c r="E674" s="8" t="s">
        <v>299</v>
      </c>
      <c r="F674" s="8" t="s">
        <v>299</v>
      </c>
      <c r="G674" s="8" t="s">
        <v>299</v>
      </c>
      <c r="H674" s="8" t="s">
        <v>299</v>
      </c>
    </row>
    <row r="675">
      <c r="A675" s="19"/>
      <c r="B675" s="8" t="s">
        <v>299</v>
      </c>
      <c r="C675" s="8" t="s">
        <v>299</v>
      </c>
      <c r="D675" s="8" t="s">
        <v>299</v>
      </c>
      <c r="E675" s="8" t="s">
        <v>299</v>
      </c>
      <c r="F675" s="8" t="s">
        <v>299</v>
      </c>
      <c r="G675" s="8" t="s">
        <v>299</v>
      </c>
      <c r="H675" s="8" t="s">
        <v>299</v>
      </c>
    </row>
    <row r="676">
      <c r="A676" s="19"/>
      <c r="B676" s="8" t="s">
        <v>299</v>
      </c>
      <c r="C676" s="8" t="s">
        <v>299</v>
      </c>
      <c r="D676" s="8" t="s">
        <v>299</v>
      </c>
      <c r="E676" s="8" t="s">
        <v>299</v>
      </c>
      <c r="F676" s="8" t="s">
        <v>299</v>
      </c>
      <c r="G676" s="8" t="s">
        <v>299</v>
      </c>
      <c r="H676" s="8" t="s">
        <v>299</v>
      </c>
    </row>
    <row r="677">
      <c r="A677" s="19"/>
      <c r="B677" s="8" t="s">
        <v>299</v>
      </c>
      <c r="C677" s="8" t="s">
        <v>299</v>
      </c>
      <c r="D677" s="8" t="s">
        <v>299</v>
      </c>
      <c r="E677" s="8" t="s">
        <v>299</v>
      </c>
      <c r="F677" s="8" t="s">
        <v>299</v>
      </c>
      <c r="G677" s="8" t="s">
        <v>299</v>
      </c>
      <c r="H677" s="8" t="s">
        <v>299</v>
      </c>
    </row>
    <row r="678">
      <c r="A678" s="19"/>
      <c r="B678" s="8" t="s">
        <v>299</v>
      </c>
      <c r="C678" s="8" t="s">
        <v>299</v>
      </c>
      <c r="D678" s="8" t="s">
        <v>299</v>
      </c>
      <c r="E678" s="8" t="s">
        <v>299</v>
      </c>
      <c r="F678" s="8" t="s">
        <v>299</v>
      </c>
      <c r="G678" s="8" t="s">
        <v>299</v>
      </c>
      <c r="H678" s="8" t="s">
        <v>299</v>
      </c>
    </row>
    <row r="679">
      <c r="A679" s="19"/>
      <c r="B679" s="8" t="s">
        <v>299</v>
      </c>
      <c r="C679" s="8" t="s">
        <v>299</v>
      </c>
      <c r="D679" s="8" t="s">
        <v>299</v>
      </c>
      <c r="E679" s="8" t="s">
        <v>299</v>
      </c>
      <c r="F679" s="8" t="s">
        <v>299</v>
      </c>
      <c r="G679" s="8" t="s">
        <v>299</v>
      </c>
      <c r="H679" s="8" t="s">
        <v>299</v>
      </c>
    </row>
    <row r="680">
      <c r="A680" s="19"/>
      <c r="B680" s="8" t="s">
        <v>299</v>
      </c>
      <c r="C680" s="8" t="s">
        <v>299</v>
      </c>
      <c r="D680" s="8" t="s">
        <v>299</v>
      </c>
      <c r="E680" s="8" t="s">
        <v>299</v>
      </c>
      <c r="F680" s="8" t="s">
        <v>299</v>
      </c>
      <c r="G680" s="8" t="s">
        <v>299</v>
      </c>
      <c r="H680" s="8" t="s">
        <v>299</v>
      </c>
    </row>
    <row r="681">
      <c r="A681" s="19"/>
      <c r="B681" s="8" t="s">
        <v>299</v>
      </c>
      <c r="C681" s="8" t="s">
        <v>299</v>
      </c>
      <c r="D681" s="8" t="s">
        <v>299</v>
      </c>
      <c r="E681" s="8" t="s">
        <v>299</v>
      </c>
      <c r="F681" s="8" t="s">
        <v>299</v>
      </c>
      <c r="G681" s="8" t="s">
        <v>299</v>
      </c>
      <c r="H681" s="8" t="s">
        <v>299</v>
      </c>
    </row>
    <row r="682">
      <c r="A682" s="19"/>
      <c r="B682" s="8" t="s">
        <v>299</v>
      </c>
      <c r="C682" s="8" t="s">
        <v>299</v>
      </c>
      <c r="D682" s="8" t="s">
        <v>299</v>
      </c>
      <c r="E682" s="8" t="s">
        <v>299</v>
      </c>
      <c r="F682" s="8" t="s">
        <v>299</v>
      </c>
      <c r="G682" s="8" t="s">
        <v>299</v>
      </c>
      <c r="H682" s="8" t="s">
        <v>299</v>
      </c>
    </row>
    <row r="683">
      <c r="A683" s="19"/>
      <c r="B683" s="8" t="s">
        <v>299</v>
      </c>
      <c r="C683" s="8" t="s">
        <v>299</v>
      </c>
      <c r="D683" s="8" t="s">
        <v>299</v>
      </c>
      <c r="E683" s="8" t="s">
        <v>299</v>
      </c>
      <c r="F683" s="8" t="s">
        <v>299</v>
      </c>
      <c r="G683" s="8" t="s">
        <v>299</v>
      </c>
      <c r="H683" s="8" t="s">
        <v>299</v>
      </c>
    </row>
    <row r="684">
      <c r="A684" s="19"/>
      <c r="B684" s="8" t="s">
        <v>299</v>
      </c>
      <c r="C684" s="8" t="s">
        <v>299</v>
      </c>
      <c r="D684" s="8" t="s">
        <v>299</v>
      </c>
      <c r="E684" s="8" t="s">
        <v>299</v>
      </c>
      <c r="F684" s="8" t="s">
        <v>299</v>
      </c>
      <c r="G684" s="8" t="s">
        <v>299</v>
      </c>
      <c r="H684" s="8" t="s">
        <v>299</v>
      </c>
    </row>
    <row r="685">
      <c r="A685" s="19"/>
      <c r="B685" s="8" t="s">
        <v>299</v>
      </c>
      <c r="C685" s="8" t="s">
        <v>299</v>
      </c>
      <c r="D685" s="8" t="s">
        <v>299</v>
      </c>
      <c r="E685" s="8" t="s">
        <v>299</v>
      </c>
      <c r="F685" s="8" t="s">
        <v>299</v>
      </c>
      <c r="G685" s="8" t="s">
        <v>299</v>
      </c>
      <c r="H685" s="8" t="s">
        <v>299</v>
      </c>
    </row>
    <row r="686">
      <c r="A686" s="19"/>
      <c r="B686" s="8" t="s">
        <v>299</v>
      </c>
      <c r="C686" s="8" t="s">
        <v>299</v>
      </c>
      <c r="D686" s="8" t="s">
        <v>299</v>
      </c>
      <c r="E686" s="8" t="s">
        <v>299</v>
      </c>
      <c r="F686" s="8" t="s">
        <v>299</v>
      </c>
      <c r="G686" s="8" t="s">
        <v>299</v>
      </c>
      <c r="H686" s="8" t="s">
        <v>299</v>
      </c>
    </row>
    <row r="687">
      <c r="A687" s="19"/>
      <c r="B687" s="8" t="s">
        <v>299</v>
      </c>
      <c r="C687" s="8" t="s">
        <v>299</v>
      </c>
      <c r="D687" s="8" t="s">
        <v>299</v>
      </c>
      <c r="E687" s="8" t="s">
        <v>299</v>
      </c>
      <c r="F687" s="8" t="s">
        <v>299</v>
      </c>
      <c r="G687" s="8" t="s">
        <v>299</v>
      </c>
      <c r="H687" s="8" t="s">
        <v>299</v>
      </c>
    </row>
    <row r="688">
      <c r="A688" s="19"/>
      <c r="B688" s="8" t="s">
        <v>299</v>
      </c>
      <c r="C688" s="8" t="s">
        <v>299</v>
      </c>
      <c r="D688" s="8" t="s">
        <v>299</v>
      </c>
      <c r="E688" s="8" t="s">
        <v>299</v>
      </c>
      <c r="F688" s="8" t="s">
        <v>299</v>
      </c>
      <c r="G688" s="8" t="s">
        <v>299</v>
      </c>
      <c r="H688" s="8" t="s">
        <v>299</v>
      </c>
    </row>
    <row r="689">
      <c r="A689" s="19"/>
      <c r="B689" s="8" t="s">
        <v>299</v>
      </c>
      <c r="C689" s="8" t="s">
        <v>299</v>
      </c>
      <c r="D689" s="8" t="s">
        <v>299</v>
      </c>
      <c r="E689" s="8" t="s">
        <v>299</v>
      </c>
      <c r="F689" s="8" t="s">
        <v>299</v>
      </c>
      <c r="G689" s="8" t="s">
        <v>299</v>
      </c>
      <c r="H689" s="8" t="s">
        <v>299</v>
      </c>
    </row>
    <row r="690">
      <c r="A690" s="19"/>
      <c r="B690" s="8" t="s">
        <v>299</v>
      </c>
      <c r="C690" s="8" t="s">
        <v>299</v>
      </c>
      <c r="D690" s="8" t="s">
        <v>299</v>
      </c>
      <c r="E690" s="8" t="s">
        <v>299</v>
      </c>
      <c r="F690" s="8" t="s">
        <v>299</v>
      </c>
      <c r="G690" s="8" t="s">
        <v>299</v>
      </c>
      <c r="H690" s="8" t="s">
        <v>299</v>
      </c>
    </row>
    <row r="691">
      <c r="A691" s="19"/>
      <c r="B691" s="8" t="s">
        <v>299</v>
      </c>
      <c r="C691" s="8" t="s">
        <v>299</v>
      </c>
      <c r="D691" s="8" t="s">
        <v>299</v>
      </c>
      <c r="E691" s="8" t="s">
        <v>299</v>
      </c>
      <c r="F691" s="8" t="s">
        <v>299</v>
      </c>
      <c r="G691" s="8" t="s">
        <v>299</v>
      </c>
      <c r="H691" s="8" t="s">
        <v>299</v>
      </c>
    </row>
    <row r="692">
      <c r="A692" s="19"/>
      <c r="B692" s="8" t="s">
        <v>299</v>
      </c>
      <c r="C692" s="8" t="s">
        <v>299</v>
      </c>
      <c r="D692" s="8" t="s">
        <v>299</v>
      </c>
      <c r="E692" s="8" t="s">
        <v>299</v>
      </c>
      <c r="F692" s="8" t="s">
        <v>299</v>
      </c>
      <c r="G692" s="8" t="s">
        <v>299</v>
      </c>
      <c r="H692" s="8" t="s">
        <v>299</v>
      </c>
    </row>
    <row r="693">
      <c r="A693" s="19"/>
      <c r="B693" s="8" t="s">
        <v>299</v>
      </c>
      <c r="C693" s="8" t="s">
        <v>299</v>
      </c>
      <c r="D693" s="8" t="s">
        <v>299</v>
      </c>
      <c r="E693" s="8" t="s">
        <v>299</v>
      </c>
      <c r="F693" s="8" t="s">
        <v>299</v>
      </c>
      <c r="G693" s="8" t="s">
        <v>299</v>
      </c>
      <c r="H693" s="8" t="s">
        <v>299</v>
      </c>
    </row>
    <row r="694">
      <c r="A694" s="19"/>
      <c r="B694" s="8" t="s">
        <v>299</v>
      </c>
      <c r="C694" s="8" t="s">
        <v>299</v>
      </c>
      <c r="D694" s="8" t="s">
        <v>299</v>
      </c>
      <c r="E694" s="8" t="s">
        <v>299</v>
      </c>
      <c r="F694" s="8" t="s">
        <v>299</v>
      </c>
      <c r="G694" s="8" t="s">
        <v>299</v>
      </c>
      <c r="H694" s="8" t="s">
        <v>299</v>
      </c>
    </row>
    <row r="695">
      <c r="A695" s="19"/>
      <c r="B695" s="8" t="s">
        <v>299</v>
      </c>
      <c r="C695" s="8" t="s">
        <v>299</v>
      </c>
      <c r="D695" s="8" t="s">
        <v>299</v>
      </c>
      <c r="E695" s="8" t="s">
        <v>299</v>
      </c>
      <c r="F695" s="8" t="s">
        <v>299</v>
      </c>
      <c r="G695" s="8" t="s">
        <v>299</v>
      </c>
      <c r="H695" s="8" t="s">
        <v>299</v>
      </c>
    </row>
    <row r="696">
      <c r="A696" s="19"/>
      <c r="B696" s="8" t="s">
        <v>299</v>
      </c>
      <c r="C696" s="8" t="s">
        <v>299</v>
      </c>
      <c r="D696" s="8" t="s">
        <v>299</v>
      </c>
      <c r="E696" s="8" t="s">
        <v>299</v>
      </c>
      <c r="F696" s="8" t="s">
        <v>299</v>
      </c>
      <c r="G696" s="8" t="s">
        <v>299</v>
      </c>
      <c r="H696" s="8" t="s">
        <v>299</v>
      </c>
    </row>
    <row r="697">
      <c r="A697" s="19"/>
      <c r="B697" s="8" t="s">
        <v>299</v>
      </c>
      <c r="C697" s="8" t="s">
        <v>299</v>
      </c>
      <c r="D697" s="8" t="s">
        <v>299</v>
      </c>
      <c r="E697" s="8" t="s">
        <v>299</v>
      </c>
      <c r="F697" s="8" t="s">
        <v>299</v>
      </c>
      <c r="G697" s="8" t="s">
        <v>299</v>
      </c>
      <c r="H697" s="8" t="s">
        <v>299</v>
      </c>
    </row>
    <row r="698">
      <c r="A698" s="19"/>
      <c r="B698" s="8" t="s">
        <v>299</v>
      </c>
      <c r="C698" s="8" t="s">
        <v>299</v>
      </c>
      <c r="D698" s="8" t="s">
        <v>299</v>
      </c>
      <c r="E698" s="8" t="s">
        <v>299</v>
      </c>
      <c r="F698" s="8" t="s">
        <v>299</v>
      </c>
      <c r="G698" s="8" t="s">
        <v>299</v>
      </c>
      <c r="H698" s="8" t="s">
        <v>299</v>
      </c>
    </row>
    <row r="699">
      <c r="A699" s="19"/>
      <c r="B699" s="8" t="s">
        <v>299</v>
      </c>
      <c r="C699" s="8" t="s">
        <v>299</v>
      </c>
      <c r="D699" s="8" t="s">
        <v>299</v>
      </c>
      <c r="E699" s="8" t="s">
        <v>299</v>
      </c>
      <c r="F699" s="8" t="s">
        <v>299</v>
      </c>
      <c r="G699" s="8" t="s">
        <v>299</v>
      </c>
      <c r="H699" s="8" t="s">
        <v>299</v>
      </c>
    </row>
    <row r="700">
      <c r="A700" s="19"/>
      <c r="B700" s="8" t="s">
        <v>299</v>
      </c>
      <c r="C700" s="8" t="s">
        <v>299</v>
      </c>
      <c r="D700" s="8" t="s">
        <v>299</v>
      </c>
      <c r="E700" s="8" t="s">
        <v>299</v>
      </c>
      <c r="F700" s="8" t="s">
        <v>299</v>
      </c>
      <c r="G700" s="8" t="s">
        <v>299</v>
      </c>
      <c r="H700" s="8" t="s">
        <v>299</v>
      </c>
    </row>
    <row r="701">
      <c r="A701" s="19"/>
      <c r="B701" s="8" t="s">
        <v>299</v>
      </c>
      <c r="C701" s="8" t="s">
        <v>299</v>
      </c>
      <c r="D701" s="8" t="s">
        <v>299</v>
      </c>
      <c r="E701" s="8" t="s">
        <v>299</v>
      </c>
      <c r="F701" s="8" t="s">
        <v>299</v>
      </c>
      <c r="G701" s="8" t="s">
        <v>299</v>
      </c>
      <c r="H701" s="8" t="s">
        <v>299</v>
      </c>
    </row>
    <row r="702">
      <c r="A702" s="19"/>
      <c r="B702" s="8" t="s">
        <v>299</v>
      </c>
      <c r="C702" s="8" t="s">
        <v>299</v>
      </c>
      <c r="D702" s="8" t="s">
        <v>299</v>
      </c>
      <c r="E702" s="8" t="s">
        <v>299</v>
      </c>
      <c r="F702" s="8" t="s">
        <v>299</v>
      </c>
      <c r="G702" s="8" t="s">
        <v>299</v>
      </c>
      <c r="H702" s="8" t="s">
        <v>299</v>
      </c>
    </row>
    <row r="703">
      <c r="A703" s="19"/>
      <c r="B703" s="8" t="s">
        <v>299</v>
      </c>
      <c r="C703" s="8" t="s">
        <v>299</v>
      </c>
      <c r="D703" s="8" t="s">
        <v>299</v>
      </c>
      <c r="E703" s="8" t="s">
        <v>299</v>
      </c>
      <c r="F703" s="8" t="s">
        <v>299</v>
      </c>
      <c r="G703" s="8" t="s">
        <v>299</v>
      </c>
      <c r="H703" s="8" t="s">
        <v>299</v>
      </c>
    </row>
    <row r="704">
      <c r="A704" s="19"/>
      <c r="B704" s="8" t="s">
        <v>299</v>
      </c>
      <c r="C704" s="8" t="s">
        <v>299</v>
      </c>
      <c r="D704" s="8" t="s">
        <v>299</v>
      </c>
      <c r="E704" s="8" t="s">
        <v>299</v>
      </c>
      <c r="F704" s="8" t="s">
        <v>299</v>
      </c>
      <c r="G704" s="8" t="s">
        <v>299</v>
      </c>
      <c r="H704" s="8" t="s">
        <v>299</v>
      </c>
    </row>
    <row r="705">
      <c r="A705" s="19"/>
      <c r="B705" s="8" t="s">
        <v>299</v>
      </c>
      <c r="C705" s="8" t="s">
        <v>299</v>
      </c>
      <c r="D705" s="8" t="s">
        <v>299</v>
      </c>
      <c r="E705" s="8" t="s">
        <v>299</v>
      </c>
      <c r="F705" s="8" t="s">
        <v>299</v>
      </c>
      <c r="G705" s="8" t="s">
        <v>299</v>
      </c>
      <c r="H705" s="8" t="s">
        <v>299</v>
      </c>
    </row>
    <row r="706">
      <c r="A706" s="19"/>
      <c r="B706" s="8" t="s">
        <v>299</v>
      </c>
      <c r="C706" s="8" t="s">
        <v>299</v>
      </c>
      <c r="D706" s="8" t="s">
        <v>299</v>
      </c>
      <c r="E706" s="8" t="s">
        <v>299</v>
      </c>
      <c r="F706" s="8" t="s">
        <v>299</v>
      </c>
      <c r="G706" s="8" t="s">
        <v>299</v>
      </c>
      <c r="H706" s="8" t="s">
        <v>299</v>
      </c>
    </row>
    <row r="707">
      <c r="A707" s="19"/>
      <c r="B707" s="8" t="s">
        <v>299</v>
      </c>
      <c r="C707" s="8" t="s">
        <v>299</v>
      </c>
      <c r="D707" s="8" t="s">
        <v>299</v>
      </c>
      <c r="E707" s="8" t="s">
        <v>299</v>
      </c>
      <c r="F707" s="8" t="s">
        <v>299</v>
      </c>
      <c r="G707" s="8" t="s">
        <v>299</v>
      </c>
      <c r="H707" s="8" t="s">
        <v>299</v>
      </c>
    </row>
    <row r="708">
      <c r="A708" s="19"/>
      <c r="B708" s="8" t="s">
        <v>299</v>
      </c>
      <c r="C708" s="8" t="s">
        <v>299</v>
      </c>
      <c r="D708" s="8" t="s">
        <v>299</v>
      </c>
      <c r="E708" s="8" t="s">
        <v>299</v>
      </c>
      <c r="F708" s="8" t="s">
        <v>299</v>
      </c>
      <c r="G708" s="8" t="s">
        <v>299</v>
      </c>
      <c r="H708" s="8" t="s">
        <v>299</v>
      </c>
    </row>
    <row r="709">
      <c r="A709" s="19"/>
      <c r="B709" s="8" t="s">
        <v>299</v>
      </c>
      <c r="C709" s="8" t="s">
        <v>299</v>
      </c>
      <c r="D709" s="8" t="s">
        <v>299</v>
      </c>
      <c r="E709" s="8" t="s">
        <v>299</v>
      </c>
      <c r="F709" s="8" t="s">
        <v>299</v>
      </c>
      <c r="G709" s="8" t="s">
        <v>299</v>
      </c>
      <c r="H709" s="8" t="s">
        <v>299</v>
      </c>
    </row>
    <row r="710">
      <c r="A710" s="19"/>
      <c r="B710" s="8" t="s">
        <v>299</v>
      </c>
      <c r="C710" s="8" t="s">
        <v>299</v>
      </c>
      <c r="D710" s="8" t="s">
        <v>299</v>
      </c>
      <c r="E710" s="8" t="s">
        <v>299</v>
      </c>
      <c r="F710" s="8" t="s">
        <v>299</v>
      </c>
      <c r="G710" s="8" t="s">
        <v>299</v>
      </c>
      <c r="H710" s="8" t="s">
        <v>299</v>
      </c>
    </row>
    <row r="711">
      <c r="A711" s="19"/>
      <c r="B711" s="8" t="s">
        <v>299</v>
      </c>
      <c r="C711" s="8" t="s">
        <v>299</v>
      </c>
      <c r="D711" s="8" t="s">
        <v>299</v>
      </c>
      <c r="E711" s="8" t="s">
        <v>299</v>
      </c>
      <c r="F711" s="8" t="s">
        <v>299</v>
      </c>
      <c r="G711" s="8" t="s">
        <v>299</v>
      </c>
      <c r="H711" s="8" t="s">
        <v>299</v>
      </c>
    </row>
    <row r="712">
      <c r="A712" s="19"/>
      <c r="B712" s="8" t="s">
        <v>299</v>
      </c>
      <c r="C712" s="8" t="s">
        <v>299</v>
      </c>
      <c r="D712" s="8" t="s">
        <v>299</v>
      </c>
      <c r="E712" s="8" t="s">
        <v>299</v>
      </c>
      <c r="F712" s="8" t="s">
        <v>299</v>
      </c>
      <c r="G712" s="8" t="s">
        <v>299</v>
      </c>
      <c r="H712" s="8" t="s">
        <v>299</v>
      </c>
    </row>
    <row r="713">
      <c r="A713" s="19"/>
      <c r="B713" s="8" t="s">
        <v>299</v>
      </c>
      <c r="C713" s="8" t="s">
        <v>299</v>
      </c>
      <c r="D713" s="8" t="s">
        <v>299</v>
      </c>
      <c r="E713" s="8" t="s">
        <v>299</v>
      </c>
      <c r="F713" s="8" t="s">
        <v>299</v>
      </c>
      <c r="G713" s="8" t="s">
        <v>299</v>
      </c>
      <c r="H713" s="8" t="s">
        <v>299</v>
      </c>
    </row>
    <row r="714">
      <c r="A714" s="19"/>
      <c r="B714" s="8" t="s">
        <v>299</v>
      </c>
      <c r="C714" s="8" t="s">
        <v>299</v>
      </c>
      <c r="D714" s="8" t="s">
        <v>299</v>
      </c>
      <c r="E714" s="8" t="s">
        <v>299</v>
      </c>
      <c r="F714" s="8" t="s">
        <v>299</v>
      </c>
      <c r="G714" s="8" t="s">
        <v>299</v>
      </c>
      <c r="H714" s="8" t="s">
        <v>299</v>
      </c>
    </row>
    <row r="715">
      <c r="A715" s="19"/>
      <c r="B715" s="8" t="s">
        <v>299</v>
      </c>
      <c r="C715" s="8" t="s">
        <v>299</v>
      </c>
      <c r="D715" s="8" t="s">
        <v>299</v>
      </c>
      <c r="E715" s="8" t="s">
        <v>299</v>
      </c>
      <c r="F715" s="8" t="s">
        <v>299</v>
      </c>
      <c r="G715" s="8" t="s">
        <v>299</v>
      </c>
      <c r="H715" s="8" t="s">
        <v>299</v>
      </c>
    </row>
    <row r="716">
      <c r="A716" s="19"/>
      <c r="B716" s="8" t="s">
        <v>299</v>
      </c>
      <c r="C716" s="8" t="s">
        <v>299</v>
      </c>
      <c r="D716" s="8" t="s">
        <v>299</v>
      </c>
      <c r="E716" s="8" t="s">
        <v>299</v>
      </c>
      <c r="F716" s="8" t="s">
        <v>299</v>
      </c>
      <c r="G716" s="8" t="s">
        <v>299</v>
      </c>
      <c r="H716" s="8" t="s">
        <v>299</v>
      </c>
    </row>
    <row r="717">
      <c r="A717" s="19"/>
      <c r="B717" s="8" t="s">
        <v>299</v>
      </c>
      <c r="C717" s="8" t="s">
        <v>299</v>
      </c>
      <c r="D717" s="8" t="s">
        <v>299</v>
      </c>
      <c r="E717" s="8" t="s">
        <v>299</v>
      </c>
      <c r="F717" s="8" t="s">
        <v>299</v>
      </c>
      <c r="G717" s="8" t="s">
        <v>299</v>
      </c>
      <c r="H717" s="8" t="s">
        <v>299</v>
      </c>
    </row>
    <row r="718">
      <c r="A718" s="19"/>
      <c r="B718" s="8" t="s">
        <v>299</v>
      </c>
      <c r="C718" s="8" t="s">
        <v>299</v>
      </c>
      <c r="D718" s="8" t="s">
        <v>299</v>
      </c>
      <c r="E718" s="8" t="s">
        <v>299</v>
      </c>
      <c r="F718" s="8" t="s">
        <v>299</v>
      </c>
      <c r="G718" s="8" t="s">
        <v>299</v>
      </c>
      <c r="H718" s="8" t="s">
        <v>299</v>
      </c>
    </row>
    <row r="719">
      <c r="A719" s="19"/>
      <c r="B719" s="8" t="s">
        <v>299</v>
      </c>
      <c r="C719" s="8" t="s">
        <v>299</v>
      </c>
      <c r="D719" s="8" t="s">
        <v>299</v>
      </c>
      <c r="E719" s="8" t="s">
        <v>299</v>
      </c>
      <c r="F719" s="8" t="s">
        <v>299</v>
      </c>
      <c r="G719" s="8" t="s">
        <v>299</v>
      </c>
      <c r="H719" s="8" t="s">
        <v>299</v>
      </c>
    </row>
    <row r="720">
      <c r="A720" s="19"/>
      <c r="B720" s="8" t="s">
        <v>299</v>
      </c>
      <c r="C720" s="8" t="s">
        <v>299</v>
      </c>
      <c r="D720" s="8" t="s">
        <v>299</v>
      </c>
      <c r="E720" s="8" t="s">
        <v>299</v>
      </c>
      <c r="F720" s="8" t="s">
        <v>299</v>
      </c>
      <c r="G720" s="8" t="s">
        <v>299</v>
      </c>
      <c r="H720" s="8" t="s">
        <v>299</v>
      </c>
    </row>
    <row r="721">
      <c r="A721" s="19"/>
      <c r="B721" s="8" t="s">
        <v>299</v>
      </c>
      <c r="C721" s="8" t="s">
        <v>299</v>
      </c>
      <c r="D721" s="8" t="s">
        <v>299</v>
      </c>
      <c r="E721" s="8" t="s">
        <v>299</v>
      </c>
      <c r="F721" s="8" t="s">
        <v>299</v>
      </c>
      <c r="G721" s="8" t="s">
        <v>299</v>
      </c>
      <c r="H721" s="8" t="s">
        <v>299</v>
      </c>
    </row>
    <row r="722">
      <c r="A722" s="19"/>
      <c r="B722" s="8" t="s">
        <v>299</v>
      </c>
      <c r="C722" s="8" t="s">
        <v>299</v>
      </c>
      <c r="D722" s="8" t="s">
        <v>299</v>
      </c>
      <c r="E722" s="8" t="s">
        <v>299</v>
      </c>
      <c r="F722" s="8" t="s">
        <v>299</v>
      </c>
      <c r="G722" s="8" t="s">
        <v>299</v>
      </c>
      <c r="H722" s="8" t="s">
        <v>299</v>
      </c>
    </row>
    <row r="723">
      <c r="A723" s="19"/>
      <c r="B723" s="8" t="s">
        <v>299</v>
      </c>
      <c r="C723" s="8" t="s">
        <v>299</v>
      </c>
      <c r="D723" s="8" t="s">
        <v>299</v>
      </c>
      <c r="E723" s="8" t="s">
        <v>299</v>
      </c>
      <c r="F723" s="8" t="s">
        <v>299</v>
      </c>
      <c r="G723" s="8" t="s">
        <v>299</v>
      </c>
      <c r="H723" s="8" t="s">
        <v>299</v>
      </c>
    </row>
    <row r="724">
      <c r="A724" s="19"/>
      <c r="B724" s="8" t="s">
        <v>299</v>
      </c>
      <c r="C724" s="8" t="s">
        <v>299</v>
      </c>
      <c r="D724" s="8" t="s">
        <v>299</v>
      </c>
      <c r="E724" s="8" t="s">
        <v>299</v>
      </c>
      <c r="F724" s="8" t="s">
        <v>299</v>
      </c>
      <c r="G724" s="8" t="s">
        <v>299</v>
      </c>
      <c r="H724" s="8" t="s">
        <v>299</v>
      </c>
    </row>
    <row r="725">
      <c r="A725" s="19"/>
      <c r="B725" s="8" t="s">
        <v>299</v>
      </c>
      <c r="C725" s="8" t="s">
        <v>299</v>
      </c>
      <c r="D725" s="8" t="s">
        <v>299</v>
      </c>
      <c r="E725" s="8" t="s">
        <v>299</v>
      </c>
      <c r="F725" s="8" t="s">
        <v>299</v>
      </c>
      <c r="G725" s="8" t="s">
        <v>299</v>
      </c>
      <c r="H725" s="8" t="s">
        <v>299</v>
      </c>
    </row>
    <row r="726">
      <c r="A726" s="19"/>
      <c r="B726" s="8" t="s">
        <v>299</v>
      </c>
      <c r="C726" s="8" t="s">
        <v>299</v>
      </c>
      <c r="D726" s="8" t="s">
        <v>299</v>
      </c>
      <c r="E726" s="8" t="s">
        <v>299</v>
      </c>
      <c r="F726" s="8" t="s">
        <v>299</v>
      </c>
      <c r="G726" s="8" t="s">
        <v>299</v>
      </c>
      <c r="H726" s="8" t="s">
        <v>299</v>
      </c>
    </row>
    <row r="727">
      <c r="A727" s="19"/>
      <c r="B727" s="8" t="s">
        <v>299</v>
      </c>
      <c r="C727" s="8" t="s">
        <v>299</v>
      </c>
      <c r="D727" s="8" t="s">
        <v>299</v>
      </c>
      <c r="E727" s="8" t="s">
        <v>299</v>
      </c>
      <c r="F727" s="8" t="s">
        <v>299</v>
      </c>
      <c r="G727" s="8" t="s">
        <v>299</v>
      </c>
      <c r="H727" s="8" t="s">
        <v>299</v>
      </c>
    </row>
    <row r="728">
      <c r="A728" s="19"/>
      <c r="B728" s="8" t="s">
        <v>299</v>
      </c>
      <c r="C728" s="8" t="s">
        <v>299</v>
      </c>
      <c r="D728" s="8" t="s">
        <v>299</v>
      </c>
      <c r="E728" s="8" t="s">
        <v>299</v>
      </c>
      <c r="F728" s="8" t="s">
        <v>299</v>
      </c>
      <c r="G728" s="8" t="s">
        <v>299</v>
      </c>
      <c r="H728" s="8" t="s">
        <v>299</v>
      </c>
    </row>
    <row r="729">
      <c r="A729" s="19"/>
      <c r="B729" s="8" t="s">
        <v>299</v>
      </c>
      <c r="C729" s="8" t="s">
        <v>299</v>
      </c>
      <c r="D729" s="8" t="s">
        <v>299</v>
      </c>
      <c r="E729" s="8" t="s">
        <v>299</v>
      </c>
      <c r="F729" s="8" t="s">
        <v>299</v>
      </c>
      <c r="G729" s="8" t="s">
        <v>299</v>
      </c>
      <c r="H729" s="8" t="s">
        <v>299</v>
      </c>
    </row>
    <row r="730">
      <c r="A730" s="19"/>
      <c r="B730" s="8" t="s">
        <v>299</v>
      </c>
      <c r="C730" s="8" t="s">
        <v>299</v>
      </c>
      <c r="D730" s="8" t="s">
        <v>299</v>
      </c>
      <c r="E730" s="8" t="s">
        <v>299</v>
      </c>
      <c r="F730" s="8" t="s">
        <v>299</v>
      </c>
      <c r="G730" s="8" t="s">
        <v>299</v>
      </c>
      <c r="H730" s="8" t="s">
        <v>299</v>
      </c>
    </row>
    <row r="731">
      <c r="A731" s="19"/>
      <c r="B731" s="8" t="s">
        <v>299</v>
      </c>
      <c r="C731" s="8" t="s">
        <v>299</v>
      </c>
      <c r="D731" s="8" t="s">
        <v>299</v>
      </c>
      <c r="E731" s="8" t="s">
        <v>299</v>
      </c>
      <c r="F731" s="8" t="s">
        <v>299</v>
      </c>
      <c r="G731" s="8" t="s">
        <v>299</v>
      </c>
      <c r="H731" s="8" t="s">
        <v>299</v>
      </c>
    </row>
    <row r="732">
      <c r="A732" s="19"/>
      <c r="B732" s="8" t="s">
        <v>299</v>
      </c>
      <c r="C732" s="8" t="s">
        <v>299</v>
      </c>
      <c r="D732" s="8" t="s">
        <v>299</v>
      </c>
      <c r="E732" s="8" t="s">
        <v>299</v>
      </c>
      <c r="F732" s="8" t="s">
        <v>299</v>
      </c>
      <c r="G732" s="8" t="s">
        <v>299</v>
      </c>
      <c r="H732" s="8" t="s">
        <v>299</v>
      </c>
    </row>
    <row r="733">
      <c r="A733" s="19"/>
      <c r="B733" s="8" t="s">
        <v>299</v>
      </c>
      <c r="C733" s="8" t="s">
        <v>299</v>
      </c>
      <c r="D733" s="8" t="s">
        <v>299</v>
      </c>
      <c r="E733" s="8" t="s">
        <v>299</v>
      </c>
      <c r="F733" s="8" t="s">
        <v>299</v>
      </c>
      <c r="G733" s="8" t="s">
        <v>299</v>
      </c>
      <c r="H733" s="8" t="s">
        <v>299</v>
      </c>
    </row>
    <row r="734">
      <c r="A734" s="19"/>
      <c r="B734" s="8" t="s">
        <v>299</v>
      </c>
      <c r="C734" s="8" t="s">
        <v>299</v>
      </c>
      <c r="D734" s="8" t="s">
        <v>299</v>
      </c>
      <c r="E734" s="8" t="s">
        <v>299</v>
      </c>
      <c r="F734" s="8" t="s">
        <v>299</v>
      </c>
      <c r="G734" s="8" t="s">
        <v>299</v>
      </c>
      <c r="H734" s="8" t="s">
        <v>299</v>
      </c>
    </row>
    <row r="735">
      <c r="A735" s="19"/>
      <c r="B735" s="8" t="s">
        <v>299</v>
      </c>
      <c r="C735" s="8" t="s">
        <v>299</v>
      </c>
      <c r="D735" s="8" t="s">
        <v>299</v>
      </c>
      <c r="E735" s="8" t="s">
        <v>299</v>
      </c>
      <c r="F735" s="8" t="s">
        <v>299</v>
      </c>
      <c r="G735" s="8" t="s">
        <v>299</v>
      </c>
      <c r="H735" s="8" t="s">
        <v>299</v>
      </c>
    </row>
    <row r="736">
      <c r="A736" s="19"/>
      <c r="B736" s="8" t="s">
        <v>299</v>
      </c>
      <c r="C736" s="8" t="s">
        <v>299</v>
      </c>
      <c r="D736" s="8" t="s">
        <v>299</v>
      </c>
      <c r="E736" s="8" t="s">
        <v>299</v>
      </c>
      <c r="F736" s="8" t="s">
        <v>299</v>
      </c>
      <c r="G736" s="8" t="s">
        <v>299</v>
      </c>
      <c r="H736" s="8" t="s">
        <v>299</v>
      </c>
    </row>
    <row r="737">
      <c r="A737" s="19"/>
      <c r="B737" s="8" t="s">
        <v>299</v>
      </c>
      <c r="C737" s="8" t="s">
        <v>299</v>
      </c>
      <c r="D737" s="8" t="s">
        <v>299</v>
      </c>
      <c r="E737" s="8" t="s">
        <v>299</v>
      </c>
      <c r="F737" s="8" t="s">
        <v>299</v>
      </c>
      <c r="G737" s="8" t="s">
        <v>299</v>
      </c>
      <c r="H737" s="8" t="s">
        <v>299</v>
      </c>
    </row>
    <row r="738">
      <c r="A738" s="19"/>
      <c r="B738" s="8" t="s">
        <v>299</v>
      </c>
      <c r="C738" s="8" t="s">
        <v>299</v>
      </c>
      <c r="D738" s="8" t="s">
        <v>299</v>
      </c>
      <c r="E738" s="8" t="s">
        <v>299</v>
      </c>
      <c r="F738" s="8" t="s">
        <v>299</v>
      </c>
      <c r="G738" s="8" t="s">
        <v>299</v>
      </c>
      <c r="H738" s="8" t="s">
        <v>299</v>
      </c>
    </row>
    <row r="739">
      <c r="A739" s="19"/>
      <c r="B739" s="8" t="s">
        <v>299</v>
      </c>
      <c r="C739" s="8" t="s">
        <v>299</v>
      </c>
      <c r="D739" s="8" t="s">
        <v>299</v>
      </c>
      <c r="E739" s="8" t="s">
        <v>299</v>
      </c>
      <c r="F739" s="8" t="s">
        <v>299</v>
      </c>
      <c r="G739" s="8" t="s">
        <v>299</v>
      </c>
      <c r="H739" s="8" t="s">
        <v>299</v>
      </c>
    </row>
    <row r="740">
      <c r="A740" s="19"/>
      <c r="B740" s="8" t="s">
        <v>299</v>
      </c>
      <c r="C740" s="8" t="s">
        <v>299</v>
      </c>
      <c r="D740" s="8" t="s">
        <v>299</v>
      </c>
      <c r="E740" s="8" t="s">
        <v>299</v>
      </c>
      <c r="F740" s="8" t="s">
        <v>299</v>
      </c>
      <c r="G740" s="8" t="s">
        <v>299</v>
      </c>
      <c r="H740" s="8" t="s">
        <v>299</v>
      </c>
    </row>
    <row r="741">
      <c r="A741" s="19"/>
      <c r="B741" s="8" t="s">
        <v>299</v>
      </c>
      <c r="C741" s="8" t="s">
        <v>299</v>
      </c>
      <c r="D741" s="8" t="s">
        <v>299</v>
      </c>
      <c r="E741" s="8" t="s">
        <v>299</v>
      </c>
      <c r="F741" s="8" t="s">
        <v>299</v>
      </c>
      <c r="G741" s="8" t="s">
        <v>299</v>
      </c>
      <c r="H741" s="8" t="s">
        <v>299</v>
      </c>
    </row>
    <row r="742">
      <c r="A742" s="19"/>
      <c r="B742" s="8" t="s">
        <v>299</v>
      </c>
      <c r="C742" s="8" t="s">
        <v>299</v>
      </c>
      <c r="D742" s="8" t="s">
        <v>299</v>
      </c>
      <c r="E742" s="8" t="s">
        <v>299</v>
      </c>
      <c r="F742" s="8" t="s">
        <v>299</v>
      </c>
      <c r="G742" s="8" t="s">
        <v>299</v>
      </c>
      <c r="H742" s="8" t="s">
        <v>299</v>
      </c>
    </row>
    <row r="743">
      <c r="A743" s="19"/>
      <c r="B743" s="8" t="s">
        <v>299</v>
      </c>
      <c r="C743" s="8" t="s">
        <v>299</v>
      </c>
      <c r="D743" s="8" t="s">
        <v>299</v>
      </c>
      <c r="E743" s="8" t="s">
        <v>299</v>
      </c>
      <c r="F743" s="8" t="s">
        <v>299</v>
      </c>
      <c r="G743" s="8" t="s">
        <v>299</v>
      </c>
      <c r="H743" s="8" t="s">
        <v>299</v>
      </c>
    </row>
    <row r="744">
      <c r="A744" s="19"/>
      <c r="B744" s="8" t="s">
        <v>299</v>
      </c>
      <c r="C744" s="8" t="s">
        <v>299</v>
      </c>
      <c r="D744" s="8" t="s">
        <v>299</v>
      </c>
      <c r="E744" s="8" t="s">
        <v>299</v>
      </c>
      <c r="F744" s="8" t="s">
        <v>299</v>
      </c>
      <c r="G744" s="8" t="s">
        <v>299</v>
      </c>
      <c r="H744" s="8" t="s">
        <v>299</v>
      </c>
    </row>
    <row r="745">
      <c r="A745" s="19"/>
      <c r="B745" s="8" t="s">
        <v>299</v>
      </c>
      <c r="C745" s="8" t="s">
        <v>299</v>
      </c>
      <c r="D745" s="8" t="s">
        <v>299</v>
      </c>
      <c r="E745" s="8" t="s">
        <v>299</v>
      </c>
      <c r="F745" s="8" t="s">
        <v>299</v>
      </c>
      <c r="G745" s="8" t="s">
        <v>299</v>
      </c>
      <c r="H745" s="8" t="s">
        <v>299</v>
      </c>
    </row>
    <row r="746">
      <c r="A746" s="19"/>
      <c r="B746" s="8" t="s">
        <v>299</v>
      </c>
      <c r="C746" s="8" t="s">
        <v>299</v>
      </c>
      <c r="D746" s="8" t="s">
        <v>299</v>
      </c>
      <c r="E746" s="8" t="s">
        <v>299</v>
      </c>
      <c r="F746" s="8" t="s">
        <v>299</v>
      </c>
      <c r="G746" s="8" t="s">
        <v>299</v>
      </c>
      <c r="H746" s="8" t="s">
        <v>299</v>
      </c>
    </row>
    <row r="747">
      <c r="A747" s="19"/>
      <c r="B747" s="8" t="s">
        <v>299</v>
      </c>
      <c r="C747" s="8" t="s">
        <v>299</v>
      </c>
      <c r="D747" s="8" t="s">
        <v>299</v>
      </c>
      <c r="E747" s="8" t="s">
        <v>299</v>
      </c>
      <c r="F747" s="8" t="s">
        <v>299</v>
      </c>
      <c r="G747" s="8" t="s">
        <v>299</v>
      </c>
      <c r="H747" s="8" t="s">
        <v>299</v>
      </c>
    </row>
    <row r="748">
      <c r="A748" s="19"/>
      <c r="B748" s="8" t="s">
        <v>299</v>
      </c>
      <c r="C748" s="8" t="s">
        <v>299</v>
      </c>
      <c r="D748" s="8" t="s">
        <v>299</v>
      </c>
      <c r="E748" s="8" t="s">
        <v>299</v>
      </c>
      <c r="F748" s="8" t="s">
        <v>299</v>
      </c>
      <c r="G748" s="8" t="s">
        <v>299</v>
      </c>
      <c r="H748" s="8" t="s">
        <v>299</v>
      </c>
    </row>
    <row r="749">
      <c r="A749" s="19"/>
      <c r="B749" s="8" t="s">
        <v>299</v>
      </c>
      <c r="C749" s="8" t="s">
        <v>299</v>
      </c>
      <c r="D749" s="8" t="s">
        <v>299</v>
      </c>
      <c r="E749" s="8" t="s">
        <v>299</v>
      </c>
      <c r="F749" s="8" t="s">
        <v>299</v>
      </c>
      <c r="G749" s="8" t="s">
        <v>299</v>
      </c>
      <c r="H749" s="8" t="s">
        <v>299</v>
      </c>
    </row>
    <row r="750">
      <c r="A750" s="19"/>
      <c r="B750" s="8" t="s">
        <v>299</v>
      </c>
      <c r="C750" s="8" t="s">
        <v>299</v>
      </c>
      <c r="D750" s="8" t="s">
        <v>299</v>
      </c>
      <c r="E750" s="8" t="s">
        <v>299</v>
      </c>
      <c r="F750" s="8" t="s">
        <v>299</v>
      </c>
      <c r="G750" s="8" t="s">
        <v>299</v>
      </c>
      <c r="H750" s="8" t="s">
        <v>299</v>
      </c>
    </row>
    <row r="751">
      <c r="A751" s="19"/>
      <c r="B751" s="8" t="s">
        <v>299</v>
      </c>
      <c r="C751" s="8" t="s">
        <v>299</v>
      </c>
      <c r="D751" s="8" t="s">
        <v>299</v>
      </c>
      <c r="E751" s="8" t="s">
        <v>299</v>
      </c>
      <c r="F751" s="8" t="s">
        <v>299</v>
      </c>
      <c r="G751" s="8" t="s">
        <v>299</v>
      </c>
      <c r="H751" s="8" t="s">
        <v>299</v>
      </c>
    </row>
    <row r="752">
      <c r="A752" s="19"/>
      <c r="B752" s="8" t="s">
        <v>299</v>
      </c>
      <c r="C752" s="8" t="s">
        <v>299</v>
      </c>
      <c r="D752" s="8" t="s">
        <v>299</v>
      </c>
      <c r="E752" s="8" t="s">
        <v>299</v>
      </c>
      <c r="F752" s="8" t="s">
        <v>299</v>
      </c>
      <c r="G752" s="8" t="s">
        <v>299</v>
      </c>
      <c r="H752" s="8" t="s">
        <v>299</v>
      </c>
    </row>
    <row r="753">
      <c r="A753" s="19"/>
      <c r="B753" s="8" t="s">
        <v>299</v>
      </c>
      <c r="C753" s="8" t="s">
        <v>299</v>
      </c>
      <c r="D753" s="8" t="s">
        <v>299</v>
      </c>
      <c r="E753" s="8" t="s">
        <v>299</v>
      </c>
      <c r="F753" s="8" t="s">
        <v>299</v>
      </c>
      <c r="G753" s="8" t="s">
        <v>299</v>
      </c>
      <c r="H753" s="8" t="s">
        <v>299</v>
      </c>
    </row>
    <row r="754">
      <c r="A754" s="19"/>
      <c r="B754" s="8" t="s">
        <v>299</v>
      </c>
      <c r="C754" s="8" t="s">
        <v>299</v>
      </c>
      <c r="D754" s="8" t="s">
        <v>299</v>
      </c>
      <c r="E754" s="8" t="s">
        <v>299</v>
      </c>
      <c r="F754" s="8" t="s">
        <v>299</v>
      </c>
      <c r="G754" s="8" t="s">
        <v>299</v>
      </c>
      <c r="H754" s="8" t="s">
        <v>299</v>
      </c>
    </row>
    <row r="755">
      <c r="A755" s="19"/>
      <c r="B755" s="8" t="s">
        <v>299</v>
      </c>
      <c r="C755" s="8" t="s">
        <v>299</v>
      </c>
      <c r="D755" s="8" t="s">
        <v>299</v>
      </c>
      <c r="E755" s="8" t="s">
        <v>299</v>
      </c>
      <c r="F755" s="8" t="s">
        <v>299</v>
      </c>
      <c r="G755" s="8" t="s">
        <v>299</v>
      </c>
      <c r="H755" s="8" t="s">
        <v>299</v>
      </c>
    </row>
    <row r="756">
      <c r="A756" s="19"/>
      <c r="B756" s="8" t="s">
        <v>299</v>
      </c>
      <c r="C756" s="8" t="s">
        <v>299</v>
      </c>
      <c r="D756" s="8" t="s">
        <v>299</v>
      </c>
      <c r="E756" s="8" t="s">
        <v>299</v>
      </c>
      <c r="F756" s="8" t="s">
        <v>299</v>
      </c>
      <c r="G756" s="8" t="s">
        <v>299</v>
      </c>
      <c r="H756" s="8" t="s">
        <v>299</v>
      </c>
    </row>
    <row r="757">
      <c r="A757" s="19"/>
      <c r="B757" s="8" t="s">
        <v>299</v>
      </c>
      <c r="C757" s="8" t="s">
        <v>299</v>
      </c>
      <c r="D757" s="8" t="s">
        <v>299</v>
      </c>
      <c r="E757" s="8" t="s">
        <v>299</v>
      </c>
      <c r="F757" s="8" t="s">
        <v>299</v>
      </c>
      <c r="G757" s="8" t="s">
        <v>299</v>
      </c>
      <c r="H757" s="8" t="s">
        <v>299</v>
      </c>
    </row>
    <row r="758">
      <c r="A758" s="19"/>
      <c r="B758" s="8" t="s">
        <v>299</v>
      </c>
      <c r="C758" s="8" t="s">
        <v>299</v>
      </c>
      <c r="D758" s="8" t="s">
        <v>299</v>
      </c>
      <c r="E758" s="8" t="s">
        <v>299</v>
      </c>
      <c r="F758" s="8" t="s">
        <v>299</v>
      </c>
      <c r="G758" s="8" t="s">
        <v>299</v>
      </c>
      <c r="H758" s="8" t="s">
        <v>299</v>
      </c>
    </row>
    <row r="759">
      <c r="A759" s="19"/>
      <c r="B759" s="8" t="s">
        <v>299</v>
      </c>
      <c r="C759" s="8" t="s">
        <v>299</v>
      </c>
      <c r="D759" s="8" t="s">
        <v>299</v>
      </c>
      <c r="E759" s="8" t="s">
        <v>299</v>
      </c>
      <c r="F759" s="8" t="s">
        <v>299</v>
      </c>
      <c r="G759" s="8" t="s">
        <v>299</v>
      </c>
      <c r="H759" s="8" t="s">
        <v>299</v>
      </c>
    </row>
    <row r="760">
      <c r="A760" s="19"/>
      <c r="B760" s="8" t="s">
        <v>299</v>
      </c>
      <c r="C760" s="8" t="s">
        <v>299</v>
      </c>
      <c r="D760" s="8" t="s">
        <v>299</v>
      </c>
      <c r="E760" s="8" t="s">
        <v>299</v>
      </c>
      <c r="F760" s="8" t="s">
        <v>299</v>
      </c>
      <c r="G760" s="8" t="s">
        <v>299</v>
      </c>
      <c r="H760" s="8" t="s">
        <v>299</v>
      </c>
    </row>
    <row r="761">
      <c r="A761" s="19"/>
      <c r="B761" s="8" t="s">
        <v>299</v>
      </c>
      <c r="C761" s="8" t="s">
        <v>299</v>
      </c>
      <c r="D761" s="8" t="s">
        <v>299</v>
      </c>
      <c r="E761" s="8" t="s">
        <v>299</v>
      </c>
      <c r="F761" s="8" t="s">
        <v>299</v>
      </c>
      <c r="G761" s="8" t="s">
        <v>299</v>
      </c>
      <c r="H761" s="8" t="s">
        <v>299</v>
      </c>
    </row>
    <row r="762">
      <c r="A762" s="19"/>
      <c r="B762" s="8" t="s">
        <v>299</v>
      </c>
      <c r="C762" s="8" t="s">
        <v>299</v>
      </c>
      <c r="D762" s="8" t="s">
        <v>299</v>
      </c>
      <c r="E762" s="8" t="s">
        <v>299</v>
      </c>
      <c r="F762" s="8" t="s">
        <v>299</v>
      </c>
      <c r="G762" s="8" t="s">
        <v>299</v>
      </c>
      <c r="H762" s="8" t="s">
        <v>299</v>
      </c>
    </row>
    <row r="763">
      <c r="A763" s="19"/>
      <c r="B763" s="8" t="s">
        <v>299</v>
      </c>
      <c r="C763" s="8" t="s">
        <v>299</v>
      </c>
      <c r="D763" s="8" t="s">
        <v>299</v>
      </c>
      <c r="E763" s="8" t="s">
        <v>299</v>
      </c>
      <c r="F763" s="8" t="s">
        <v>299</v>
      </c>
      <c r="G763" s="8" t="s">
        <v>299</v>
      </c>
      <c r="H763" s="8" t="s">
        <v>299</v>
      </c>
    </row>
    <row r="764">
      <c r="A764" s="19"/>
      <c r="B764" s="8" t="s">
        <v>299</v>
      </c>
      <c r="C764" s="8" t="s">
        <v>299</v>
      </c>
      <c r="D764" s="8" t="s">
        <v>299</v>
      </c>
      <c r="E764" s="8" t="s">
        <v>299</v>
      </c>
      <c r="F764" s="8" t="s">
        <v>299</v>
      </c>
      <c r="G764" s="8" t="s">
        <v>299</v>
      </c>
      <c r="H764" s="8" t="s">
        <v>299</v>
      </c>
    </row>
    <row r="765">
      <c r="A765" s="19"/>
      <c r="B765" s="8" t="s">
        <v>299</v>
      </c>
      <c r="C765" s="8" t="s">
        <v>299</v>
      </c>
      <c r="D765" s="8" t="s">
        <v>299</v>
      </c>
      <c r="E765" s="8" t="s">
        <v>299</v>
      </c>
      <c r="F765" s="8" t="s">
        <v>299</v>
      </c>
      <c r="G765" s="8" t="s">
        <v>299</v>
      </c>
      <c r="H765" s="8" t="s">
        <v>299</v>
      </c>
    </row>
    <row r="766">
      <c r="A766" s="19"/>
      <c r="B766" s="8" t="s">
        <v>299</v>
      </c>
      <c r="C766" s="8" t="s">
        <v>299</v>
      </c>
      <c r="D766" s="8" t="s">
        <v>299</v>
      </c>
      <c r="E766" s="8" t="s">
        <v>299</v>
      </c>
      <c r="F766" s="8" t="s">
        <v>299</v>
      </c>
      <c r="G766" s="8" t="s">
        <v>299</v>
      </c>
      <c r="H766" s="8" t="s">
        <v>299</v>
      </c>
    </row>
    <row r="767">
      <c r="A767" s="19"/>
      <c r="B767" s="8" t="s">
        <v>299</v>
      </c>
      <c r="C767" s="8" t="s">
        <v>299</v>
      </c>
      <c r="D767" s="8" t="s">
        <v>299</v>
      </c>
      <c r="E767" s="8" t="s">
        <v>299</v>
      </c>
      <c r="F767" s="8" t="s">
        <v>299</v>
      </c>
      <c r="G767" s="8" t="s">
        <v>299</v>
      </c>
      <c r="H767" s="8" t="s">
        <v>299</v>
      </c>
    </row>
    <row r="768">
      <c r="A768" s="19"/>
      <c r="B768" s="8" t="s">
        <v>299</v>
      </c>
      <c r="C768" s="8" t="s">
        <v>299</v>
      </c>
      <c r="D768" s="8" t="s">
        <v>299</v>
      </c>
      <c r="E768" s="8" t="s">
        <v>299</v>
      </c>
      <c r="F768" s="8" t="s">
        <v>299</v>
      </c>
      <c r="G768" s="8" t="s">
        <v>299</v>
      </c>
      <c r="H768" s="8" t="s">
        <v>299</v>
      </c>
    </row>
    <row r="769">
      <c r="A769" s="19"/>
      <c r="B769" s="8" t="s">
        <v>299</v>
      </c>
      <c r="C769" s="8" t="s">
        <v>299</v>
      </c>
      <c r="D769" s="8" t="s">
        <v>299</v>
      </c>
      <c r="E769" s="8" t="s">
        <v>299</v>
      </c>
      <c r="F769" s="8" t="s">
        <v>299</v>
      </c>
      <c r="G769" s="8" t="s">
        <v>299</v>
      </c>
      <c r="H769" s="8" t="s">
        <v>299</v>
      </c>
    </row>
    <row r="770">
      <c r="A770" s="19"/>
      <c r="B770" s="8" t="s">
        <v>299</v>
      </c>
      <c r="C770" s="8" t="s">
        <v>299</v>
      </c>
      <c r="D770" s="8" t="s">
        <v>299</v>
      </c>
      <c r="E770" s="8" t="s">
        <v>299</v>
      </c>
      <c r="F770" s="8" t="s">
        <v>299</v>
      </c>
      <c r="G770" s="8" t="s">
        <v>299</v>
      </c>
      <c r="H770" s="8" t="s">
        <v>299</v>
      </c>
    </row>
    <row r="771">
      <c r="A771" s="19"/>
      <c r="B771" s="8" t="s">
        <v>299</v>
      </c>
      <c r="C771" s="8" t="s">
        <v>299</v>
      </c>
      <c r="D771" s="8" t="s">
        <v>299</v>
      </c>
      <c r="E771" s="8" t="s">
        <v>299</v>
      </c>
      <c r="F771" s="8" t="s">
        <v>299</v>
      </c>
      <c r="G771" s="8" t="s">
        <v>299</v>
      </c>
      <c r="H771" s="8" t="s">
        <v>299</v>
      </c>
    </row>
    <row r="772">
      <c r="A772" s="19"/>
      <c r="B772" s="8" t="s">
        <v>299</v>
      </c>
      <c r="C772" s="8" t="s">
        <v>299</v>
      </c>
      <c r="D772" s="8" t="s">
        <v>299</v>
      </c>
      <c r="E772" s="8" t="s">
        <v>299</v>
      </c>
      <c r="F772" s="8" t="s">
        <v>299</v>
      </c>
      <c r="G772" s="8" t="s">
        <v>299</v>
      </c>
      <c r="H772" s="8" t="s">
        <v>299</v>
      </c>
    </row>
    <row r="773">
      <c r="A773" s="19"/>
      <c r="B773" s="8" t="s">
        <v>299</v>
      </c>
      <c r="C773" s="8" t="s">
        <v>299</v>
      </c>
      <c r="D773" s="8" t="s">
        <v>299</v>
      </c>
      <c r="E773" s="8" t="s">
        <v>299</v>
      </c>
      <c r="F773" s="8" t="s">
        <v>299</v>
      </c>
      <c r="G773" s="8" t="s">
        <v>299</v>
      </c>
      <c r="H773" s="8" t="s">
        <v>299</v>
      </c>
    </row>
    <row r="774">
      <c r="A774" s="19"/>
      <c r="B774" s="8" t="s">
        <v>299</v>
      </c>
      <c r="C774" s="8" t="s">
        <v>299</v>
      </c>
      <c r="D774" s="8" t="s">
        <v>299</v>
      </c>
      <c r="E774" s="8" t="s">
        <v>299</v>
      </c>
      <c r="F774" s="8" t="s">
        <v>299</v>
      </c>
      <c r="G774" s="8" t="s">
        <v>299</v>
      </c>
      <c r="H774" s="8" t="s">
        <v>299</v>
      </c>
    </row>
    <row r="775">
      <c r="A775" s="19"/>
      <c r="B775" s="8" t="s">
        <v>299</v>
      </c>
      <c r="C775" s="8" t="s">
        <v>299</v>
      </c>
      <c r="D775" s="8" t="s">
        <v>299</v>
      </c>
      <c r="E775" s="8" t="s">
        <v>299</v>
      </c>
      <c r="F775" s="8" t="s">
        <v>299</v>
      </c>
      <c r="G775" s="8" t="s">
        <v>299</v>
      </c>
      <c r="H775" s="8" t="s">
        <v>299</v>
      </c>
    </row>
    <row r="776">
      <c r="A776" s="19"/>
      <c r="B776" s="8" t="s">
        <v>299</v>
      </c>
      <c r="C776" s="8" t="s">
        <v>299</v>
      </c>
      <c r="D776" s="8" t="s">
        <v>299</v>
      </c>
      <c r="E776" s="8" t="s">
        <v>299</v>
      </c>
      <c r="F776" s="8" t="s">
        <v>299</v>
      </c>
      <c r="G776" s="8" t="s">
        <v>299</v>
      </c>
      <c r="H776" s="8" t="s">
        <v>299</v>
      </c>
    </row>
    <row r="777">
      <c r="A777" s="19"/>
      <c r="B777" s="8" t="s">
        <v>299</v>
      </c>
      <c r="C777" s="8" t="s">
        <v>299</v>
      </c>
      <c r="D777" s="8" t="s">
        <v>299</v>
      </c>
      <c r="E777" s="8" t="s">
        <v>299</v>
      </c>
      <c r="F777" s="8" t="s">
        <v>299</v>
      </c>
      <c r="G777" s="8" t="s">
        <v>299</v>
      </c>
      <c r="H777" s="8" t="s">
        <v>299</v>
      </c>
    </row>
    <row r="778">
      <c r="A778" s="19"/>
      <c r="B778" s="8" t="s">
        <v>299</v>
      </c>
      <c r="C778" s="8" t="s">
        <v>299</v>
      </c>
      <c r="D778" s="8" t="s">
        <v>299</v>
      </c>
      <c r="E778" s="8" t="s">
        <v>299</v>
      </c>
      <c r="F778" s="8" t="s">
        <v>299</v>
      </c>
      <c r="G778" s="8" t="s">
        <v>299</v>
      </c>
      <c r="H778" s="8" t="s">
        <v>299</v>
      </c>
    </row>
    <row r="779">
      <c r="A779" s="19"/>
      <c r="B779" s="8" t="s">
        <v>299</v>
      </c>
      <c r="C779" s="8" t="s">
        <v>299</v>
      </c>
      <c r="D779" s="8" t="s">
        <v>299</v>
      </c>
      <c r="E779" s="8" t="s">
        <v>299</v>
      </c>
      <c r="F779" s="8" t="s">
        <v>299</v>
      </c>
      <c r="G779" s="8" t="s">
        <v>299</v>
      </c>
      <c r="H779" s="8" t="s">
        <v>299</v>
      </c>
    </row>
    <row r="780">
      <c r="A780" s="19"/>
      <c r="B780" s="8" t="s">
        <v>299</v>
      </c>
      <c r="C780" s="8" t="s">
        <v>299</v>
      </c>
      <c r="D780" s="8" t="s">
        <v>299</v>
      </c>
      <c r="E780" s="8" t="s">
        <v>299</v>
      </c>
      <c r="F780" s="8" t="s">
        <v>299</v>
      </c>
      <c r="G780" s="8" t="s">
        <v>299</v>
      </c>
      <c r="H780" s="8" t="s">
        <v>299</v>
      </c>
    </row>
    <row r="781">
      <c r="A781" s="19"/>
      <c r="B781" s="8" t="s">
        <v>299</v>
      </c>
      <c r="C781" s="8" t="s">
        <v>299</v>
      </c>
      <c r="D781" s="8" t="s">
        <v>299</v>
      </c>
      <c r="E781" s="8" t="s">
        <v>299</v>
      </c>
      <c r="F781" s="8" t="s">
        <v>299</v>
      </c>
      <c r="G781" s="8" t="s">
        <v>299</v>
      </c>
      <c r="H781" s="8" t="s">
        <v>299</v>
      </c>
    </row>
    <row r="782">
      <c r="A782" s="19"/>
      <c r="B782" s="8" t="s">
        <v>299</v>
      </c>
      <c r="C782" s="8" t="s">
        <v>299</v>
      </c>
      <c r="D782" s="8" t="s">
        <v>299</v>
      </c>
      <c r="E782" s="8" t="s">
        <v>299</v>
      </c>
      <c r="F782" s="8" t="s">
        <v>299</v>
      </c>
      <c r="G782" s="8" t="s">
        <v>299</v>
      </c>
      <c r="H782" s="8" t="s">
        <v>299</v>
      </c>
    </row>
    <row r="783">
      <c r="A783" s="19"/>
      <c r="B783" s="8" t="s">
        <v>299</v>
      </c>
      <c r="C783" s="8" t="s">
        <v>299</v>
      </c>
      <c r="D783" s="8" t="s">
        <v>299</v>
      </c>
      <c r="E783" s="8" t="s">
        <v>299</v>
      </c>
      <c r="F783" s="8" t="s">
        <v>299</v>
      </c>
      <c r="G783" s="8" t="s">
        <v>299</v>
      </c>
      <c r="H783" s="8" t="s">
        <v>299</v>
      </c>
    </row>
    <row r="784">
      <c r="A784" s="19"/>
      <c r="B784" s="8" t="s">
        <v>299</v>
      </c>
      <c r="C784" s="8" t="s">
        <v>299</v>
      </c>
      <c r="D784" s="8" t="s">
        <v>299</v>
      </c>
      <c r="E784" s="8" t="s">
        <v>299</v>
      </c>
      <c r="F784" s="8" t="s">
        <v>299</v>
      </c>
      <c r="G784" s="8" t="s">
        <v>299</v>
      </c>
      <c r="H784" s="8" t="s">
        <v>299</v>
      </c>
    </row>
    <row r="785">
      <c r="A785" s="19"/>
      <c r="B785" s="8" t="s">
        <v>299</v>
      </c>
      <c r="C785" s="8" t="s">
        <v>299</v>
      </c>
      <c r="D785" s="8" t="s">
        <v>299</v>
      </c>
      <c r="E785" s="8" t="s">
        <v>299</v>
      </c>
      <c r="F785" s="8" t="s">
        <v>299</v>
      </c>
      <c r="G785" s="8" t="s">
        <v>299</v>
      </c>
      <c r="H785" s="8" t="s">
        <v>299</v>
      </c>
    </row>
    <row r="786">
      <c r="A786" s="19"/>
      <c r="B786" s="8" t="s">
        <v>299</v>
      </c>
      <c r="C786" s="8" t="s">
        <v>299</v>
      </c>
      <c r="D786" s="8" t="s">
        <v>299</v>
      </c>
      <c r="E786" s="8" t="s">
        <v>299</v>
      </c>
      <c r="F786" s="8" t="s">
        <v>299</v>
      </c>
      <c r="G786" s="8" t="s">
        <v>299</v>
      </c>
      <c r="H786" s="8" t="s">
        <v>299</v>
      </c>
    </row>
    <row r="787">
      <c r="A787" s="19"/>
      <c r="B787" s="8" t="s">
        <v>299</v>
      </c>
      <c r="C787" s="8" t="s">
        <v>299</v>
      </c>
      <c r="D787" s="8" t="s">
        <v>299</v>
      </c>
      <c r="E787" s="8" t="s">
        <v>299</v>
      </c>
      <c r="F787" s="8" t="s">
        <v>299</v>
      </c>
      <c r="G787" s="8" t="s">
        <v>299</v>
      </c>
      <c r="H787" s="8" t="s">
        <v>299</v>
      </c>
    </row>
    <row r="788">
      <c r="A788" s="19"/>
      <c r="B788" s="8" t="s">
        <v>299</v>
      </c>
      <c r="C788" s="8" t="s">
        <v>299</v>
      </c>
      <c r="D788" s="8" t="s">
        <v>299</v>
      </c>
      <c r="E788" s="8" t="s">
        <v>299</v>
      </c>
      <c r="F788" s="8" t="s">
        <v>299</v>
      </c>
      <c r="G788" s="8" t="s">
        <v>299</v>
      </c>
      <c r="H788" s="8" t="s">
        <v>299</v>
      </c>
    </row>
    <row r="789">
      <c r="A789" s="19"/>
      <c r="B789" s="8" t="s">
        <v>299</v>
      </c>
      <c r="C789" s="8" t="s">
        <v>299</v>
      </c>
      <c r="D789" s="8" t="s">
        <v>299</v>
      </c>
      <c r="E789" s="8" t="s">
        <v>299</v>
      </c>
      <c r="F789" s="8" t="s">
        <v>299</v>
      </c>
      <c r="G789" s="8" t="s">
        <v>299</v>
      </c>
      <c r="H789" s="8" t="s">
        <v>299</v>
      </c>
    </row>
    <row r="790">
      <c r="A790" s="19"/>
      <c r="B790" s="8" t="s">
        <v>299</v>
      </c>
      <c r="C790" s="8" t="s">
        <v>299</v>
      </c>
      <c r="D790" s="8" t="s">
        <v>299</v>
      </c>
      <c r="E790" s="8" t="s">
        <v>299</v>
      </c>
      <c r="F790" s="8" t="s">
        <v>299</v>
      </c>
      <c r="G790" s="8" t="s">
        <v>299</v>
      </c>
      <c r="H790" s="8" t="s">
        <v>299</v>
      </c>
    </row>
    <row r="791">
      <c r="A791" s="19"/>
      <c r="B791" s="8" t="s">
        <v>299</v>
      </c>
      <c r="C791" s="8" t="s">
        <v>299</v>
      </c>
      <c r="D791" s="8" t="s">
        <v>299</v>
      </c>
      <c r="E791" s="8" t="s">
        <v>299</v>
      </c>
      <c r="F791" s="8" t="s">
        <v>299</v>
      </c>
      <c r="G791" s="8" t="s">
        <v>299</v>
      </c>
      <c r="H791" s="8" t="s">
        <v>299</v>
      </c>
    </row>
    <row r="792">
      <c r="A792" s="19"/>
      <c r="B792" s="8" t="s">
        <v>299</v>
      </c>
      <c r="C792" s="8" t="s">
        <v>299</v>
      </c>
      <c r="D792" s="8" t="s">
        <v>299</v>
      </c>
      <c r="E792" s="8" t="s">
        <v>299</v>
      </c>
      <c r="F792" s="8" t="s">
        <v>299</v>
      </c>
      <c r="G792" s="8" t="s">
        <v>299</v>
      </c>
      <c r="H792" s="8" t="s">
        <v>299</v>
      </c>
    </row>
    <row r="793">
      <c r="A793" s="19"/>
      <c r="B793" s="8" t="s">
        <v>299</v>
      </c>
      <c r="C793" s="8" t="s">
        <v>299</v>
      </c>
      <c r="D793" s="8" t="s">
        <v>299</v>
      </c>
      <c r="E793" s="8" t="s">
        <v>299</v>
      </c>
      <c r="F793" s="8" t="s">
        <v>299</v>
      </c>
      <c r="G793" s="8" t="s">
        <v>299</v>
      </c>
      <c r="H793" s="8" t="s">
        <v>299</v>
      </c>
    </row>
    <row r="794">
      <c r="A794" s="19"/>
      <c r="B794" s="8" t="s">
        <v>299</v>
      </c>
      <c r="C794" s="8" t="s">
        <v>299</v>
      </c>
      <c r="D794" s="8" t="s">
        <v>299</v>
      </c>
      <c r="E794" s="8" t="s">
        <v>299</v>
      </c>
      <c r="F794" s="8" t="s">
        <v>299</v>
      </c>
      <c r="G794" s="8" t="s">
        <v>299</v>
      </c>
      <c r="H794" s="8" t="s">
        <v>299</v>
      </c>
    </row>
    <row r="795">
      <c r="A795" s="19"/>
      <c r="B795" s="8" t="s">
        <v>299</v>
      </c>
      <c r="C795" s="8" t="s">
        <v>299</v>
      </c>
      <c r="D795" s="8" t="s">
        <v>299</v>
      </c>
      <c r="E795" s="8" t="s">
        <v>299</v>
      </c>
      <c r="F795" s="8" t="s">
        <v>299</v>
      </c>
      <c r="G795" s="8" t="s">
        <v>299</v>
      </c>
      <c r="H795" s="8" t="s">
        <v>299</v>
      </c>
    </row>
    <row r="796">
      <c r="A796" s="19"/>
      <c r="B796" s="8" t="s">
        <v>299</v>
      </c>
      <c r="C796" s="8" t="s">
        <v>299</v>
      </c>
      <c r="D796" s="8" t="s">
        <v>299</v>
      </c>
      <c r="E796" s="8" t="s">
        <v>299</v>
      </c>
      <c r="F796" s="8" t="s">
        <v>299</v>
      </c>
      <c r="G796" s="8" t="s">
        <v>299</v>
      </c>
      <c r="H796" s="8" t="s">
        <v>299</v>
      </c>
    </row>
    <row r="797">
      <c r="A797" s="19"/>
      <c r="B797" s="8" t="s">
        <v>299</v>
      </c>
      <c r="C797" s="8" t="s">
        <v>299</v>
      </c>
      <c r="D797" s="8" t="s">
        <v>299</v>
      </c>
      <c r="E797" s="8" t="s">
        <v>299</v>
      </c>
      <c r="F797" s="8" t="s">
        <v>299</v>
      </c>
      <c r="G797" s="8" t="s">
        <v>299</v>
      </c>
      <c r="H797" s="8" t="s">
        <v>299</v>
      </c>
    </row>
    <row r="798">
      <c r="A798" s="19"/>
      <c r="B798" s="8" t="s">
        <v>299</v>
      </c>
      <c r="C798" s="8" t="s">
        <v>299</v>
      </c>
      <c r="D798" s="8" t="s">
        <v>299</v>
      </c>
      <c r="E798" s="8" t="s">
        <v>299</v>
      </c>
      <c r="F798" s="8" t="s">
        <v>299</v>
      </c>
      <c r="G798" s="8" t="s">
        <v>299</v>
      </c>
      <c r="H798" s="8" t="s">
        <v>299</v>
      </c>
    </row>
    <row r="799">
      <c r="A799" s="19"/>
      <c r="B799" s="8" t="s">
        <v>299</v>
      </c>
      <c r="C799" s="8" t="s">
        <v>299</v>
      </c>
      <c r="D799" s="8" t="s">
        <v>299</v>
      </c>
      <c r="E799" s="8" t="s">
        <v>299</v>
      </c>
      <c r="F799" s="8" t="s">
        <v>299</v>
      </c>
      <c r="G799" s="8" t="s">
        <v>299</v>
      </c>
      <c r="H799" s="8" t="s">
        <v>299</v>
      </c>
    </row>
    <row r="800">
      <c r="A800" s="19"/>
      <c r="B800" s="8" t="s">
        <v>299</v>
      </c>
      <c r="C800" s="8" t="s">
        <v>299</v>
      </c>
      <c r="D800" s="8" t="s">
        <v>299</v>
      </c>
      <c r="E800" s="8" t="s">
        <v>299</v>
      </c>
      <c r="F800" s="8" t="s">
        <v>299</v>
      </c>
      <c r="G800" s="8" t="s">
        <v>299</v>
      </c>
      <c r="H800" s="8" t="s">
        <v>299</v>
      </c>
    </row>
    <row r="801">
      <c r="A801" s="19"/>
      <c r="B801" s="8" t="s">
        <v>299</v>
      </c>
      <c r="C801" s="8" t="s">
        <v>299</v>
      </c>
      <c r="D801" s="8" t="s">
        <v>299</v>
      </c>
      <c r="E801" s="8" t="s">
        <v>299</v>
      </c>
      <c r="F801" s="8" t="s">
        <v>299</v>
      </c>
      <c r="G801" s="8" t="s">
        <v>299</v>
      </c>
      <c r="H801" s="8" t="s">
        <v>299</v>
      </c>
    </row>
    <row r="802">
      <c r="A802" s="19"/>
      <c r="B802" s="8" t="s">
        <v>299</v>
      </c>
      <c r="C802" s="8" t="s">
        <v>299</v>
      </c>
      <c r="D802" s="8" t="s">
        <v>299</v>
      </c>
      <c r="E802" s="8" t="s">
        <v>299</v>
      </c>
      <c r="F802" s="8" t="s">
        <v>299</v>
      </c>
      <c r="G802" s="8" t="s">
        <v>299</v>
      </c>
      <c r="H802" s="8" t="s">
        <v>299</v>
      </c>
    </row>
    <row r="803">
      <c r="A803" s="19"/>
      <c r="B803" s="8" t="s">
        <v>299</v>
      </c>
      <c r="C803" s="8" t="s">
        <v>299</v>
      </c>
      <c r="D803" s="8" t="s">
        <v>299</v>
      </c>
      <c r="E803" s="8" t="s">
        <v>299</v>
      </c>
      <c r="F803" s="8" t="s">
        <v>299</v>
      </c>
      <c r="G803" s="8" t="s">
        <v>299</v>
      </c>
      <c r="H803" s="8" t="s">
        <v>299</v>
      </c>
    </row>
    <row r="804">
      <c r="A804" s="19"/>
      <c r="B804" s="8" t="s">
        <v>299</v>
      </c>
      <c r="C804" s="8" t="s">
        <v>299</v>
      </c>
      <c r="D804" s="8" t="s">
        <v>299</v>
      </c>
      <c r="E804" s="8" t="s">
        <v>299</v>
      </c>
      <c r="F804" s="8" t="s">
        <v>299</v>
      </c>
      <c r="G804" s="8" t="s">
        <v>299</v>
      </c>
      <c r="H804" s="8" t="s">
        <v>299</v>
      </c>
    </row>
    <row r="805">
      <c r="A805" s="19"/>
      <c r="B805" s="8" t="s">
        <v>299</v>
      </c>
      <c r="C805" s="8" t="s">
        <v>299</v>
      </c>
      <c r="D805" s="8" t="s">
        <v>299</v>
      </c>
      <c r="E805" s="8" t="s">
        <v>299</v>
      </c>
      <c r="F805" s="8" t="s">
        <v>299</v>
      </c>
      <c r="G805" s="8" t="s">
        <v>299</v>
      </c>
      <c r="H805" s="8" t="s">
        <v>299</v>
      </c>
    </row>
    <row r="806">
      <c r="A806" s="19"/>
      <c r="B806" s="8" t="s">
        <v>299</v>
      </c>
      <c r="C806" s="8" t="s">
        <v>299</v>
      </c>
      <c r="D806" s="8" t="s">
        <v>299</v>
      </c>
      <c r="E806" s="8" t="s">
        <v>299</v>
      </c>
      <c r="F806" s="8" t="s">
        <v>299</v>
      </c>
      <c r="G806" s="8" t="s">
        <v>299</v>
      </c>
      <c r="H806" s="8" t="s">
        <v>299</v>
      </c>
    </row>
    <row r="807">
      <c r="A807" s="19"/>
      <c r="B807" s="8" t="s">
        <v>299</v>
      </c>
      <c r="C807" s="8" t="s">
        <v>299</v>
      </c>
      <c r="D807" s="8" t="s">
        <v>299</v>
      </c>
      <c r="E807" s="8" t="s">
        <v>299</v>
      </c>
      <c r="F807" s="8" t="s">
        <v>299</v>
      </c>
      <c r="G807" s="8" t="s">
        <v>299</v>
      </c>
      <c r="H807" s="8" t="s">
        <v>299</v>
      </c>
    </row>
    <row r="808">
      <c r="A808" s="19"/>
      <c r="B808" s="8" t="s">
        <v>299</v>
      </c>
      <c r="C808" s="8" t="s">
        <v>299</v>
      </c>
      <c r="D808" s="8" t="s">
        <v>299</v>
      </c>
      <c r="E808" s="8" t="s">
        <v>299</v>
      </c>
      <c r="F808" s="8" t="s">
        <v>299</v>
      </c>
      <c r="G808" s="8" t="s">
        <v>299</v>
      </c>
      <c r="H808" s="8" t="s">
        <v>299</v>
      </c>
    </row>
    <row r="809">
      <c r="A809" s="19"/>
      <c r="B809" s="8" t="s">
        <v>299</v>
      </c>
      <c r="C809" s="8" t="s">
        <v>299</v>
      </c>
      <c r="D809" s="8" t="s">
        <v>299</v>
      </c>
      <c r="E809" s="8" t="s">
        <v>299</v>
      </c>
      <c r="F809" s="8" t="s">
        <v>299</v>
      </c>
      <c r="G809" s="8" t="s">
        <v>299</v>
      </c>
      <c r="H809" s="8" t="s">
        <v>299</v>
      </c>
    </row>
    <row r="810">
      <c r="A810" s="19"/>
      <c r="B810" s="8" t="s">
        <v>299</v>
      </c>
      <c r="C810" s="8" t="s">
        <v>299</v>
      </c>
      <c r="D810" s="8" t="s">
        <v>299</v>
      </c>
      <c r="E810" s="8" t="s">
        <v>299</v>
      </c>
      <c r="F810" s="8" t="s">
        <v>299</v>
      </c>
      <c r="G810" s="8" t="s">
        <v>299</v>
      </c>
      <c r="H810" s="8" t="s">
        <v>299</v>
      </c>
    </row>
    <row r="811">
      <c r="A811" s="19"/>
      <c r="B811" s="8" t="s">
        <v>299</v>
      </c>
      <c r="C811" s="8" t="s">
        <v>299</v>
      </c>
      <c r="D811" s="8" t="s">
        <v>299</v>
      </c>
      <c r="E811" s="8" t="s">
        <v>299</v>
      </c>
      <c r="F811" s="8" t="s">
        <v>299</v>
      </c>
      <c r="G811" s="8" t="s">
        <v>299</v>
      </c>
      <c r="H811" s="8" t="s">
        <v>299</v>
      </c>
    </row>
    <row r="812">
      <c r="A812" s="19"/>
      <c r="B812" s="8" t="s">
        <v>299</v>
      </c>
      <c r="C812" s="8" t="s">
        <v>299</v>
      </c>
      <c r="D812" s="8" t="s">
        <v>299</v>
      </c>
      <c r="E812" s="8" t="s">
        <v>299</v>
      </c>
      <c r="F812" s="8" t="s">
        <v>299</v>
      </c>
      <c r="G812" s="8" t="s">
        <v>299</v>
      </c>
      <c r="H812" s="8" t="s">
        <v>299</v>
      </c>
    </row>
    <row r="813">
      <c r="A813" s="19"/>
      <c r="B813" s="8" t="s">
        <v>299</v>
      </c>
      <c r="C813" s="8" t="s">
        <v>299</v>
      </c>
      <c r="D813" s="8" t="s">
        <v>299</v>
      </c>
      <c r="E813" s="8" t="s">
        <v>299</v>
      </c>
      <c r="F813" s="8" t="s">
        <v>299</v>
      </c>
      <c r="G813" s="8" t="s">
        <v>299</v>
      </c>
      <c r="H813" s="8" t="s">
        <v>299</v>
      </c>
    </row>
    <row r="814">
      <c r="A814" s="19"/>
      <c r="B814" s="8" t="s">
        <v>299</v>
      </c>
      <c r="C814" s="8" t="s">
        <v>299</v>
      </c>
      <c r="D814" s="8" t="s">
        <v>299</v>
      </c>
      <c r="E814" s="8" t="s">
        <v>299</v>
      </c>
      <c r="F814" s="8" t="s">
        <v>299</v>
      </c>
      <c r="G814" s="8" t="s">
        <v>299</v>
      </c>
      <c r="H814" s="8" t="s">
        <v>299</v>
      </c>
    </row>
    <row r="815">
      <c r="A815" s="19"/>
      <c r="B815" s="8" t="s">
        <v>299</v>
      </c>
      <c r="C815" s="8" t="s">
        <v>299</v>
      </c>
      <c r="D815" s="8" t="s">
        <v>299</v>
      </c>
      <c r="E815" s="8" t="s">
        <v>299</v>
      </c>
      <c r="F815" s="8" t="s">
        <v>299</v>
      </c>
      <c r="G815" s="8" t="s">
        <v>299</v>
      </c>
      <c r="H815" s="8" t="s">
        <v>299</v>
      </c>
    </row>
    <row r="816">
      <c r="A816" s="19"/>
      <c r="B816" s="8" t="s">
        <v>299</v>
      </c>
      <c r="C816" s="8" t="s">
        <v>299</v>
      </c>
      <c r="D816" s="8" t="s">
        <v>299</v>
      </c>
      <c r="E816" s="8" t="s">
        <v>299</v>
      </c>
      <c r="F816" s="8" t="s">
        <v>299</v>
      </c>
      <c r="G816" s="8" t="s">
        <v>299</v>
      </c>
      <c r="H816" s="8" t="s">
        <v>299</v>
      </c>
    </row>
    <row r="817">
      <c r="A817" s="19"/>
      <c r="B817" s="8" t="s">
        <v>299</v>
      </c>
      <c r="C817" s="8" t="s">
        <v>299</v>
      </c>
      <c r="D817" s="8" t="s">
        <v>299</v>
      </c>
      <c r="E817" s="8" t="s">
        <v>299</v>
      </c>
      <c r="F817" s="8" t="s">
        <v>299</v>
      </c>
      <c r="G817" s="8" t="s">
        <v>299</v>
      </c>
      <c r="H817" s="8" t="s">
        <v>299</v>
      </c>
    </row>
    <row r="818">
      <c r="A818" s="19"/>
      <c r="B818" s="8" t="s">
        <v>299</v>
      </c>
      <c r="C818" s="8" t="s">
        <v>299</v>
      </c>
      <c r="D818" s="8" t="s">
        <v>299</v>
      </c>
      <c r="E818" s="8" t="s">
        <v>299</v>
      </c>
      <c r="F818" s="8" t="s">
        <v>299</v>
      </c>
      <c r="G818" s="8" t="s">
        <v>299</v>
      </c>
      <c r="H818" s="8" t="s">
        <v>299</v>
      </c>
    </row>
    <row r="819">
      <c r="A819" s="19"/>
      <c r="B819" s="8" t="s">
        <v>299</v>
      </c>
      <c r="C819" s="8" t="s">
        <v>299</v>
      </c>
      <c r="D819" s="8" t="s">
        <v>299</v>
      </c>
      <c r="E819" s="8" t="s">
        <v>299</v>
      </c>
      <c r="F819" s="8" t="s">
        <v>299</v>
      </c>
      <c r="G819" s="8" t="s">
        <v>299</v>
      </c>
      <c r="H819" s="8" t="s">
        <v>299</v>
      </c>
    </row>
    <row r="820">
      <c r="A820" s="19"/>
      <c r="B820" s="8" t="s">
        <v>299</v>
      </c>
      <c r="C820" s="8" t="s">
        <v>299</v>
      </c>
      <c r="D820" s="8" t="s">
        <v>299</v>
      </c>
      <c r="E820" s="8" t="s">
        <v>299</v>
      </c>
      <c r="F820" s="8" t="s">
        <v>299</v>
      </c>
      <c r="G820" s="8" t="s">
        <v>299</v>
      </c>
      <c r="H820" s="8" t="s">
        <v>299</v>
      </c>
    </row>
    <row r="821">
      <c r="A821" s="19"/>
      <c r="B821" s="8" t="s">
        <v>299</v>
      </c>
      <c r="C821" s="8" t="s">
        <v>299</v>
      </c>
      <c r="D821" s="8" t="s">
        <v>299</v>
      </c>
      <c r="E821" s="8" t="s">
        <v>299</v>
      </c>
      <c r="F821" s="8" t="s">
        <v>299</v>
      </c>
      <c r="G821" s="8" t="s">
        <v>299</v>
      </c>
      <c r="H821" s="8" t="s">
        <v>299</v>
      </c>
    </row>
    <row r="822">
      <c r="A822" s="19"/>
      <c r="B822" s="8" t="s">
        <v>299</v>
      </c>
      <c r="C822" s="8" t="s">
        <v>299</v>
      </c>
      <c r="D822" s="8" t="s">
        <v>299</v>
      </c>
      <c r="E822" s="8" t="s">
        <v>299</v>
      </c>
      <c r="F822" s="8" t="s">
        <v>299</v>
      </c>
      <c r="G822" s="8" t="s">
        <v>299</v>
      </c>
      <c r="H822" s="8" t="s">
        <v>299</v>
      </c>
    </row>
    <row r="823">
      <c r="A823" s="19"/>
      <c r="B823" s="8" t="s">
        <v>299</v>
      </c>
      <c r="C823" s="8" t="s">
        <v>299</v>
      </c>
      <c r="D823" s="8" t="s">
        <v>299</v>
      </c>
      <c r="E823" s="8" t="s">
        <v>299</v>
      </c>
      <c r="F823" s="8" t="s">
        <v>299</v>
      </c>
      <c r="G823" s="8" t="s">
        <v>299</v>
      </c>
      <c r="H823" s="8" t="s">
        <v>299</v>
      </c>
    </row>
    <row r="824">
      <c r="A824" s="19"/>
      <c r="B824" s="8" t="s">
        <v>299</v>
      </c>
      <c r="C824" s="8" t="s">
        <v>299</v>
      </c>
      <c r="D824" s="8" t="s">
        <v>299</v>
      </c>
      <c r="E824" s="8" t="s">
        <v>299</v>
      </c>
      <c r="F824" s="8" t="s">
        <v>299</v>
      </c>
      <c r="G824" s="8" t="s">
        <v>299</v>
      </c>
      <c r="H824" s="8" t="s">
        <v>299</v>
      </c>
    </row>
    <row r="825">
      <c r="A825" s="19"/>
      <c r="B825" s="8" t="s">
        <v>299</v>
      </c>
      <c r="C825" s="8" t="s">
        <v>299</v>
      </c>
      <c r="D825" s="8" t="s">
        <v>299</v>
      </c>
      <c r="E825" s="8" t="s">
        <v>299</v>
      </c>
      <c r="F825" s="8" t="s">
        <v>299</v>
      </c>
      <c r="G825" s="8" t="s">
        <v>299</v>
      </c>
      <c r="H825" s="8" t="s">
        <v>299</v>
      </c>
    </row>
    <row r="826">
      <c r="A826" s="19"/>
      <c r="B826" s="8" t="s">
        <v>299</v>
      </c>
      <c r="C826" s="8" t="s">
        <v>299</v>
      </c>
      <c r="D826" s="8" t="s">
        <v>299</v>
      </c>
      <c r="E826" s="8" t="s">
        <v>299</v>
      </c>
      <c r="F826" s="8" t="s">
        <v>299</v>
      </c>
      <c r="G826" s="8" t="s">
        <v>299</v>
      </c>
      <c r="H826" s="8" t="s">
        <v>299</v>
      </c>
    </row>
    <row r="827">
      <c r="A827" s="19"/>
      <c r="B827" s="8" t="s">
        <v>299</v>
      </c>
      <c r="C827" s="8" t="s">
        <v>299</v>
      </c>
      <c r="D827" s="8" t="s">
        <v>299</v>
      </c>
      <c r="E827" s="8" t="s">
        <v>299</v>
      </c>
      <c r="F827" s="8" t="s">
        <v>299</v>
      </c>
      <c r="G827" s="8" t="s">
        <v>299</v>
      </c>
      <c r="H827" s="8" t="s">
        <v>299</v>
      </c>
    </row>
    <row r="828">
      <c r="A828" s="19"/>
      <c r="B828" s="8" t="s">
        <v>299</v>
      </c>
      <c r="C828" s="8" t="s">
        <v>299</v>
      </c>
      <c r="D828" s="8" t="s">
        <v>299</v>
      </c>
      <c r="E828" s="8" t="s">
        <v>299</v>
      </c>
      <c r="F828" s="8" t="s">
        <v>299</v>
      </c>
      <c r="G828" s="8" t="s">
        <v>299</v>
      </c>
      <c r="H828" s="8" t="s">
        <v>299</v>
      </c>
    </row>
    <row r="829">
      <c r="A829" s="19"/>
      <c r="B829" s="8" t="s">
        <v>299</v>
      </c>
      <c r="C829" s="8" t="s">
        <v>299</v>
      </c>
      <c r="D829" s="8" t="s">
        <v>299</v>
      </c>
      <c r="E829" s="8" t="s">
        <v>299</v>
      </c>
      <c r="F829" s="8" t="s">
        <v>299</v>
      </c>
      <c r="G829" s="8" t="s">
        <v>299</v>
      </c>
      <c r="H829" s="8" t="s">
        <v>299</v>
      </c>
    </row>
    <row r="830">
      <c r="A830" s="19"/>
      <c r="B830" s="8" t="s">
        <v>299</v>
      </c>
      <c r="C830" s="8" t="s">
        <v>299</v>
      </c>
      <c r="D830" s="8" t="s">
        <v>299</v>
      </c>
      <c r="E830" s="8" t="s">
        <v>299</v>
      </c>
      <c r="F830" s="8" t="s">
        <v>299</v>
      </c>
      <c r="G830" s="8" t="s">
        <v>299</v>
      </c>
      <c r="H830" s="8" t="s">
        <v>299</v>
      </c>
    </row>
    <row r="831">
      <c r="A831" s="19"/>
      <c r="B831" s="8" t="s">
        <v>299</v>
      </c>
      <c r="C831" s="8" t="s">
        <v>299</v>
      </c>
      <c r="D831" s="8" t="s">
        <v>299</v>
      </c>
      <c r="E831" s="8" t="s">
        <v>299</v>
      </c>
      <c r="F831" s="8" t="s">
        <v>299</v>
      </c>
      <c r="G831" s="8" t="s">
        <v>299</v>
      </c>
      <c r="H831" s="8" t="s">
        <v>299</v>
      </c>
    </row>
    <row r="832">
      <c r="A832" s="19"/>
      <c r="B832" s="8" t="s">
        <v>299</v>
      </c>
      <c r="C832" s="8" t="s">
        <v>299</v>
      </c>
      <c r="D832" s="8" t="s">
        <v>299</v>
      </c>
      <c r="E832" s="8" t="s">
        <v>299</v>
      </c>
      <c r="F832" s="8" t="s">
        <v>299</v>
      </c>
      <c r="G832" s="8" t="s">
        <v>299</v>
      </c>
      <c r="H832" s="8" t="s">
        <v>299</v>
      </c>
    </row>
    <row r="833">
      <c r="A833" s="19"/>
      <c r="B833" s="8" t="s">
        <v>299</v>
      </c>
      <c r="C833" s="8" t="s">
        <v>299</v>
      </c>
      <c r="D833" s="8" t="s">
        <v>299</v>
      </c>
      <c r="E833" s="8" t="s">
        <v>299</v>
      </c>
      <c r="F833" s="8" t="s">
        <v>299</v>
      </c>
      <c r="G833" s="8" t="s">
        <v>299</v>
      </c>
      <c r="H833" s="8" t="s">
        <v>299</v>
      </c>
    </row>
    <row r="834">
      <c r="A834" s="19"/>
      <c r="B834" s="8" t="s">
        <v>299</v>
      </c>
      <c r="C834" s="8" t="s">
        <v>299</v>
      </c>
      <c r="D834" s="8" t="s">
        <v>299</v>
      </c>
      <c r="E834" s="8" t="s">
        <v>299</v>
      </c>
      <c r="F834" s="8" t="s">
        <v>299</v>
      </c>
      <c r="G834" s="8" t="s">
        <v>299</v>
      </c>
      <c r="H834" s="8" t="s">
        <v>299</v>
      </c>
    </row>
    <row r="835">
      <c r="A835" s="19"/>
      <c r="B835" s="8" t="s">
        <v>299</v>
      </c>
      <c r="C835" s="8" t="s">
        <v>299</v>
      </c>
      <c r="D835" s="8" t="s">
        <v>299</v>
      </c>
      <c r="E835" s="8" t="s">
        <v>299</v>
      </c>
      <c r="F835" s="8" t="s">
        <v>299</v>
      </c>
      <c r="G835" s="8" t="s">
        <v>299</v>
      </c>
      <c r="H835" s="8" t="s">
        <v>299</v>
      </c>
    </row>
    <row r="836">
      <c r="A836" s="19"/>
      <c r="B836" s="8" t="s">
        <v>299</v>
      </c>
      <c r="C836" s="8" t="s">
        <v>299</v>
      </c>
      <c r="D836" s="8" t="s">
        <v>299</v>
      </c>
      <c r="E836" s="8" t="s">
        <v>299</v>
      </c>
      <c r="F836" s="8" t="s">
        <v>299</v>
      </c>
      <c r="G836" s="8" t="s">
        <v>299</v>
      </c>
      <c r="H836" s="8" t="s">
        <v>299</v>
      </c>
    </row>
    <row r="837">
      <c r="A837" s="19"/>
      <c r="B837" s="8" t="s">
        <v>299</v>
      </c>
      <c r="C837" s="8" t="s">
        <v>299</v>
      </c>
      <c r="D837" s="8" t="s">
        <v>299</v>
      </c>
      <c r="E837" s="8" t="s">
        <v>299</v>
      </c>
      <c r="F837" s="8" t="s">
        <v>299</v>
      </c>
      <c r="G837" s="8" t="s">
        <v>299</v>
      </c>
      <c r="H837" s="8" t="s">
        <v>299</v>
      </c>
    </row>
    <row r="838">
      <c r="A838" s="19"/>
      <c r="B838" s="8" t="s">
        <v>299</v>
      </c>
      <c r="C838" s="8" t="s">
        <v>299</v>
      </c>
      <c r="D838" s="8" t="s">
        <v>299</v>
      </c>
      <c r="E838" s="8" t="s">
        <v>299</v>
      </c>
      <c r="F838" s="8" t="s">
        <v>299</v>
      </c>
      <c r="G838" s="8" t="s">
        <v>299</v>
      </c>
      <c r="H838" s="8" t="s">
        <v>299</v>
      </c>
    </row>
    <row r="839">
      <c r="A839" s="19"/>
      <c r="B839" s="8" t="s">
        <v>299</v>
      </c>
      <c r="C839" s="8" t="s">
        <v>299</v>
      </c>
      <c r="D839" s="8" t="s">
        <v>299</v>
      </c>
      <c r="E839" s="8" t="s">
        <v>299</v>
      </c>
      <c r="F839" s="8" t="s">
        <v>299</v>
      </c>
      <c r="G839" s="8" t="s">
        <v>299</v>
      </c>
      <c r="H839" s="8" t="s">
        <v>299</v>
      </c>
    </row>
    <row r="840">
      <c r="A840" s="19"/>
      <c r="B840" s="8" t="s">
        <v>299</v>
      </c>
      <c r="C840" s="8" t="s">
        <v>299</v>
      </c>
      <c r="D840" s="8" t="s">
        <v>299</v>
      </c>
      <c r="E840" s="8" t="s">
        <v>299</v>
      </c>
      <c r="F840" s="8" t="s">
        <v>299</v>
      </c>
      <c r="G840" s="8" t="s">
        <v>299</v>
      </c>
      <c r="H840" s="8" t="s">
        <v>299</v>
      </c>
    </row>
    <row r="841">
      <c r="A841" s="19"/>
      <c r="B841" s="8" t="s">
        <v>299</v>
      </c>
      <c r="C841" s="8" t="s">
        <v>299</v>
      </c>
      <c r="D841" s="8" t="s">
        <v>299</v>
      </c>
      <c r="E841" s="8" t="s">
        <v>299</v>
      </c>
      <c r="F841" s="8" t="s">
        <v>299</v>
      </c>
      <c r="G841" s="8" t="s">
        <v>299</v>
      </c>
      <c r="H841" s="8" t="s">
        <v>299</v>
      </c>
    </row>
    <row r="842">
      <c r="A842" s="19"/>
      <c r="B842" s="8" t="s">
        <v>299</v>
      </c>
      <c r="C842" s="8" t="s">
        <v>299</v>
      </c>
      <c r="D842" s="8" t="s">
        <v>299</v>
      </c>
      <c r="E842" s="8" t="s">
        <v>299</v>
      </c>
      <c r="F842" s="8" t="s">
        <v>299</v>
      </c>
      <c r="G842" s="8" t="s">
        <v>299</v>
      </c>
      <c r="H842" s="8" t="s">
        <v>299</v>
      </c>
    </row>
    <row r="843">
      <c r="A843" s="19"/>
      <c r="B843" s="8" t="s">
        <v>299</v>
      </c>
      <c r="C843" s="8" t="s">
        <v>299</v>
      </c>
      <c r="D843" s="8" t="s">
        <v>299</v>
      </c>
      <c r="E843" s="8" t="s">
        <v>299</v>
      </c>
      <c r="F843" s="8" t="s">
        <v>299</v>
      </c>
      <c r="G843" s="8" t="s">
        <v>299</v>
      </c>
      <c r="H843" s="8" t="s">
        <v>299</v>
      </c>
    </row>
    <row r="844">
      <c r="A844" s="19"/>
      <c r="B844" s="8" t="s">
        <v>299</v>
      </c>
      <c r="C844" s="8" t="s">
        <v>299</v>
      </c>
      <c r="D844" s="8" t="s">
        <v>299</v>
      </c>
      <c r="E844" s="8" t="s">
        <v>299</v>
      </c>
      <c r="F844" s="8" t="s">
        <v>299</v>
      </c>
      <c r="G844" s="8" t="s">
        <v>299</v>
      </c>
      <c r="H844" s="8" t="s">
        <v>299</v>
      </c>
    </row>
    <row r="845">
      <c r="A845" s="19"/>
      <c r="B845" s="8" t="s">
        <v>299</v>
      </c>
      <c r="C845" s="8" t="s">
        <v>299</v>
      </c>
      <c r="D845" s="8" t="s">
        <v>299</v>
      </c>
      <c r="E845" s="8" t="s">
        <v>299</v>
      </c>
      <c r="F845" s="8" t="s">
        <v>299</v>
      </c>
      <c r="G845" s="8" t="s">
        <v>299</v>
      </c>
      <c r="H845" s="8" t="s">
        <v>299</v>
      </c>
    </row>
    <row r="846">
      <c r="A846" s="19"/>
      <c r="B846" s="8" t="s">
        <v>299</v>
      </c>
      <c r="C846" s="8" t="s">
        <v>299</v>
      </c>
      <c r="D846" s="8" t="s">
        <v>299</v>
      </c>
      <c r="E846" s="8" t="s">
        <v>299</v>
      </c>
      <c r="F846" s="8" t="s">
        <v>299</v>
      </c>
      <c r="G846" s="8" t="s">
        <v>299</v>
      </c>
      <c r="H846" s="8" t="s">
        <v>299</v>
      </c>
    </row>
    <row r="847">
      <c r="A847" s="19"/>
      <c r="B847" s="8" t="s">
        <v>299</v>
      </c>
      <c r="C847" s="8" t="s">
        <v>299</v>
      </c>
      <c r="D847" s="8" t="s">
        <v>299</v>
      </c>
      <c r="E847" s="8" t="s">
        <v>299</v>
      </c>
      <c r="F847" s="8" t="s">
        <v>299</v>
      </c>
      <c r="G847" s="8" t="s">
        <v>299</v>
      </c>
      <c r="H847" s="8" t="s">
        <v>299</v>
      </c>
    </row>
    <row r="848">
      <c r="A848" s="19"/>
      <c r="B848" s="8" t="s">
        <v>299</v>
      </c>
      <c r="C848" s="8" t="s">
        <v>299</v>
      </c>
      <c r="D848" s="8" t="s">
        <v>299</v>
      </c>
      <c r="E848" s="8" t="s">
        <v>299</v>
      </c>
      <c r="F848" s="8" t="s">
        <v>299</v>
      </c>
      <c r="G848" s="8" t="s">
        <v>299</v>
      </c>
      <c r="H848" s="8" t="s">
        <v>299</v>
      </c>
    </row>
    <row r="849">
      <c r="A849" s="19"/>
      <c r="B849" s="8" t="s">
        <v>299</v>
      </c>
      <c r="C849" s="8" t="s">
        <v>299</v>
      </c>
      <c r="D849" s="8" t="s">
        <v>299</v>
      </c>
      <c r="E849" s="8" t="s">
        <v>299</v>
      </c>
      <c r="F849" s="8" t="s">
        <v>299</v>
      </c>
      <c r="G849" s="8" t="s">
        <v>299</v>
      </c>
      <c r="H849" s="8" t="s">
        <v>299</v>
      </c>
    </row>
    <row r="850">
      <c r="A850" s="19"/>
      <c r="B850" s="8" t="s">
        <v>299</v>
      </c>
      <c r="C850" s="8" t="s">
        <v>299</v>
      </c>
      <c r="D850" s="8" t="s">
        <v>299</v>
      </c>
      <c r="E850" s="8" t="s">
        <v>299</v>
      </c>
      <c r="F850" s="8" t="s">
        <v>299</v>
      </c>
      <c r="G850" s="8" t="s">
        <v>299</v>
      </c>
      <c r="H850" s="8" t="s">
        <v>299</v>
      </c>
    </row>
    <row r="851">
      <c r="A851" s="19"/>
      <c r="B851" s="8" t="s">
        <v>299</v>
      </c>
      <c r="C851" s="8" t="s">
        <v>299</v>
      </c>
      <c r="D851" s="8" t="s">
        <v>299</v>
      </c>
      <c r="E851" s="8" t="s">
        <v>299</v>
      </c>
      <c r="F851" s="8" t="s">
        <v>299</v>
      </c>
      <c r="G851" s="8" t="s">
        <v>299</v>
      </c>
      <c r="H851" s="8" t="s">
        <v>299</v>
      </c>
    </row>
    <row r="852">
      <c r="A852" s="19"/>
      <c r="B852" s="8" t="s">
        <v>299</v>
      </c>
      <c r="C852" s="8" t="s">
        <v>299</v>
      </c>
      <c r="D852" s="8" t="s">
        <v>299</v>
      </c>
      <c r="E852" s="8" t="s">
        <v>299</v>
      </c>
      <c r="F852" s="8" t="s">
        <v>299</v>
      </c>
      <c r="G852" s="8" t="s">
        <v>299</v>
      </c>
      <c r="H852" s="8" t="s">
        <v>299</v>
      </c>
    </row>
    <row r="853">
      <c r="A853" s="19"/>
      <c r="B853" s="8" t="s">
        <v>299</v>
      </c>
      <c r="C853" s="8" t="s">
        <v>299</v>
      </c>
      <c r="D853" s="8" t="s">
        <v>299</v>
      </c>
      <c r="E853" s="8" t="s">
        <v>299</v>
      </c>
      <c r="F853" s="8" t="s">
        <v>299</v>
      </c>
      <c r="G853" s="8" t="s">
        <v>299</v>
      </c>
      <c r="H853" s="8" t="s">
        <v>299</v>
      </c>
    </row>
    <row r="854">
      <c r="A854" s="19"/>
      <c r="B854" s="8" t="s">
        <v>299</v>
      </c>
      <c r="C854" s="8" t="s">
        <v>299</v>
      </c>
      <c r="D854" s="8" t="s">
        <v>299</v>
      </c>
      <c r="E854" s="8" t="s">
        <v>299</v>
      </c>
      <c r="F854" s="8" t="s">
        <v>299</v>
      </c>
      <c r="G854" s="8" t="s">
        <v>299</v>
      </c>
      <c r="H854" s="8" t="s">
        <v>299</v>
      </c>
    </row>
    <row r="855">
      <c r="A855" s="19"/>
      <c r="B855" s="8" t="s">
        <v>299</v>
      </c>
      <c r="C855" s="8" t="s">
        <v>299</v>
      </c>
      <c r="D855" s="8" t="s">
        <v>299</v>
      </c>
      <c r="E855" s="8" t="s">
        <v>299</v>
      </c>
      <c r="F855" s="8" t="s">
        <v>299</v>
      </c>
      <c r="G855" s="8" t="s">
        <v>299</v>
      </c>
      <c r="H855" s="8" t="s">
        <v>299</v>
      </c>
    </row>
    <row r="856">
      <c r="A856" s="19"/>
      <c r="B856" s="8" t="s">
        <v>299</v>
      </c>
      <c r="C856" s="8" t="s">
        <v>299</v>
      </c>
      <c r="D856" s="8" t="s">
        <v>299</v>
      </c>
      <c r="E856" s="8" t="s">
        <v>299</v>
      </c>
      <c r="F856" s="8" t="s">
        <v>299</v>
      </c>
      <c r="G856" s="8" t="s">
        <v>299</v>
      </c>
      <c r="H856" s="8" t="s">
        <v>299</v>
      </c>
    </row>
    <row r="857">
      <c r="A857" s="19"/>
      <c r="B857" s="8" t="s">
        <v>299</v>
      </c>
      <c r="C857" s="8" t="s">
        <v>299</v>
      </c>
      <c r="D857" s="8" t="s">
        <v>299</v>
      </c>
      <c r="E857" s="8" t="s">
        <v>299</v>
      </c>
      <c r="F857" s="8" t="s">
        <v>299</v>
      </c>
      <c r="G857" s="8" t="s">
        <v>299</v>
      </c>
      <c r="H857" s="8" t="s">
        <v>299</v>
      </c>
    </row>
    <row r="858">
      <c r="A858" s="19"/>
      <c r="B858" s="8" t="s">
        <v>299</v>
      </c>
      <c r="C858" s="8" t="s">
        <v>299</v>
      </c>
      <c r="D858" s="8" t="s">
        <v>299</v>
      </c>
      <c r="E858" s="8" t="s">
        <v>299</v>
      </c>
      <c r="F858" s="8" t="s">
        <v>299</v>
      </c>
      <c r="G858" s="8" t="s">
        <v>299</v>
      </c>
      <c r="H858" s="8" t="s">
        <v>299</v>
      </c>
    </row>
    <row r="859">
      <c r="A859" s="19"/>
      <c r="B859" s="8" t="s">
        <v>299</v>
      </c>
      <c r="C859" s="8" t="s">
        <v>299</v>
      </c>
      <c r="D859" s="8" t="s">
        <v>299</v>
      </c>
      <c r="E859" s="8" t="s">
        <v>299</v>
      </c>
      <c r="F859" s="8" t="s">
        <v>299</v>
      </c>
      <c r="G859" s="8" t="s">
        <v>299</v>
      </c>
      <c r="H859" s="8" t="s">
        <v>299</v>
      </c>
    </row>
    <row r="860">
      <c r="A860" s="19"/>
      <c r="B860" s="8" t="s">
        <v>299</v>
      </c>
      <c r="C860" s="8" t="s">
        <v>299</v>
      </c>
      <c r="D860" s="8" t="s">
        <v>299</v>
      </c>
      <c r="E860" s="8" t="s">
        <v>299</v>
      </c>
      <c r="F860" s="8" t="s">
        <v>299</v>
      </c>
      <c r="G860" s="8" t="s">
        <v>299</v>
      </c>
      <c r="H860" s="8" t="s">
        <v>299</v>
      </c>
    </row>
    <row r="861">
      <c r="A861" s="19"/>
      <c r="B861" s="8" t="s">
        <v>299</v>
      </c>
      <c r="C861" s="8" t="s">
        <v>299</v>
      </c>
      <c r="D861" s="8" t="s">
        <v>299</v>
      </c>
      <c r="E861" s="8" t="s">
        <v>299</v>
      </c>
      <c r="F861" s="8" t="s">
        <v>299</v>
      </c>
      <c r="G861" s="8" t="s">
        <v>299</v>
      </c>
      <c r="H861" s="8" t="s">
        <v>299</v>
      </c>
    </row>
    <row r="862">
      <c r="A862" s="19"/>
      <c r="B862" s="8" t="s">
        <v>299</v>
      </c>
      <c r="C862" s="8" t="s">
        <v>299</v>
      </c>
      <c r="D862" s="8" t="s">
        <v>299</v>
      </c>
      <c r="E862" s="8" t="s">
        <v>299</v>
      </c>
      <c r="F862" s="8" t="s">
        <v>299</v>
      </c>
      <c r="G862" s="8" t="s">
        <v>299</v>
      </c>
      <c r="H862" s="8" t="s">
        <v>299</v>
      </c>
    </row>
    <row r="863">
      <c r="A863" s="19"/>
      <c r="B863" s="8" t="s">
        <v>299</v>
      </c>
      <c r="C863" s="8" t="s">
        <v>299</v>
      </c>
      <c r="D863" s="8" t="s">
        <v>299</v>
      </c>
      <c r="E863" s="8" t="s">
        <v>299</v>
      </c>
      <c r="F863" s="8" t="s">
        <v>299</v>
      </c>
      <c r="G863" s="8" t="s">
        <v>299</v>
      </c>
      <c r="H863" s="8" t="s">
        <v>299</v>
      </c>
    </row>
    <row r="864">
      <c r="A864" s="19"/>
      <c r="B864" s="8" t="s">
        <v>299</v>
      </c>
      <c r="C864" s="8" t="s">
        <v>299</v>
      </c>
      <c r="D864" s="8" t="s">
        <v>299</v>
      </c>
      <c r="E864" s="8" t="s">
        <v>299</v>
      </c>
      <c r="F864" s="8" t="s">
        <v>299</v>
      </c>
      <c r="G864" s="8" t="s">
        <v>299</v>
      </c>
      <c r="H864" s="8" t="s">
        <v>299</v>
      </c>
    </row>
    <row r="865">
      <c r="A865" s="19"/>
      <c r="B865" s="8" t="s">
        <v>299</v>
      </c>
      <c r="C865" s="8" t="s">
        <v>299</v>
      </c>
      <c r="D865" s="8" t="s">
        <v>299</v>
      </c>
      <c r="E865" s="8" t="s">
        <v>299</v>
      </c>
      <c r="F865" s="8" t="s">
        <v>299</v>
      </c>
      <c r="G865" s="8" t="s">
        <v>299</v>
      </c>
      <c r="H865" s="8" t="s">
        <v>299</v>
      </c>
    </row>
    <row r="866">
      <c r="A866" s="19"/>
      <c r="B866" s="8" t="s">
        <v>299</v>
      </c>
      <c r="C866" s="8" t="s">
        <v>299</v>
      </c>
      <c r="D866" s="8" t="s">
        <v>299</v>
      </c>
      <c r="E866" s="8" t="s">
        <v>299</v>
      </c>
      <c r="F866" s="8" t="s">
        <v>299</v>
      </c>
      <c r="G866" s="8" t="s">
        <v>299</v>
      </c>
      <c r="H866" s="8" t="s">
        <v>299</v>
      </c>
    </row>
    <row r="867">
      <c r="A867" s="19"/>
      <c r="B867" s="8" t="s">
        <v>299</v>
      </c>
      <c r="C867" s="8" t="s">
        <v>299</v>
      </c>
      <c r="D867" s="8" t="s">
        <v>299</v>
      </c>
      <c r="E867" s="8" t="s">
        <v>299</v>
      </c>
      <c r="F867" s="8" t="s">
        <v>299</v>
      </c>
      <c r="G867" s="8" t="s">
        <v>299</v>
      </c>
      <c r="H867" s="8" t="s">
        <v>299</v>
      </c>
    </row>
    <row r="868">
      <c r="A868" s="19"/>
      <c r="B868" s="8" t="s">
        <v>299</v>
      </c>
      <c r="C868" s="8" t="s">
        <v>299</v>
      </c>
      <c r="D868" s="8" t="s">
        <v>299</v>
      </c>
      <c r="E868" s="8" t="s">
        <v>299</v>
      </c>
      <c r="F868" s="8" t="s">
        <v>299</v>
      </c>
      <c r="G868" s="8" t="s">
        <v>299</v>
      </c>
      <c r="H868" s="8" t="s">
        <v>299</v>
      </c>
    </row>
    <row r="869">
      <c r="A869" s="19"/>
      <c r="B869" s="8" t="s">
        <v>299</v>
      </c>
      <c r="C869" s="8" t="s">
        <v>299</v>
      </c>
      <c r="D869" s="8" t="s">
        <v>299</v>
      </c>
      <c r="E869" s="8" t="s">
        <v>299</v>
      </c>
      <c r="F869" s="8" t="s">
        <v>299</v>
      </c>
      <c r="G869" s="8" t="s">
        <v>299</v>
      </c>
      <c r="H869" s="8" t="s">
        <v>299</v>
      </c>
    </row>
    <row r="870">
      <c r="A870" s="19"/>
      <c r="B870" s="8" t="s">
        <v>299</v>
      </c>
      <c r="C870" s="8" t="s">
        <v>299</v>
      </c>
      <c r="D870" s="8" t="s">
        <v>299</v>
      </c>
      <c r="E870" s="8" t="s">
        <v>299</v>
      </c>
      <c r="F870" s="8" t="s">
        <v>299</v>
      </c>
      <c r="G870" s="8" t="s">
        <v>299</v>
      </c>
      <c r="H870" s="8" t="s">
        <v>299</v>
      </c>
    </row>
    <row r="871">
      <c r="A871" s="19"/>
      <c r="B871" s="8" t="s">
        <v>299</v>
      </c>
      <c r="C871" s="8" t="s">
        <v>299</v>
      </c>
      <c r="D871" s="8" t="s">
        <v>299</v>
      </c>
      <c r="E871" s="8" t="s">
        <v>299</v>
      </c>
      <c r="F871" s="8" t="s">
        <v>299</v>
      </c>
      <c r="G871" s="8" t="s">
        <v>299</v>
      </c>
      <c r="H871" s="8" t="s">
        <v>299</v>
      </c>
    </row>
    <row r="872">
      <c r="A872" s="19"/>
      <c r="B872" s="8" t="s">
        <v>299</v>
      </c>
      <c r="C872" s="8" t="s">
        <v>299</v>
      </c>
      <c r="D872" s="8" t="s">
        <v>299</v>
      </c>
      <c r="E872" s="8" t="s">
        <v>299</v>
      </c>
      <c r="F872" s="8" t="s">
        <v>299</v>
      </c>
      <c r="G872" s="8" t="s">
        <v>299</v>
      </c>
      <c r="H872" s="8" t="s">
        <v>299</v>
      </c>
    </row>
    <row r="873">
      <c r="A873" s="19"/>
      <c r="B873" s="8" t="s">
        <v>299</v>
      </c>
      <c r="C873" s="8" t="s">
        <v>299</v>
      </c>
      <c r="D873" s="8" t="s">
        <v>299</v>
      </c>
      <c r="E873" s="8" t="s">
        <v>299</v>
      </c>
      <c r="F873" s="8" t="s">
        <v>299</v>
      </c>
      <c r="G873" s="8" t="s">
        <v>299</v>
      </c>
      <c r="H873" s="8" t="s">
        <v>299</v>
      </c>
    </row>
    <row r="874">
      <c r="A874" s="19"/>
      <c r="B874" s="8" t="s">
        <v>299</v>
      </c>
      <c r="C874" s="8" t="s">
        <v>299</v>
      </c>
      <c r="D874" s="8" t="s">
        <v>299</v>
      </c>
      <c r="E874" s="8" t="s">
        <v>299</v>
      </c>
      <c r="F874" s="8" t="s">
        <v>299</v>
      </c>
      <c r="G874" s="8" t="s">
        <v>299</v>
      </c>
      <c r="H874" s="8" t="s">
        <v>299</v>
      </c>
    </row>
    <row r="875">
      <c r="A875" s="19"/>
      <c r="B875" s="8" t="s">
        <v>299</v>
      </c>
      <c r="C875" s="8" t="s">
        <v>299</v>
      </c>
      <c r="D875" s="8" t="s">
        <v>299</v>
      </c>
      <c r="E875" s="8" t="s">
        <v>299</v>
      </c>
      <c r="F875" s="8" t="s">
        <v>299</v>
      </c>
      <c r="G875" s="8" t="s">
        <v>299</v>
      </c>
      <c r="H875" s="8" t="s">
        <v>299</v>
      </c>
    </row>
    <row r="876">
      <c r="A876" s="19"/>
      <c r="B876" s="8" t="s">
        <v>299</v>
      </c>
      <c r="C876" s="8" t="s">
        <v>299</v>
      </c>
      <c r="D876" s="8" t="s">
        <v>299</v>
      </c>
      <c r="E876" s="8" t="s">
        <v>299</v>
      </c>
      <c r="F876" s="8" t="s">
        <v>299</v>
      </c>
      <c r="G876" s="8" t="s">
        <v>299</v>
      </c>
      <c r="H876" s="8" t="s">
        <v>299</v>
      </c>
    </row>
    <row r="877">
      <c r="A877" s="19"/>
      <c r="B877" s="8" t="s">
        <v>299</v>
      </c>
      <c r="C877" s="8" t="s">
        <v>299</v>
      </c>
      <c r="D877" s="8" t="s">
        <v>299</v>
      </c>
      <c r="E877" s="8" t="s">
        <v>299</v>
      </c>
      <c r="F877" s="8" t="s">
        <v>299</v>
      </c>
      <c r="G877" s="8" t="s">
        <v>299</v>
      </c>
      <c r="H877" s="8" t="s">
        <v>299</v>
      </c>
    </row>
    <row r="878">
      <c r="A878" s="19"/>
      <c r="B878" s="8" t="s">
        <v>299</v>
      </c>
      <c r="C878" s="8" t="s">
        <v>299</v>
      </c>
      <c r="D878" s="8" t="s">
        <v>299</v>
      </c>
      <c r="E878" s="8" t="s">
        <v>299</v>
      </c>
      <c r="F878" s="8" t="s">
        <v>299</v>
      </c>
      <c r="G878" s="8" t="s">
        <v>299</v>
      </c>
      <c r="H878" s="8" t="s">
        <v>299</v>
      </c>
    </row>
    <row r="879">
      <c r="A879" s="19"/>
      <c r="B879" s="8" t="s">
        <v>299</v>
      </c>
      <c r="C879" s="8" t="s">
        <v>299</v>
      </c>
      <c r="D879" s="8" t="s">
        <v>299</v>
      </c>
      <c r="E879" s="8" t="s">
        <v>299</v>
      </c>
      <c r="F879" s="8" t="s">
        <v>299</v>
      </c>
      <c r="G879" s="8" t="s">
        <v>299</v>
      </c>
      <c r="H879" s="8" t="s">
        <v>299</v>
      </c>
    </row>
    <row r="880">
      <c r="A880" s="19"/>
      <c r="B880" s="8" t="s">
        <v>299</v>
      </c>
      <c r="C880" s="8" t="s">
        <v>299</v>
      </c>
      <c r="D880" s="8" t="s">
        <v>299</v>
      </c>
      <c r="E880" s="8" t="s">
        <v>299</v>
      </c>
      <c r="F880" s="8" t="s">
        <v>299</v>
      </c>
      <c r="G880" s="8" t="s">
        <v>299</v>
      </c>
      <c r="H880" s="8" t="s">
        <v>299</v>
      </c>
    </row>
    <row r="881">
      <c r="A881" s="19"/>
      <c r="B881" s="8" t="s">
        <v>299</v>
      </c>
      <c r="C881" s="8" t="s">
        <v>299</v>
      </c>
      <c r="D881" s="8" t="s">
        <v>299</v>
      </c>
      <c r="E881" s="8" t="s">
        <v>299</v>
      </c>
      <c r="F881" s="8" t="s">
        <v>299</v>
      </c>
      <c r="G881" s="8" t="s">
        <v>299</v>
      </c>
      <c r="H881" s="8" t="s">
        <v>299</v>
      </c>
    </row>
    <row r="882">
      <c r="A882" s="19"/>
      <c r="B882" s="8" t="s">
        <v>299</v>
      </c>
      <c r="C882" s="8" t="s">
        <v>299</v>
      </c>
      <c r="D882" s="8" t="s">
        <v>299</v>
      </c>
      <c r="E882" s="8" t="s">
        <v>299</v>
      </c>
      <c r="F882" s="8" t="s">
        <v>299</v>
      </c>
      <c r="G882" s="8" t="s">
        <v>299</v>
      </c>
      <c r="H882" s="8" t="s">
        <v>299</v>
      </c>
    </row>
    <row r="883">
      <c r="A883" s="19"/>
      <c r="B883" s="8" t="s">
        <v>299</v>
      </c>
      <c r="C883" s="8" t="s">
        <v>299</v>
      </c>
      <c r="D883" s="8" t="s">
        <v>299</v>
      </c>
      <c r="E883" s="8" t="s">
        <v>299</v>
      </c>
      <c r="F883" s="8" t="s">
        <v>299</v>
      </c>
      <c r="G883" s="8" t="s">
        <v>299</v>
      </c>
      <c r="H883" s="8" t="s">
        <v>299</v>
      </c>
    </row>
    <row r="884">
      <c r="A884" s="19"/>
      <c r="B884" s="8" t="s">
        <v>299</v>
      </c>
      <c r="C884" s="8" t="s">
        <v>299</v>
      </c>
      <c r="D884" s="8" t="s">
        <v>299</v>
      </c>
      <c r="E884" s="8" t="s">
        <v>299</v>
      </c>
      <c r="F884" s="8" t="s">
        <v>299</v>
      </c>
      <c r="G884" s="8" t="s">
        <v>299</v>
      </c>
      <c r="H884" s="8" t="s">
        <v>299</v>
      </c>
    </row>
    <row r="885">
      <c r="A885" s="19"/>
      <c r="B885" s="8" t="s">
        <v>299</v>
      </c>
      <c r="C885" s="8" t="s">
        <v>299</v>
      </c>
      <c r="D885" s="8" t="s">
        <v>299</v>
      </c>
      <c r="E885" s="8" t="s">
        <v>299</v>
      </c>
      <c r="F885" s="8" t="s">
        <v>299</v>
      </c>
      <c r="G885" s="8" t="s">
        <v>299</v>
      </c>
      <c r="H885" s="8" t="s">
        <v>299</v>
      </c>
    </row>
    <row r="886">
      <c r="A886" s="19"/>
      <c r="B886" s="8" t="s">
        <v>299</v>
      </c>
      <c r="C886" s="8" t="s">
        <v>299</v>
      </c>
      <c r="D886" s="8" t="s">
        <v>299</v>
      </c>
      <c r="E886" s="8" t="s">
        <v>299</v>
      </c>
      <c r="F886" s="8" t="s">
        <v>299</v>
      </c>
      <c r="G886" s="8" t="s">
        <v>299</v>
      </c>
      <c r="H886" s="8" t="s">
        <v>299</v>
      </c>
    </row>
    <row r="887">
      <c r="A887" s="19"/>
      <c r="B887" s="8" t="s">
        <v>299</v>
      </c>
      <c r="C887" s="8" t="s">
        <v>299</v>
      </c>
      <c r="D887" s="8" t="s">
        <v>299</v>
      </c>
      <c r="E887" s="8" t="s">
        <v>299</v>
      </c>
      <c r="F887" s="8" t="s">
        <v>299</v>
      </c>
      <c r="G887" s="8" t="s">
        <v>299</v>
      </c>
      <c r="H887" s="8" t="s">
        <v>299</v>
      </c>
    </row>
    <row r="888">
      <c r="A888" s="19"/>
      <c r="B888" s="8" t="s">
        <v>299</v>
      </c>
      <c r="C888" s="8" t="s">
        <v>299</v>
      </c>
      <c r="D888" s="8" t="s">
        <v>299</v>
      </c>
      <c r="E888" s="8" t="s">
        <v>299</v>
      </c>
      <c r="F888" s="8" t="s">
        <v>299</v>
      </c>
      <c r="G888" s="8" t="s">
        <v>299</v>
      </c>
      <c r="H888" s="8" t="s">
        <v>299</v>
      </c>
    </row>
    <row r="889">
      <c r="A889" s="19"/>
      <c r="B889" s="8" t="s">
        <v>299</v>
      </c>
      <c r="C889" s="8" t="s">
        <v>299</v>
      </c>
      <c r="D889" s="8" t="s">
        <v>299</v>
      </c>
      <c r="E889" s="8" t="s">
        <v>299</v>
      </c>
      <c r="F889" s="8" t="s">
        <v>299</v>
      </c>
      <c r="G889" s="8" t="s">
        <v>299</v>
      </c>
      <c r="H889" s="8" t="s">
        <v>299</v>
      </c>
    </row>
    <row r="890">
      <c r="A890" s="19"/>
      <c r="B890" s="8" t="s">
        <v>299</v>
      </c>
      <c r="C890" s="8" t="s">
        <v>299</v>
      </c>
      <c r="D890" s="8" t="s">
        <v>299</v>
      </c>
      <c r="E890" s="8" t="s">
        <v>299</v>
      </c>
      <c r="F890" s="8" t="s">
        <v>299</v>
      </c>
      <c r="G890" s="8" t="s">
        <v>299</v>
      </c>
      <c r="H890" s="8" t="s">
        <v>299</v>
      </c>
    </row>
    <row r="891">
      <c r="A891" s="19"/>
      <c r="B891" s="8" t="s">
        <v>299</v>
      </c>
      <c r="C891" s="8" t="s">
        <v>299</v>
      </c>
      <c r="D891" s="8" t="s">
        <v>299</v>
      </c>
      <c r="E891" s="8" t="s">
        <v>299</v>
      </c>
      <c r="F891" s="8" t="s">
        <v>299</v>
      </c>
      <c r="G891" s="8" t="s">
        <v>299</v>
      </c>
      <c r="H891" s="8" t="s">
        <v>299</v>
      </c>
    </row>
    <row r="892">
      <c r="A892" s="19"/>
      <c r="B892" s="8" t="s">
        <v>299</v>
      </c>
      <c r="C892" s="8" t="s">
        <v>299</v>
      </c>
      <c r="D892" s="8" t="s">
        <v>299</v>
      </c>
      <c r="E892" s="8" t="s">
        <v>299</v>
      </c>
      <c r="F892" s="8" t="s">
        <v>299</v>
      </c>
      <c r="G892" s="8" t="s">
        <v>299</v>
      </c>
      <c r="H892" s="8" t="s">
        <v>299</v>
      </c>
    </row>
    <row r="893">
      <c r="A893" s="19"/>
      <c r="B893" s="8" t="s">
        <v>299</v>
      </c>
      <c r="C893" s="8" t="s">
        <v>299</v>
      </c>
      <c r="D893" s="8" t="s">
        <v>299</v>
      </c>
      <c r="E893" s="8" t="s">
        <v>299</v>
      </c>
      <c r="F893" s="8" t="s">
        <v>299</v>
      </c>
      <c r="G893" s="8" t="s">
        <v>299</v>
      </c>
      <c r="H893" s="8" t="s">
        <v>299</v>
      </c>
    </row>
    <row r="894">
      <c r="A894" s="19"/>
      <c r="B894" s="8" t="s">
        <v>299</v>
      </c>
      <c r="C894" s="8" t="s">
        <v>299</v>
      </c>
      <c r="D894" s="8" t="s">
        <v>299</v>
      </c>
      <c r="E894" s="8" t="s">
        <v>299</v>
      </c>
      <c r="F894" s="8" t="s">
        <v>299</v>
      </c>
      <c r="G894" s="8" t="s">
        <v>299</v>
      </c>
      <c r="H894" s="8" t="s">
        <v>299</v>
      </c>
    </row>
    <row r="895">
      <c r="A895" s="19"/>
      <c r="B895" s="8" t="s">
        <v>299</v>
      </c>
      <c r="C895" s="8" t="s">
        <v>299</v>
      </c>
      <c r="D895" s="8" t="s">
        <v>299</v>
      </c>
      <c r="E895" s="8" t="s">
        <v>299</v>
      </c>
      <c r="F895" s="8" t="s">
        <v>299</v>
      </c>
      <c r="G895" s="8" t="s">
        <v>299</v>
      </c>
      <c r="H895" s="8" t="s">
        <v>299</v>
      </c>
    </row>
    <row r="896">
      <c r="A896" s="19"/>
      <c r="B896" s="8" t="s">
        <v>299</v>
      </c>
      <c r="C896" s="8" t="s">
        <v>299</v>
      </c>
      <c r="D896" s="8" t="s">
        <v>299</v>
      </c>
      <c r="E896" s="8" t="s">
        <v>299</v>
      </c>
      <c r="F896" s="8" t="s">
        <v>299</v>
      </c>
      <c r="G896" s="8" t="s">
        <v>299</v>
      </c>
      <c r="H896" s="8" t="s">
        <v>299</v>
      </c>
    </row>
    <row r="897">
      <c r="A897" s="19"/>
      <c r="B897" s="8" t="s">
        <v>299</v>
      </c>
      <c r="C897" s="8" t="s">
        <v>299</v>
      </c>
      <c r="D897" s="8" t="s">
        <v>299</v>
      </c>
      <c r="E897" s="8" t="s">
        <v>299</v>
      </c>
      <c r="F897" s="8" t="s">
        <v>299</v>
      </c>
      <c r="G897" s="8" t="s">
        <v>299</v>
      </c>
      <c r="H897" s="8" t="s">
        <v>299</v>
      </c>
    </row>
    <row r="898">
      <c r="A898" s="19"/>
      <c r="B898" s="8" t="s">
        <v>299</v>
      </c>
      <c r="C898" s="8" t="s">
        <v>299</v>
      </c>
      <c r="D898" s="8" t="s">
        <v>299</v>
      </c>
      <c r="E898" s="8" t="s">
        <v>299</v>
      </c>
      <c r="F898" s="8" t="s">
        <v>299</v>
      </c>
      <c r="G898" s="8" t="s">
        <v>299</v>
      </c>
      <c r="H898" s="8" t="s">
        <v>299</v>
      </c>
    </row>
    <row r="899">
      <c r="A899" s="19"/>
      <c r="B899" s="8" t="s">
        <v>299</v>
      </c>
      <c r="C899" s="8" t="s">
        <v>299</v>
      </c>
      <c r="D899" s="8" t="s">
        <v>299</v>
      </c>
      <c r="E899" s="8" t="s">
        <v>299</v>
      </c>
      <c r="F899" s="8" t="s">
        <v>299</v>
      </c>
      <c r="G899" s="8" t="s">
        <v>299</v>
      </c>
      <c r="H899" s="8" t="s">
        <v>299</v>
      </c>
    </row>
    <row r="900">
      <c r="A900" s="19"/>
      <c r="B900" s="8" t="s">
        <v>299</v>
      </c>
      <c r="C900" s="8" t="s">
        <v>299</v>
      </c>
      <c r="D900" s="8" t="s">
        <v>299</v>
      </c>
      <c r="E900" s="8" t="s">
        <v>299</v>
      </c>
      <c r="F900" s="8" t="s">
        <v>299</v>
      </c>
      <c r="G900" s="8" t="s">
        <v>299</v>
      </c>
      <c r="H900" s="8" t="s">
        <v>299</v>
      </c>
    </row>
    <row r="901">
      <c r="A901" s="19"/>
      <c r="B901" s="8" t="s">
        <v>299</v>
      </c>
      <c r="C901" s="8" t="s">
        <v>299</v>
      </c>
      <c r="D901" s="8" t="s">
        <v>299</v>
      </c>
      <c r="E901" s="8" t="s">
        <v>299</v>
      </c>
      <c r="F901" s="8" t="s">
        <v>299</v>
      </c>
      <c r="G901" s="8" t="s">
        <v>299</v>
      </c>
      <c r="H901" s="8" t="s">
        <v>299</v>
      </c>
    </row>
    <row r="902">
      <c r="A902" s="19"/>
      <c r="B902" s="8" t="s">
        <v>299</v>
      </c>
      <c r="C902" s="8" t="s">
        <v>299</v>
      </c>
      <c r="D902" s="8" t="s">
        <v>299</v>
      </c>
      <c r="E902" s="8" t="s">
        <v>299</v>
      </c>
      <c r="F902" s="8" t="s">
        <v>299</v>
      </c>
      <c r="G902" s="8" t="s">
        <v>299</v>
      </c>
      <c r="H902" s="8" t="s">
        <v>299</v>
      </c>
    </row>
    <row r="903">
      <c r="A903" s="19"/>
      <c r="B903" s="8" t="s">
        <v>299</v>
      </c>
      <c r="C903" s="8" t="s">
        <v>299</v>
      </c>
      <c r="D903" s="8" t="s">
        <v>299</v>
      </c>
      <c r="E903" s="8" t="s">
        <v>299</v>
      </c>
      <c r="F903" s="8" t="s">
        <v>299</v>
      </c>
      <c r="G903" s="8" t="s">
        <v>299</v>
      </c>
      <c r="H903" s="8" t="s">
        <v>299</v>
      </c>
    </row>
    <row r="904">
      <c r="A904" s="19"/>
      <c r="B904" s="8" t="s">
        <v>299</v>
      </c>
      <c r="C904" s="8" t="s">
        <v>299</v>
      </c>
      <c r="D904" s="8" t="s">
        <v>299</v>
      </c>
      <c r="E904" s="8" t="s">
        <v>299</v>
      </c>
      <c r="F904" s="8" t="s">
        <v>299</v>
      </c>
      <c r="G904" s="8" t="s">
        <v>299</v>
      </c>
      <c r="H904" s="8" t="s">
        <v>299</v>
      </c>
    </row>
    <row r="905">
      <c r="A905" s="19"/>
      <c r="B905" s="8" t="s">
        <v>299</v>
      </c>
      <c r="C905" s="8" t="s">
        <v>299</v>
      </c>
      <c r="D905" s="8" t="s">
        <v>299</v>
      </c>
      <c r="E905" s="8" t="s">
        <v>299</v>
      </c>
      <c r="F905" s="8" t="s">
        <v>299</v>
      </c>
      <c r="G905" s="8" t="s">
        <v>299</v>
      </c>
      <c r="H905" s="8" t="s">
        <v>299</v>
      </c>
    </row>
    <row r="906">
      <c r="A906" s="19"/>
      <c r="B906" s="8" t="s">
        <v>299</v>
      </c>
      <c r="C906" s="8" t="s">
        <v>299</v>
      </c>
      <c r="D906" s="8" t="s">
        <v>299</v>
      </c>
      <c r="E906" s="8" t="s">
        <v>299</v>
      </c>
      <c r="F906" s="8" t="s">
        <v>299</v>
      </c>
      <c r="G906" s="8" t="s">
        <v>299</v>
      </c>
      <c r="H906" s="8" t="s">
        <v>299</v>
      </c>
    </row>
    <row r="907">
      <c r="A907" s="19"/>
      <c r="B907" s="8" t="s">
        <v>299</v>
      </c>
      <c r="C907" s="8" t="s">
        <v>299</v>
      </c>
      <c r="D907" s="8" t="s">
        <v>299</v>
      </c>
      <c r="E907" s="8" t="s">
        <v>299</v>
      </c>
      <c r="F907" s="8" t="s">
        <v>299</v>
      </c>
      <c r="G907" s="8" t="s">
        <v>299</v>
      </c>
      <c r="H907" s="8" t="s">
        <v>299</v>
      </c>
    </row>
    <row r="908">
      <c r="A908" s="19"/>
      <c r="B908" s="8" t="s">
        <v>299</v>
      </c>
      <c r="C908" s="8" t="s">
        <v>299</v>
      </c>
      <c r="D908" s="8" t="s">
        <v>299</v>
      </c>
      <c r="E908" s="8" t="s">
        <v>299</v>
      </c>
      <c r="F908" s="8" t="s">
        <v>299</v>
      </c>
      <c r="G908" s="8" t="s">
        <v>299</v>
      </c>
      <c r="H908" s="8" t="s">
        <v>299</v>
      </c>
    </row>
    <row r="909">
      <c r="A909" s="19"/>
      <c r="B909" s="8" t="s">
        <v>299</v>
      </c>
      <c r="C909" s="8" t="s">
        <v>299</v>
      </c>
      <c r="D909" s="8" t="s">
        <v>299</v>
      </c>
      <c r="E909" s="8" t="s">
        <v>299</v>
      </c>
      <c r="F909" s="8" t="s">
        <v>299</v>
      </c>
      <c r="G909" s="8" t="s">
        <v>299</v>
      </c>
      <c r="H909" s="8" t="s">
        <v>299</v>
      </c>
    </row>
    <row r="910">
      <c r="A910" s="19"/>
      <c r="B910" s="8" t="s">
        <v>299</v>
      </c>
      <c r="C910" s="8" t="s">
        <v>299</v>
      </c>
      <c r="D910" s="8" t="s">
        <v>299</v>
      </c>
      <c r="E910" s="8" t="s">
        <v>299</v>
      </c>
      <c r="F910" s="8" t="s">
        <v>299</v>
      </c>
      <c r="G910" s="8" t="s">
        <v>299</v>
      </c>
      <c r="H910" s="8" t="s">
        <v>299</v>
      </c>
    </row>
    <row r="911">
      <c r="A911" s="19"/>
      <c r="B911" s="8" t="s">
        <v>299</v>
      </c>
      <c r="C911" s="8" t="s">
        <v>299</v>
      </c>
      <c r="D911" s="8" t="s">
        <v>299</v>
      </c>
      <c r="E911" s="8" t="s">
        <v>299</v>
      </c>
      <c r="F911" s="8" t="s">
        <v>299</v>
      </c>
      <c r="G911" s="8" t="s">
        <v>299</v>
      </c>
      <c r="H911" s="8" t="s">
        <v>299</v>
      </c>
    </row>
    <row r="912">
      <c r="A912" s="19"/>
      <c r="B912" s="8" t="s">
        <v>299</v>
      </c>
      <c r="C912" s="8" t="s">
        <v>299</v>
      </c>
      <c r="D912" s="8" t="s">
        <v>299</v>
      </c>
      <c r="E912" s="8" t="s">
        <v>299</v>
      </c>
      <c r="F912" s="8" t="s">
        <v>299</v>
      </c>
      <c r="G912" s="8" t="s">
        <v>299</v>
      </c>
      <c r="H912" s="8" t="s">
        <v>299</v>
      </c>
    </row>
    <row r="913">
      <c r="A913" s="19"/>
      <c r="B913" s="8" t="s">
        <v>299</v>
      </c>
      <c r="C913" s="8" t="s">
        <v>299</v>
      </c>
      <c r="D913" s="8" t="s">
        <v>299</v>
      </c>
      <c r="E913" s="8" t="s">
        <v>299</v>
      </c>
      <c r="F913" s="8" t="s">
        <v>299</v>
      </c>
      <c r="G913" s="8" t="s">
        <v>299</v>
      </c>
      <c r="H913" s="8" t="s">
        <v>299</v>
      </c>
    </row>
    <row r="914">
      <c r="A914" s="19"/>
      <c r="B914" s="8" t="s">
        <v>299</v>
      </c>
      <c r="C914" s="8" t="s">
        <v>299</v>
      </c>
      <c r="D914" s="8" t="s">
        <v>299</v>
      </c>
      <c r="E914" s="8" t="s">
        <v>299</v>
      </c>
      <c r="F914" s="8" t="s">
        <v>299</v>
      </c>
      <c r="G914" s="8" t="s">
        <v>299</v>
      </c>
      <c r="H914" s="8" t="s">
        <v>299</v>
      </c>
    </row>
    <row r="915">
      <c r="A915" s="19"/>
      <c r="B915" s="8" t="s">
        <v>299</v>
      </c>
      <c r="C915" s="8" t="s">
        <v>299</v>
      </c>
      <c r="D915" s="8" t="s">
        <v>299</v>
      </c>
      <c r="E915" s="8" t="s">
        <v>299</v>
      </c>
      <c r="F915" s="8" t="s">
        <v>299</v>
      </c>
      <c r="G915" s="8" t="s">
        <v>299</v>
      </c>
      <c r="H915" s="8" t="s">
        <v>299</v>
      </c>
    </row>
    <row r="916">
      <c r="A916" s="19"/>
      <c r="B916" s="8" t="s">
        <v>299</v>
      </c>
      <c r="C916" s="8" t="s">
        <v>299</v>
      </c>
      <c r="D916" s="8" t="s">
        <v>299</v>
      </c>
      <c r="E916" s="8" t="s">
        <v>299</v>
      </c>
      <c r="F916" s="8" t="s">
        <v>299</v>
      </c>
      <c r="G916" s="8" t="s">
        <v>299</v>
      </c>
      <c r="H916" s="8" t="s">
        <v>299</v>
      </c>
    </row>
    <row r="917">
      <c r="A917" s="19"/>
      <c r="B917" s="8" t="s">
        <v>299</v>
      </c>
      <c r="C917" s="8" t="s">
        <v>299</v>
      </c>
      <c r="D917" s="8" t="s">
        <v>299</v>
      </c>
      <c r="E917" s="8" t="s">
        <v>299</v>
      </c>
      <c r="F917" s="8" t="s">
        <v>299</v>
      </c>
      <c r="G917" s="8" t="s">
        <v>299</v>
      </c>
      <c r="H917" s="8" t="s">
        <v>299</v>
      </c>
    </row>
    <row r="918">
      <c r="A918" s="19"/>
      <c r="B918" s="8" t="s">
        <v>299</v>
      </c>
      <c r="C918" s="8" t="s">
        <v>299</v>
      </c>
      <c r="D918" s="8" t="s">
        <v>299</v>
      </c>
      <c r="E918" s="8" t="s">
        <v>299</v>
      </c>
      <c r="F918" s="8" t="s">
        <v>299</v>
      </c>
      <c r="G918" s="8" t="s">
        <v>299</v>
      </c>
      <c r="H918" s="8" t="s">
        <v>299</v>
      </c>
    </row>
    <row r="919">
      <c r="A919" s="19"/>
      <c r="B919" s="8" t="s">
        <v>299</v>
      </c>
      <c r="C919" s="8" t="s">
        <v>299</v>
      </c>
      <c r="D919" s="8" t="s">
        <v>299</v>
      </c>
      <c r="E919" s="8" t="s">
        <v>299</v>
      </c>
      <c r="F919" s="8" t="s">
        <v>299</v>
      </c>
      <c r="G919" s="8" t="s">
        <v>299</v>
      </c>
      <c r="H919" s="8" t="s">
        <v>299</v>
      </c>
    </row>
    <row r="920">
      <c r="A920" s="19"/>
      <c r="B920" s="8" t="s">
        <v>299</v>
      </c>
      <c r="C920" s="8" t="s">
        <v>299</v>
      </c>
      <c r="D920" s="8" t="s">
        <v>299</v>
      </c>
      <c r="E920" s="8" t="s">
        <v>299</v>
      </c>
      <c r="F920" s="8" t="s">
        <v>299</v>
      </c>
      <c r="G920" s="8" t="s">
        <v>299</v>
      </c>
      <c r="H920" s="8" t="s">
        <v>299</v>
      </c>
    </row>
    <row r="921">
      <c r="A921" s="19"/>
      <c r="B921" s="8" t="s">
        <v>299</v>
      </c>
      <c r="C921" s="8" t="s">
        <v>299</v>
      </c>
      <c r="D921" s="8" t="s">
        <v>299</v>
      </c>
      <c r="E921" s="8" t="s">
        <v>299</v>
      </c>
      <c r="F921" s="8" t="s">
        <v>299</v>
      </c>
      <c r="G921" s="8" t="s">
        <v>299</v>
      </c>
      <c r="H921" s="8" t="s">
        <v>299</v>
      </c>
    </row>
    <row r="922">
      <c r="A922" s="19"/>
      <c r="B922" s="8" t="s">
        <v>299</v>
      </c>
      <c r="C922" s="8" t="s">
        <v>299</v>
      </c>
      <c r="D922" s="8" t="s">
        <v>299</v>
      </c>
      <c r="E922" s="8" t="s">
        <v>299</v>
      </c>
      <c r="F922" s="8" t="s">
        <v>299</v>
      </c>
      <c r="G922" s="8" t="s">
        <v>299</v>
      </c>
      <c r="H922" s="8" t="s">
        <v>299</v>
      </c>
    </row>
    <row r="923">
      <c r="A923" s="19"/>
      <c r="B923" s="8" t="s">
        <v>299</v>
      </c>
      <c r="C923" s="8" t="s">
        <v>299</v>
      </c>
      <c r="D923" s="8" t="s">
        <v>299</v>
      </c>
      <c r="E923" s="8" t="s">
        <v>299</v>
      </c>
      <c r="F923" s="8" t="s">
        <v>299</v>
      </c>
      <c r="G923" s="8" t="s">
        <v>299</v>
      </c>
      <c r="H923" s="8" t="s">
        <v>299</v>
      </c>
    </row>
    <row r="924">
      <c r="A924" s="19"/>
      <c r="B924" s="8" t="s">
        <v>299</v>
      </c>
      <c r="C924" s="8" t="s">
        <v>299</v>
      </c>
      <c r="D924" s="8" t="s">
        <v>299</v>
      </c>
      <c r="E924" s="8" t="s">
        <v>299</v>
      </c>
      <c r="F924" s="8" t="s">
        <v>299</v>
      </c>
      <c r="G924" s="8" t="s">
        <v>299</v>
      </c>
      <c r="H924" s="8" t="s">
        <v>299</v>
      </c>
    </row>
    <row r="925">
      <c r="A925" s="19"/>
      <c r="B925" s="8" t="s">
        <v>299</v>
      </c>
      <c r="C925" s="8" t="s">
        <v>299</v>
      </c>
      <c r="D925" s="8" t="s">
        <v>299</v>
      </c>
      <c r="E925" s="8" t="s">
        <v>299</v>
      </c>
      <c r="F925" s="8" t="s">
        <v>299</v>
      </c>
      <c r="G925" s="8" t="s">
        <v>299</v>
      </c>
      <c r="H925" s="8" t="s">
        <v>299</v>
      </c>
    </row>
    <row r="926">
      <c r="A926" s="19"/>
      <c r="B926" s="8" t="s">
        <v>299</v>
      </c>
      <c r="C926" s="8" t="s">
        <v>299</v>
      </c>
      <c r="D926" s="8" t="s">
        <v>299</v>
      </c>
      <c r="E926" s="8" t="s">
        <v>299</v>
      </c>
      <c r="F926" s="8" t="s">
        <v>299</v>
      </c>
      <c r="G926" s="8" t="s">
        <v>299</v>
      </c>
      <c r="H926" s="8" t="s">
        <v>299</v>
      </c>
    </row>
    <row r="927">
      <c r="A927" s="19"/>
      <c r="B927" s="8" t="s">
        <v>299</v>
      </c>
      <c r="C927" s="8" t="s">
        <v>299</v>
      </c>
      <c r="D927" s="8" t="s">
        <v>299</v>
      </c>
      <c r="E927" s="8" t="s">
        <v>299</v>
      </c>
      <c r="F927" s="8" t="s">
        <v>299</v>
      </c>
      <c r="G927" s="8" t="s">
        <v>299</v>
      </c>
      <c r="H927" s="8" t="s">
        <v>299</v>
      </c>
    </row>
    <row r="928">
      <c r="A928" s="19"/>
      <c r="B928" s="8" t="s">
        <v>299</v>
      </c>
      <c r="C928" s="8" t="s">
        <v>299</v>
      </c>
      <c r="D928" s="8" t="s">
        <v>299</v>
      </c>
      <c r="E928" s="8" t="s">
        <v>299</v>
      </c>
      <c r="F928" s="8" t="s">
        <v>299</v>
      </c>
      <c r="G928" s="8" t="s">
        <v>299</v>
      </c>
      <c r="H928" s="8" t="s">
        <v>299</v>
      </c>
    </row>
    <row r="929">
      <c r="A929" s="19"/>
      <c r="B929" s="8" t="s">
        <v>299</v>
      </c>
      <c r="C929" s="8" t="s">
        <v>299</v>
      </c>
      <c r="D929" s="8" t="s">
        <v>299</v>
      </c>
      <c r="E929" s="8" t="s">
        <v>299</v>
      </c>
      <c r="F929" s="8" t="s">
        <v>299</v>
      </c>
      <c r="G929" s="8" t="s">
        <v>299</v>
      </c>
      <c r="H929" s="8" t="s">
        <v>299</v>
      </c>
    </row>
    <row r="930">
      <c r="A930" s="19"/>
      <c r="B930" s="8" t="s">
        <v>299</v>
      </c>
      <c r="C930" s="8" t="s">
        <v>299</v>
      </c>
      <c r="D930" s="8" t="s">
        <v>299</v>
      </c>
      <c r="E930" s="8" t="s">
        <v>299</v>
      </c>
      <c r="F930" s="8" t="s">
        <v>299</v>
      </c>
      <c r="G930" s="8" t="s">
        <v>299</v>
      </c>
      <c r="H930" s="8" t="s">
        <v>299</v>
      </c>
    </row>
    <row r="931">
      <c r="A931" s="19"/>
      <c r="B931" s="8" t="s">
        <v>299</v>
      </c>
      <c r="C931" s="8" t="s">
        <v>299</v>
      </c>
      <c r="D931" s="8" t="s">
        <v>299</v>
      </c>
      <c r="E931" s="8" t="s">
        <v>299</v>
      </c>
      <c r="F931" s="8" t="s">
        <v>299</v>
      </c>
      <c r="G931" s="8" t="s">
        <v>299</v>
      </c>
      <c r="H931" s="8" t="s">
        <v>299</v>
      </c>
    </row>
    <row r="932">
      <c r="A932" s="19"/>
      <c r="B932" s="8" t="s">
        <v>299</v>
      </c>
      <c r="C932" s="8" t="s">
        <v>299</v>
      </c>
      <c r="D932" s="8" t="s">
        <v>299</v>
      </c>
      <c r="E932" s="8" t="s">
        <v>299</v>
      </c>
      <c r="F932" s="8" t="s">
        <v>299</v>
      </c>
      <c r="G932" s="8" t="s">
        <v>299</v>
      </c>
      <c r="H932" s="8" t="s">
        <v>299</v>
      </c>
    </row>
    <row r="933">
      <c r="A933" s="19"/>
      <c r="B933" s="8" t="s">
        <v>299</v>
      </c>
      <c r="C933" s="8" t="s">
        <v>299</v>
      </c>
      <c r="D933" s="8" t="s">
        <v>299</v>
      </c>
      <c r="E933" s="8" t="s">
        <v>299</v>
      </c>
      <c r="F933" s="8" t="s">
        <v>299</v>
      </c>
      <c r="G933" s="8" t="s">
        <v>299</v>
      </c>
      <c r="H933" s="8" t="s">
        <v>299</v>
      </c>
    </row>
    <row r="934">
      <c r="A934" s="19"/>
      <c r="B934" s="8" t="s">
        <v>299</v>
      </c>
      <c r="C934" s="8" t="s">
        <v>299</v>
      </c>
      <c r="D934" s="8" t="s">
        <v>299</v>
      </c>
      <c r="E934" s="8" t="s">
        <v>299</v>
      </c>
      <c r="F934" s="8" t="s">
        <v>299</v>
      </c>
      <c r="G934" s="8" t="s">
        <v>299</v>
      </c>
      <c r="H934" s="8" t="s">
        <v>299</v>
      </c>
    </row>
    <row r="935">
      <c r="A935" s="19"/>
      <c r="B935" s="8" t="s">
        <v>299</v>
      </c>
      <c r="C935" s="8" t="s">
        <v>299</v>
      </c>
      <c r="D935" s="8" t="s">
        <v>299</v>
      </c>
      <c r="E935" s="8" t="s">
        <v>299</v>
      </c>
      <c r="F935" s="8" t="s">
        <v>299</v>
      </c>
      <c r="G935" s="8" t="s">
        <v>299</v>
      </c>
      <c r="H935" s="8" t="s">
        <v>299</v>
      </c>
    </row>
    <row r="936">
      <c r="A936" s="19"/>
      <c r="B936" s="8" t="s">
        <v>299</v>
      </c>
      <c r="C936" s="8" t="s">
        <v>299</v>
      </c>
      <c r="D936" s="8" t="s">
        <v>299</v>
      </c>
      <c r="E936" s="8" t="s">
        <v>299</v>
      </c>
      <c r="F936" s="8" t="s">
        <v>299</v>
      </c>
      <c r="G936" s="8" t="s">
        <v>299</v>
      </c>
      <c r="H936" s="8" t="s">
        <v>299</v>
      </c>
    </row>
    <row r="937">
      <c r="A937" s="19"/>
      <c r="B937" s="8" t="s">
        <v>299</v>
      </c>
      <c r="C937" s="8" t="s">
        <v>299</v>
      </c>
      <c r="D937" s="8" t="s">
        <v>299</v>
      </c>
      <c r="E937" s="8" t="s">
        <v>299</v>
      </c>
      <c r="F937" s="8" t="s">
        <v>299</v>
      </c>
      <c r="G937" s="8" t="s">
        <v>299</v>
      </c>
      <c r="H937" s="8" t="s">
        <v>299</v>
      </c>
    </row>
    <row r="938">
      <c r="A938" s="19"/>
      <c r="B938" s="8" t="s">
        <v>299</v>
      </c>
      <c r="C938" s="8" t="s">
        <v>299</v>
      </c>
      <c r="D938" s="8" t="s">
        <v>299</v>
      </c>
      <c r="E938" s="8" t="s">
        <v>299</v>
      </c>
      <c r="F938" s="8" t="s">
        <v>299</v>
      </c>
      <c r="G938" s="8" t="s">
        <v>299</v>
      </c>
      <c r="H938" s="8" t="s">
        <v>299</v>
      </c>
    </row>
    <row r="939">
      <c r="A939" s="19"/>
      <c r="B939" s="8" t="s">
        <v>299</v>
      </c>
      <c r="C939" s="8" t="s">
        <v>299</v>
      </c>
      <c r="D939" s="8" t="s">
        <v>299</v>
      </c>
      <c r="E939" s="8" t="s">
        <v>299</v>
      </c>
      <c r="F939" s="8" t="s">
        <v>299</v>
      </c>
      <c r="G939" s="8" t="s">
        <v>299</v>
      </c>
      <c r="H939" s="8" t="s">
        <v>299</v>
      </c>
    </row>
    <row r="940">
      <c r="A940" s="19"/>
      <c r="B940" s="8" t="s">
        <v>299</v>
      </c>
      <c r="C940" s="8" t="s">
        <v>299</v>
      </c>
      <c r="D940" s="8" t="s">
        <v>299</v>
      </c>
      <c r="E940" s="8" t="s">
        <v>299</v>
      </c>
      <c r="F940" s="8" t="s">
        <v>299</v>
      </c>
      <c r="G940" s="8" t="s">
        <v>299</v>
      </c>
      <c r="H940" s="8" t="s">
        <v>299</v>
      </c>
    </row>
    <row r="941">
      <c r="A941" s="19"/>
      <c r="B941" s="8" t="s">
        <v>299</v>
      </c>
      <c r="C941" s="8" t="s">
        <v>299</v>
      </c>
      <c r="D941" s="8" t="s">
        <v>299</v>
      </c>
      <c r="E941" s="8" t="s">
        <v>299</v>
      </c>
      <c r="F941" s="8" t="s">
        <v>299</v>
      </c>
      <c r="G941" s="8" t="s">
        <v>299</v>
      </c>
      <c r="H941" s="8" t="s">
        <v>299</v>
      </c>
    </row>
    <row r="942">
      <c r="A942" s="19"/>
      <c r="B942" s="8" t="s">
        <v>299</v>
      </c>
      <c r="C942" s="8" t="s">
        <v>299</v>
      </c>
      <c r="D942" s="8" t="s">
        <v>299</v>
      </c>
      <c r="E942" s="8" t="s">
        <v>299</v>
      </c>
      <c r="F942" s="8" t="s">
        <v>299</v>
      </c>
      <c r="G942" s="8" t="s">
        <v>299</v>
      </c>
      <c r="H942" s="8" t="s">
        <v>299</v>
      </c>
    </row>
    <row r="943">
      <c r="A943" s="19"/>
      <c r="B943" s="8" t="s">
        <v>299</v>
      </c>
      <c r="C943" s="8" t="s">
        <v>299</v>
      </c>
      <c r="D943" s="8" t="s">
        <v>299</v>
      </c>
      <c r="E943" s="8" t="s">
        <v>299</v>
      </c>
      <c r="F943" s="8" t="s">
        <v>299</v>
      </c>
      <c r="G943" s="8" t="s">
        <v>299</v>
      </c>
      <c r="H943" s="8" t="s">
        <v>299</v>
      </c>
    </row>
    <row r="944">
      <c r="A944" s="19"/>
      <c r="B944" s="8" t="s">
        <v>299</v>
      </c>
      <c r="C944" s="8" t="s">
        <v>299</v>
      </c>
      <c r="D944" s="8" t="s">
        <v>299</v>
      </c>
      <c r="E944" s="8" t="s">
        <v>299</v>
      </c>
      <c r="F944" s="8" t="s">
        <v>299</v>
      </c>
      <c r="G944" s="8" t="s">
        <v>299</v>
      </c>
      <c r="H944" s="8" t="s">
        <v>299</v>
      </c>
    </row>
    <row r="945">
      <c r="A945" s="19"/>
      <c r="B945" s="8" t="s">
        <v>299</v>
      </c>
      <c r="C945" s="8" t="s">
        <v>299</v>
      </c>
      <c r="D945" s="8" t="s">
        <v>299</v>
      </c>
      <c r="E945" s="8" t="s">
        <v>299</v>
      </c>
      <c r="F945" s="8" t="s">
        <v>299</v>
      </c>
      <c r="G945" s="8" t="s">
        <v>299</v>
      </c>
      <c r="H945" s="8" t="s">
        <v>299</v>
      </c>
    </row>
    <row r="946">
      <c r="A946" s="19"/>
      <c r="B946" s="8" t="s">
        <v>299</v>
      </c>
      <c r="C946" s="8" t="s">
        <v>299</v>
      </c>
      <c r="D946" s="8" t="s">
        <v>299</v>
      </c>
      <c r="E946" s="8" t="s">
        <v>299</v>
      </c>
      <c r="F946" s="8" t="s">
        <v>299</v>
      </c>
      <c r="G946" s="8" t="s">
        <v>299</v>
      </c>
      <c r="H946" s="8" t="s">
        <v>299</v>
      </c>
    </row>
    <row r="947">
      <c r="A947" s="19"/>
      <c r="B947" s="8" t="s">
        <v>299</v>
      </c>
      <c r="C947" s="8" t="s">
        <v>299</v>
      </c>
      <c r="D947" s="8" t="s">
        <v>299</v>
      </c>
      <c r="E947" s="8" t="s">
        <v>299</v>
      </c>
      <c r="F947" s="8" t="s">
        <v>299</v>
      </c>
      <c r="G947" s="8" t="s">
        <v>299</v>
      </c>
      <c r="H947" s="8" t="s">
        <v>299</v>
      </c>
    </row>
    <row r="948">
      <c r="A948" s="19"/>
      <c r="B948" s="8" t="s">
        <v>299</v>
      </c>
      <c r="C948" s="8" t="s">
        <v>299</v>
      </c>
      <c r="D948" s="8" t="s">
        <v>299</v>
      </c>
      <c r="E948" s="8" t="s">
        <v>299</v>
      </c>
      <c r="F948" s="8" t="s">
        <v>299</v>
      </c>
      <c r="G948" s="8" t="s">
        <v>299</v>
      </c>
      <c r="H948" s="8" t="s">
        <v>299</v>
      </c>
    </row>
    <row r="949">
      <c r="A949" s="19"/>
      <c r="B949" s="8" t="s">
        <v>299</v>
      </c>
      <c r="C949" s="8" t="s">
        <v>299</v>
      </c>
      <c r="D949" s="8" t="s">
        <v>299</v>
      </c>
      <c r="E949" s="8" t="s">
        <v>299</v>
      </c>
      <c r="F949" s="8" t="s">
        <v>299</v>
      </c>
      <c r="G949" s="8" t="s">
        <v>299</v>
      </c>
      <c r="H949" s="8" t="s">
        <v>299</v>
      </c>
    </row>
    <row r="950">
      <c r="A950" s="19"/>
      <c r="B950" s="8" t="s">
        <v>299</v>
      </c>
      <c r="C950" s="8" t="s">
        <v>299</v>
      </c>
      <c r="D950" s="8" t="s">
        <v>299</v>
      </c>
      <c r="E950" s="8" t="s">
        <v>299</v>
      </c>
      <c r="F950" s="8" t="s">
        <v>299</v>
      </c>
      <c r="G950" s="8" t="s">
        <v>299</v>
      </c>
      <c r="H950" s="8" t="s">
        <v>299</v>
      </c>
    </row>
    <row r="951">
      <c r="A951" s="19"/>
      <c r="B951" s="8" t="s">
        <v>299</v>
      </c>
      <c r="C951" s="8" t="s">
        <v>299</v>
      </c>
      <c r="D951" s="8" t="s">
        <v>299</v>
      </c>
      <c r="E951" s="8" t="s">
        <v>299</v>
      </c>
      <c r="F951" s="8" t="s">
        <v>299</v>
      </c>
      <c r="G951" s="8" t="s">
        <v>299</v>
      </c>
      <c r="H951" s="8" t="s">
        <v>299</v>
      </c>
    </row>
    <row r="952">
      <c r="A952" s="19"/>
      <c r="B952" s="8" t="s">
        <v>299</v>
      </c>
      <c r="C952" s="8" t="s">
        <v>299</v>
      </c>
      <c r="D952" s="8" t="s">
        <v>299</v>
      </c>
      <c r="E952" s="8" t="s">
        <v>299</v>
      </c>
      <c r="F952" s="8" t="s">
        <v>299</v>
      </c>
      <c r="G952" s="8" t="s">
        <v>299</v>
      </c>
      <c r="H952" s="8" t="s">
        <v>299</v>
      </c>
    </row>
    <row r="953">
      <c r="A953" s="19"/>
      <c r="B953" s="8" t="s">
        <v>299</v>
      </c>
      <c r="C953" s="8" t="s">
        <v>299</v>
      </c>
      <c r="D953" s="8" t="s">
        <v>299</v>
      </c>
      <c r="E953" s="8" t="s">
        <v>299</v>
      </c>
      <c r="F953" s="8" t="s">
        <v>299</v>
      </c>
      <c r="G953" s="8" t="s">
        <v>299</v>
      </c>
      <c r="H953" s="8" t="s">
        <v>299</v>
      </c>
    </row>
    <row r="954">
      <c r="A954" s="19"/>
      <c r="B954" s="8" t="s">
        <v>299</v>
      </c>
      <c r="C954" s="8" t="s">
        <v>299</v>
      </c>
      <c r="D954" s="8" t="s">
        <v>299</v>
      </c>
      <c r="E954" s="8" t="s">
        <v>299</v>
      </c>
      <c r="F954" s="8" t="s">
        <v>299</v>
      </c>
      <c r="G954" s="8" t="s">
        <v>299</v>
      </c>
      <c r="H954" s="8" t="s">
        <v>299</v>
      </c>
    </row>
    <row r="955">
      <c r="A955" s="19"/>
      <c r="B955" s="8" t="s">
        <v>299</v>
      </c>
      <c r="C955" s="8" t="s">
        <v>299</v>
      </c>
      <c r="D955" s="8" t="s">
        <v>299</v>
      </c>
      <c r="E955" s="8" t="s">
        <v>299</v>
      </c>
      <c r="F955" s="8" t="s">
        <v>299</v>
      </c>
      <c r="G955" s="8" t="s">
        <v>299</v>
      </c>
      <c r="H955" s="8" t="s">
        <v>299</v>
      </c>
    </row>
    <row r="956">
      <c r="A956" s="19"/>
      <c r="B956" s="8" t="s">
        <v>299</v>
      </c>
      <c r="C956" s="8" t="s">
        <v>299</v>
      </c>
      <c r="D956" s="8" t="s">
        <v>299</v>
      </c>
      <c r="E956" s="8" t="s">
        <v>299</v>
      </c>
      <c r="F956" s="8" t="s">
        <v>299</v>
      </c>
      <c r="G956" s="8" t="s">
        <v>299</v>
      </c>
      <c r="H956" s="8" t="s">
        <v>299</v>
      </c>
    </row>
    <row r="957">
      <c r="A957" s="19"/>
      <c r="B957" s="8" t="s">
        <v>299</v>
      </c>
      <c r="C957" s="8" t="s">
        <v>299</v>
      </c>
      <c r="D957" s="8" t="s">
        <v>299</v>
      </c>
      <c r="E957" s="8" t="s">
        <v>299</v>
      </c>
      <c r="F957" s="8" t="s">
        <v>299</v>
      </c>
      <c r="G957" s="8" t="s">
        <v>299</v>
      </c>
      <c r="H957" s="8" t="s">
        <v>299</v>
      </c>
    </row>
    <row r="958">
      <c r="A958" s="19"/>
      <c r="B958" s="8" t="s">
        <v>299</v>
      </c>
      <c r="C958" s="8" t="s">
        <v>299</v>
      </c>
      <c r="D958" s="8" t="s">
        <v>299</v>
      </c>
      <c r="E958" s="8" t="s">
        <v>299</v>
      </c>
      <c r="F958" s="8" t="s">
        <v>299</v>
      </c>
      <c r="G958" s="8" t="s">
        <v>299</v>
      </c>
      <c r="H958" s="8" t="s">
        <v>299</v>
      </c>
    </row>
    <row r="959">
      <c r="A959" s="19"/>
      <c r="B959" s="8" t="s">
        <v>299</v>
      </c>
      <c r="C959" s="8" t="s">
        <v>299</v>
      </c>
      <c r="D959" s="8" t="s">
        <v>299</v>
      </c>
      <c r="E959" s="8" t="s">
        <v>299</v>
      </c>
      <c r="F959" s="8" t="s">
        <v>299</v>
      </c>
      <c r="G959" s="8" t="s">
        <v>299</v>
      </c>
      <c r="H959" s="8" t="s">
        <v>299</v>
      </c>
    </row>
    <row r="960">
      <c r="A960" s="19"/>
      <c r="B960" s="8" t="s">
        <v>299</v>
      </c>
      <c r="C960" s="8" t="s">
        <v>299</v>
      </c>
      <c r="D960" s="8" t="s">
        <v>299</v>
      </c>
      <c r="E960" s="8" t="s">
        <v>299</v>
      </c>
      <c r="F960" s="8" t="s">
        <v>299</v>
      </c>
      <c r="G960" s="8" t="s">
        <v>299</v>
      </c>
      <c r="H960" s="8" t="s">
        <v>299</v>
      </c>
    </row>
    <row r="961">
      <c r="A961" s="19"/>
      <c r="B961" s="8" t="s">
        <v>299</v>
      </c>
      <c r="C961" s="8" t="s">
        <v>299</v>
      </c>
      <c r="D961" s="8" t="s">
        <v>299</v>
      </c>
      <c r="E961" s="8" t="s">
        <v>299</v>
      </c>
      <c r="F961" s="8" t="s">
        <v>299</v>
      </c>
      <c r="G961" s="8" t="s">
        <v>299</v>
      </c>
      <c r="H961" s="8" t="s">
        <v>299</v>
      </c>
    </row>
    <row r="962">
      <c r="A962" s="19"/>
      <c r="B962" s="8" t="s">
        <v>299</v>
      </c>
      <c r="C962" s="8" t="s">
        <v>299</v>
      </c>
      <c r="D962" s="8" t="s">
        <v>299</v>
      </c>
      <c r="E962" s="8" t="s">
        <v>299</v>
      </c>
      <c r="F962" s="8" t="s">
        <v>299</v>
      </c>
      <c r="G962" s="8" t="s">
        <v>299</v>
      </c>
      <c r="H962" s="8" t="s">
        <v>299</v>
      </c>
    </row>
    <row r="963">
      <c r="A963" s="19"/>
      <c r="B963" s="8" t="s">
        <v>299</v>
      </c>
      <c r="C963" s="8" t="s">
        <v>299</v>
      </c>
      <c r="D963" s="8" t="s">
        <v>299</v>
      </c>
      <c r="E963" s="8" t="s">
        <v>299</v>
      </c>
      <c r="F963" s="8" t="s">
        <v>299</v>
      </c>
      <c r="G963" s="8" t="s">
        <v>299</v>
      </c>
      <c r="H963" s="8" t="s">
        <v>299</v>
      </c>
    </row>
    <row r="964">
      <c r="A964" s="19"/>
      <c r="B964" s="8" t="s">
        <v>299</v>
      </c>
      <c r="C964" s="8" t="s">
        <v>299</v>
      </c>
      <c r="D964" s="8" t="s">
        <v>299</v>
      </c>
      <c r="E964" s="8" t="s">
        <v>299</v>
      </c>
      <c r="F964" s="8" t="s">
        <v>299</v>
      </c>
      <c r="G964" s="8" t="s">
        <v>299</v>
      </c>
      <c r="H964" s="8" t="s">
        <v>299</v>
      </c>
    </row>
    <row r="965">
      <c r="A965" s="19"/>
      <c r="B965" s="8" t="s">
        <v>299</v>
      </c>
      <c r="C965" s="8" t="s">
        <v>299</v>
      </c>
      <c r="D965" s="8" t="s">
        <v>299</v>
      </c>
      <c r="E965" s="8" t="s">
        <v>299</v>
      </c>
      <c r="F965" s="8" t="s">
        <v>299</v>
      </c>
      <c r="G965" s="8" t="s">
        <v>299</v>
      </c>
      <c r="H965" s="8" t="s">
        <v>299</v>
      </c>
    </row>
    <row r="966">
      <c r="A966" s="19"/>
      <c r="B966" s="8" t="s">
        <v>299</v>
      </c>
      <c r="C966" s="8" t="s">
        <v>299</v>
      </c>
      <c r="D966" s="8" t="s">
        <v>299</v>
      </c>
      <c r="E966" s="8" t="s">
        <v>299</v>
      </c>
      <c r="F966" s="8" t="s">
        <v>299</v>
      </c>
      <c r="G966" s="8" t="s">
        <v>299</v>
      </c>
      <c r="H966" s="8" t="s">
        <v>299</v>
      </c>
    </row>
    <row r="967">
      <c r="A967" s="19"/>
      <c r="B967" s="8" t="s">
        <v>299</v>
      </c>
      <c r="C967" s="8" t="s">
        <v>299</v>
      </c>
      <c r="D967" s="8" t="s">
        <v>299</v>
      </c>
      <c r="E967" s="8" t="s">
        <v>299</v>
      </c>
      <c r="F967" s="8" t="s">
        <v>299</v>
      </c>
      <c r="G967" s="8" t="s">
        <v>299</v>
      </c>
      <c r="H967" s="8" t="s">
        <v>299</v>
      </c>
    </row>
    <row r="968">
      <c r="A968" s="19"/>
      <c r="B968" s="8" t="s">
        <v>299</v>
      </c>
      <c r="C968" s="8" t="s">
        <v>299</v>
      </c>
      <c r="D968" s="8" t="s">
        <v>299</v>
      </c>
      <c r="E968" s="8" t="s">
        <v>299</v>
      </c>
      <c r="F968" s="8" t="s">
        <v>299</v>
      </c>
      <c r="G968" s="8" t="s">
        <v>299</v>
      </c>
      <c r="H968" s="8" t="s">
        <v>299</v>
      </c>
    </row>
    <row r="969">
      <c r="A969" s="19"/>
      <c r="B969" s="8" t="s">
        <v>299</v>
      </c>
      <c r="C969" s="8" t="s">
        <v>299</v>
      </c>
      <c r="D969" s="8" t="s">
        <v>299</v>
      </c>
      <c r="E969" s="8" t="s">
        <v>299</v>
      </c>
      <c r="F969" s="8" t="s">
        <v>299</v>
      </c>
      <c r="G969" s="8" t="s">
        <v>299</v>
      </c>
      <c r="H969" s="8" t="s">
        <v>299</v>
      </c>
    </row>
    <row r="970">
      <c r="A970" s="19"/>
      <c r="B970" s="8" t="s">
        <v>299</v>
      </c>
      <c r="C970" s="8" t="s">
        <v>299</v>
      </c>
      <c r="D970" s="8" t="s">
        <v>299</v>
      </c>
      <c r="E970" s="8" t="s">
        <v>299</v>
      </c>
      <c r="F970" s="8" t="s">
        <v>299</v>
      </c>
      <c r="G970" s="8" t="s">
        <v>299</v>
      </c>
      <c r="H970" s="8" t="s">
        <v>299</v>
      </c>
    </row>
    <row r="971">
      <c r="A971" s="19"/>
      <c r="B971" s="8" t="s">
        <v>299</v>
      </c>
      <c r="C971" s="8" t="s">
        <v>299</v>
      </c>
      <c r="D971" s="8" t="s">
        <v>299</v>
      </c>
      <c r="E971" s="8" t="s">
        <v>299</v>
      </c>
      <c r="F971" s="8" t="s">
        <v>299</v>
      </c>
      <c r="G971" s="8" t="s">
        <v>299</v>
      </c>
      <c r="H971" s="8" t="s">
        <v>299</v>
      </c>
    </row>
    <row r="972">
      <c r="A972" s="19"/>
      <c r="B972" s="8" t="s">
        <v>299</v>
      </c>
      <c r="C972" s="8" t="s">
        <v>299</v>
      </c>
      <c r="D972" s="8" t="s">
        <v>299</v>
      </c>
      <c r="E972" s="8" t="s">
        <v>299</v>
      </c>
      <c r="F972" s="8" t="s">
        <v>299</v>
      </c>
      <c r="G972" s="8" t="s">
        <v>299</v>
      </c>
      <c r="H972" s="8" t="s">
        <v>299</v>
      </c>
    </row>
    <row r="973">
      <c r="A973" s="19"/>
      <c r="B973" s="8" t="s">
        <v>299</v>
      </c>
      <c r="C973" s="8" t="s">
        <v>299</v>
      </c>
      <c r="D973" s="8" t="s">
        <v>299</v>
      </c>
      <c r="E973" s="8" t="s">
        <v>299</v>
      </c>
      <c r="F973" s="8" t="s">
        <v>299</v>
      </c>
      <c r="G973" s="8" t="s">
        <v>299</v>
      </c>
      <c r="H973" s="8" t="s">
        <v>299</v>
      </c>
    </row>
    <row r="974">
      <c r="A974" s="19"/>
      <c r="B974" s="8" t="s">
        <v>299</v>
      </c>
      <c r="C974" s="8" t="s">
        <v>299</v>
      </c>
      <c r="D974" s="8" t="s">
        <v>299</v>
      </c>
      <c r="E974" s="8" t="s">
        <v>299</v>
      </c>
      <c r="F974" s="8" t="s">
        <v>299</v>
      </c>
      <c r="G974" s="8" t="s">
        <v>299</v>
      </c>
      <c r="H974" s="8" t="s">
        <v>299</v>
      </c>
    </row>
    <row r="975">
      <c r="A975" s="19"/>
      <c r="B975" s="8" t="s">
        <v>299</v>
      </c>
      <c r="C975" s="8" t="s">
        <v>299</v>
      </c>
      <c r="D975" s="8" t="s">
        <v>299</v>
      </c>
      <c r="E975" s="8" t="s">
        <v>299</v>
      </c>
      <c r="F975" s="8" t="s">
        <v>299</v>
      </c>
      <c r="G975" s="8" t="s">
        <v>299</v>
      </c>
      <c r="H975" s="8" t="s">
        <v>299</v>
      </c>
    </row>
    <row r="976">
      <c r="A976" s="19"/>
      <c r="B976" s="8" t="s">
        <v>299</v>
      </c>
      <c r="C976" s="8" t="s">
        <v>299</v>
      </c>
      <c r="D976" s="8" t="s">
        <v>299</v>
      </c>
      <c r="E976" s="8" t="s">
        <v>299</v>
      </c>
      <c r="F976" s="8" t="s">
        <v>299</v>
      </c>
      <c r="G976" s="8" t="s">
        <v>299</v>
      </c>
      <c r="H976" s="8" t="s">
        <v>299</v>
      </c>
    </row>
    <row r="977">
      <c r="A977" s="19"/>
      <c r="B977" s="8" t="s">
        <v>299</v>
      </c>
      <c r="C977" s="8" t="s">
        <v>299</v>
      </c>
      <c r="D977" s="8" t="s">
        <v>299</v>
      </c>
      <c r="E977" s="8" t="s">
        <v>299</v>
      </c>
      <c r="F977" s="8" t="s">
        <v>299</v>
      </c>
      <c r="G977" s="8" t="s">
        <v>299</v>
      </c>
      <c r="H977" s="8" t="s">
        <v>299</v>
      </c>
    </row>
    <row r="978">
      <c r="A978" s="19"/>
      <c r="B978" s="8" t="s">
        <v>299</v>
      </c>
      <c r="C978" s="8" t="s">
        <v>299</v>
      </c>
      <c r="D978" s="8" t="s">
        <v>299</v>
      </c>
      <c r="E978" s="8" t="s">
        <v>299</v>
      </c>
      <c r="F978" s="8" t="s">
        <v>299</v>
      </c>
      <c r="G978" s="8" t="s">
        <v>299</v>
      </c>
      <c r="H978" s="8" t="s">
        <v>299</v>
      </c>
    </row>
    <row r="979">
      <c r="A979" s="19"/>
      <c r="B979" s="8" t="s">
        <v>299</v>
      </c>
      <c r="C979" s="8" t="s">
        <v>299</v>
      </c>
      <c r="D979" s="8" t="s">
        <v>299</v>
      </c>
      <c r="E979" s="8" t="s">
        <v>299</v>
      </c>
      <c r="F979" s="8" t="s">
        <v>299</v>
      </c>
      <c r="G979" s="8" t="s">
        <v>299</v>
      </c>
      <c r="H979" s="8" t="s">
        <v>299</v>
      </c>
    </row>
    <row r="980">
      <c r="A980" s="19"/>
      <c r="B980" s="8" t="s">
        <v>299</v>
      </c>
      <c r="C980" s="8" t="s">
        <v>299</v>
      </c>
      <c r="D980" s="8" t="s">
        <v>299</v>
      </c>
      <c r="E980" s="8" t="s">
        <v>299</v>
      </c>
      <c r="F980" s="8" t="s">
        <v>299</v>
      </c>
      <c r="G980" s="8" t="s">
        <v>299</v>
      </c>
      <c r="H980" s="8" t="s">
        <v>299</v>
      </c>
    </row>
    <row r="981">
      <c r="A981" s="19"/>
      <c r="B981" s="8" t="s">
        <v>299</v>
      </c>
      <c r="C981" s="8" t="s">
        <v>299</v>
      </c>
      <c r="D981" s="8" t="s">
        <v>299</v>
      </c>
      <c r="E981" s="8" t="s">
        <v>299</v>
      </c>
      <c r="F981" s="8" t="s">
        <v>299</v>
      </c>
      <c r="G981" s="8" t="s">
        <v>299</v>
      </c>
      <c r="H981" s="8" t="s">
        <v>299</v>
      </c>
    </row>
    <row r="982">
      <c r="A982" s="19"/>
      <c r="B982" s="8" t="s">
        <v>299</v>
      </c>
      <c r="C982" s="8" t="s">
        <v>299</v>
      </c>
      <c r="D982" s="8" t="s">
        <v>299</v>
      </c>
      <c r="E982" s="8" t="s">
        <v>299</v>
      </c>
      <c r="F982" s="8" t="s">
        <v>299</v>
      </c>
      <c r="G982" s="8" t="s">
        <v>299</v>
      </c>
      <c r="H982" s="8" t="s">
        <v>299</v>
      </c>
    </row>
    <row r="983">
      <c r="A983" s="19"/>
      <c r="B983" s="8" t="s">
        <v>299</v>
      </c>
      <c r="C983" s="8" t="s">
        <v>299</v>
      </c>
      <c r="D983" s="8" t="s">
        <v>299</v>
      </c>
      <c r="E983" s="8" t="s">
        <v>299</v>
      </c>
      <c r="F983" s="8" t="s">
        <v>299</v>
      </c>
      <c r="G983" s="8" t="s">
        <v>299</v>
      </c>
      <c r="H983" s="8" t="s">
        <v>299</v>
      </c>
    </row>
    <row r="984">
      <c r="A984" s="19"/>
      <c r="B984" s="8" t="s">
        <v>299</v>
      </c>
      <c r="C984" s="8" t="s">
        <v>299</v>
      </c>
      <c r="D984" s="8" t="s">
        <v>299</v>
      </c>
      <c r="E984" s="8" t="s">
        <v>299</v>
      </c>
      <c r="F984" s="8" t="s">
        <v>299</v>
      </c>
      <c r="G984" s="8" t="s">
        <v>299</v>
      </c>
      <c r="H984" s="8" t="s">
        <v>299</v>
      </c>
    </row>
    <row r="985">
      <c r="A985" s="19"/>
      <c r="B985" s="8" t="s">
        <v>299</v>
      </c>
      <c r="C985" s="8" t="s">
        <v>299</v>
      </c>
      <c r="D985" s="8" t="s">
        <v>299</v>
      </c>
      <c r="E985" s="8" t="s">
        <v>299</v>
      </c>
      <c r="F985" s="8" t="s">
        <v>299</v>
      </c>
      <c r="G985" s="8" t="s">
        <v>299</v>
      </c>
      <c r="H985" s="8" t="s">
        <v>299</v>
      </c>
    </row>
    <row r="986">
      <c r="A986" s="19"/>
      <c r="B986" s="8" t="s">
        <v>299</v>
      </c>
      <c r="C986" s="8" t="s">
        <v>299</v>
      </c>
      <c r="D986" s="8" t="s">
        <v>299</v>
      </c>
      <c r="E986" s="8" t="s">
        <v>299</v>
      </c>
      <c r="F986" s="8" t="s">
        <v>299</v>
      </c>
      <c r="G986" s="8" t="s">
        <v>299</v>
      </c>
      <c r="H986" s="8" t="s">
        <v>299</v>
      </c>
    </row>
    <row r="987">
      <c r="A987" s="19"/>
      <c r="B987" s="8" t="s">
        <v>299</v>
      </c>
      <c r="C987" s="8" t="s">
        <v>299</v>
      </c>
      <c r="D987" s="8" t="s">
        <v>299</v>
      </c>
      <c r="E987" s="8" t="s">
        <v>299</v>
      </c>
      <c r="F987" s="8" t="s">
        <v>299</v>
      </c>
      <c r="G987" s="8" t="s">
        <v>299</v>
      </c>
      <c r="H987" s="8" t="s">
        <v>299</v>
      </c>
    </row>
    <row r="988">
      <c r="A988" s="19"/>
      <c r="B988" s="8" t="s">
        <v>299</v>
      </c>
      <c r="C988" s="8" t="s">
        <v>299</v>
      </c>
      <c r="D988" s="8" t="s">
        <v>299</v>
      </c>
      <c r="E988" s="8" t="s">
        <v>299</v>
      </c>
      <c r="F988" s="8" t="s">
        <v>299</v>
      </c>
      <c r="G988" s="8" t="s">
        <v>299</v>
      </c>
      <c r="H988" s="8" t="s">
        <v>299</v>
      </c>
    </row>
    <row r="989">
      <c r="A989" s="19"/>
      <c r="B989" s="8" t="s">
        <v>299</v>
      </c>
      <c r="C989" s="8" t="s">
        <v>299</v>
      </c>
      <c r="D989" s="8" t="s">
        <v>299</v>
      </c>
      <c r="E989" s="8" t="s">
        <v>299</v>
      </c>
      <c r="F989" s="8" t="s">
        <v>299</v>
      </c>
      <c r="G989" s="8" t="s">
        <v>299</v>
      </c>
      <c r="H989" s="8" t="s">
        <v>299</v>
      </c>
    </row>
    <row r="990">
      <c r="A990" s="19"/>
      <c r="B990" s="8" t="s">
        <v>299</v>
      </c>
      <c r="C990" s="8" t="s">
        <v>299</v>
      </c>
      <c r="D990" s="8" t="s">
        <v>299</v>
      </c>
      <c r="E990" s="8" t="s">
        <v>299</v>
      </c>
      <c r="F990" s="8" t="s">
        <v>299</v>
      </c>
      <c r="G990" s="8" t="s">
        <v>299</v>
      </c>
      <c r="H990" s="8" t="s">
        <v>299</v>
      </c>
    </row>
    <row r="991">
      <c r="A991" s="19"/>
      <c r="B991" s="8" t="s">
        <v>299</v>
      </c>
      <c r="C991" s="8" t="s">
        <v>299</v>
      </c>
      <c r="D991" s="8" t="s">
        <v>299</v>
      </c>
      <c r="E991" s="8" t="s">
        <v>299</v>
      </c>
      <c r="F991" s="8" t="s">
        <v>299</v>
      </c>
      <c r="G991" s="8" t="s">
        <v>299</v>
      </c>
      <c r="H991" s="8" t="s">
        <v>299</v>
      </c>
    </row>
    <row r="992">
      <c r="A992" s="19"/>
      <c r="B992" s="8" t="s">
        <v>299</v>
      </c>
      <c r="C992" s="8" t="s">
        <v>299</v>
      </c>
      <c r="D992" s="8" t="s">
        <v>299</v>
      </c>
      <c r="E992" s="8" t="s">
        <v>299</v>
      </c>
      <c r="F992" s="8" t="s">
        <v>299</v>
      </c>
      <c r="G992" s="8" t="s">
        <v>299</v>
      </c>
      <c r="H992" s="8" t="s">
        <v>299</v>
      </c>
    </row>
    <row r="993">
      <c r="A993" s="19"/>
      <c r="B993" s="8" t="s">
        <v>299</v>
      </c>
      <c r="C993" s="8" t="s">
        <v>299</v>
      </c>
      <c r="D993" s="8" t="s">
        <v>299</v>
      </c>
      <c r="E993" s="8" t="s">
        <v>299</v>
      </c>
      <c r="F993" s="8" t="s">
        <v>299</v>
      </c>
      <c r="G993" s="8" t="s">
        <v>299</v>
      </c>
      <c r="H993" s="8" t="s">
        <v>299</v>
      </c>
    </row>
    <row r="994">
      <c r="A994" s="19"/>
      <c r="B994" s="8" t="s">
        <v>299</v>
      </c>
      <c r="C994" s="8" t="s">
        <v>299</v>
      </c>
      <c r="D994" s="8" t="s">
        <v>299</v>
      </c>
      <c r="E994" s="8" t="s">
        <v>299</v>
      </c>
      <c r="F994" s="8" t="s">
        <v>299</v>
      </c>
      <c r="G994" s="8" t="s">
        <v>299</v>
      </c>
      <c r="H994" s="8" t="s">
        <v>299</v>
      </c>
    </row>
    <row r="995">
      <c r="A995" s="19"/>
      <c r="B995" s="8" t="s">
        <v>299</v>
      </c>
      <c r="C995" s="8" t="s">
        <v>299</v>
      </c>
      <c r="D995" s="8" t="s">
        <v>299</v>
      </c>
      <c r="E995" s="8" t="s">
        <v>299</v>
      </c>
      <c r="F995" s="8" t="s">
        <v>299</v>
      </c>
      <c r="G995" s="8" t="s">
        <v>299</v>
      </c>
      <c r="H995" s="8" t="s">
        <v>299</v>
      </c>
    </row>
    <row r="996">
      <c r="A996" s="19"/>
      <c r="B996" s="8" t="s">
        <v>299</v>
      </c>
      <c r="C996" s="8" t="s">
        <v>299</v>
      </c>
      <c r="D996" s="8" t="s">
        <v>299</v>
      </c>
      <c r="E996" s="8" t="s">
        <v>299</v>
      </c>
      <c r="F996" s="8" t="s">
        <v>299</v>
      </c>
      <c r="G996" s="8" t="s">
        <v>299</v>
      </c>
      <c r="H996" s="8" t="s">
        <v>299</v>
      </c>
    </row>
    <row r="997">
      <c r="A997" s="19"/>
      <c r="B997" s="8" t="s">
        <v>299</v>
      </c>
      <c r="C997" s="8" t="s">
        <v>299</v>
      </c>
      <c r="D997" s="8" t="s">
        <v>299</v>
      </c>
      <c r="E997" s="8" t="s">
        <v>299</v>
      </c>
      <c r="F997" s="8" t="s">
        <v>299</v>
      </c>
      <c r="G997" s="8" t="s">
        <v>299</v>
      </c>
      <c r="H997" s="8" t="s">
        <v>299</v>
      </c>
    </row>
    <row r="998">
      <c r="A998" s="19"/>
      <c r="B998" s="8" t="s">
        <v>299</v>
      </c>
      <c r="C998" s="8" t="s">
        <v>299</v>
      </c>
      <c r="D998" s="8" t="s">
        <v>299</v>
      </c>
      <c r="E998" s="8" t="s">
        <v>299</v>
      </c>
      <c r="F998" s="8" t="s">
        <v>299</v>
      </c>
      <c r="G998" s="8" t="s">
        <v>299</v>
      </c>
      <c r="H998" s="8" t="s">
        <v>299</v>
      </c>
    </row>
    <row r="999">
      <c r="A999" s="19"/>
      <c r="B999" s="8" t="s">
        <v>299</v>
      </c>
      <c r="C999" s="8" t="s">
        <v>299</v>
      </c>
      <c r="D999" s="8" t="s">
        <v>299</v>
      </c>
      <c r="E999" s="8" t="s">
        <v>299</v>
      </c>
      <c r="F999" s="8" t="s">
        <v>299</v>
      </c>
      <c r="G999" s="8" t="s">
        <v>299</v>
      </c>
      <c r="H999" s="8" t="s">
        <v>299</v>
      </c>
    </row>
    <row r="1000">
      <c r="A1000" s="19"/>
      <c r="B1000" s="8" t="s">
        <v>299</v>
      </c>
      <c r="C1000" s="8" t="s">
        <v>299</v>
      </c>
      <c r="D1000" s="8" t="s">
        <v>299</v>
      </c>
      <c r="E1000" s="8" t="s">
        <v>299</v>
      </c>
      <c r="F1000" s="8" t="s">
        <v>299</v>
      </c>
      <c r="G1000" s="8" t="s">
        <v>299</v>
      </c>
      <c r="H1000" s="8" t="s">
        <v>299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6.88"/>
    <col customWidth="1" min="8" max="8" width="17.25"/>
  </cols>
  <sheetData>
    <row r="1">
      <c r="A1" s="3" t="s">
        <v>294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8">
        <f>IFERROR(__xludf.DUMMYFUNCTION("COUNTUNIQUEIFS(stat_log!B:B, stat_log!L:L, INT(DATE(2025,12,24)), stat_log!E:E, ""choose_search_mode"")
"),1.0)</f>
        <v>1</v>
      </c>
      <c r="L1" s="1" t="s">
        <v>75</v>
      </c>
    </row>
    <row r="2">
      <c r="A2" s="10">
        <f>IFERROR(__xludf.DUMMYFUNCTION("SORT(UNIQUE(FILTER(stat_log!L2:L1000, stat_log!L2:L1000&lt;&gt;"""")),1,TRUE)
"),46010.0)</f>
        <v>46010</v>
      </c>
      <c r="B2" s="8">
        <f>IFERROR(__xludf.DUMMYFUNCTION("ARRAYFORMULA(IF(A2:A1000="""","""",
 COUNTUNIQUEIFS(stat_log!B:B, stat_log!L:L, A2:A1000, stat_log!E:E, ""choose_search_mode"")
))
"),1.0)</f>
        <v>1</v>
      </c>
      <c r="C2" s="8">
        <f>IFERROR(__xludf.DUMMYFUNCTION("ARRAYFORMULA(IF(A2:A1000="""","""",
  COUNTUNIQUEIFS(stat_log!B:B, stat_log!L:L, A2:A1000, stat_log!E:E, ""booking_select_date"")
 +COUNTUNIQUEIFS(stat_log!B:B, stat_log!L:L, A2:A1000, stat_log!E:E, ""selectDate"")
))
"),0.0)</f>
        <v>0</v>
      </c>
      <c r="D2" s="8">
        <f>IFERROR(__xludf.DUMMYFUNCTION("ARRAYFORMULA(IF(A2:A1000="""","""",
  COUNTUNIQUEIFS(stat_log!B:B, stat_log!L:L, A2:A1000, stat_log!E:E, ""booking_select_time"")
 +COUNTUNIQUEIFS(stat_log!B:B, stat_log!L:L, A2:A1000, stat_log!E:E, ""selectTime"")
))
"),0.0)</f>
        <v>0</v>
      </c>
      <c r="E2" s="8">
        <f>IFERROR(__xludf.DUMMYFUNCTION("ARRAYFORMULA(IF(A2:A1000="""","""",
  COUNTUNIQUEIFS(stat_log!B:B, stat_log!L:L, A2:A1000, stat_log!E:E, ""booking_select_duration"")
 +COUNTUNIQUEIFS(stat_log!B:B, stat_log!L:L, A2:A1000, stat_log!E:E, ""selectDuration"")
 +COUNTUNIQUEIFS(stat_log!B:B, s"&amp;"tat_log!L:L, A2:A1000, stat_log!E:E, ""pick_duration_search_every_slot"")
))
"),2.0)</f>
        <v>2</v>
      </c>
      <c r="F2" s="8">
        <f>IFERROR(__xludf.DUMMYFUNCTION("ARRAYFORMULA(IF(A2:A1000="""","""",
  COUNTUNIQUEIFS(stat_log!B:B, stat_log!L:L, A2:A1000, stat_log!E:E, ""booking_select_field"")
 +COUNTUNIQUEIFS(stat_log!B:B, stat_log!L:L, A2:A1000, stat_log!E:E, ""selectField"")
))
"),0.0)</f>
        <v>0</v>
      </c>
      <c r="G2" s="8">
        <f>IFERROR(__xludf.DUMMYFUNCTION("ARRAYFORMULA(IF(A2:A1000="""","""",
 COUNTUNIQUEIFS(stat_log!B:B, stat_log!L:L, A2:A1000, stat_log!E:E, ""booking_result_available"")
+COUNTUNIQUEIFS(stat_log!B:B, stat_log!L:L, A2:A1000, stat_log!E:E, ""booking_result_unavailable"")
))
"),0.0)</f>
        <v>0</v>
      </c>
      <c r="H2" s="8">
        <f>COUNTIFS(stat_log!L:L, A2)
</f>
        <v>33</v>
      </c>
      <c r="L2" s="8">
        <f t="array" ref="L2:L1000">IF(A2:A1000="","",INT(A2:A1000))
</f>
        <v>46010</v>
      </c>
    </row>
    <row r="3">
      <c r="A3" s="10">
        <f>IFERROR(__xludf.DUMMYFUNCTION("""COMPUTED_VALUE"""),46011.0)</f>
        <v>46011</v>
      </c>
      <c r="B3" s="8">
        <f>IFERROR(__xludf.DUMMYFUNCTION("""COMPUTED_VALUE"""),1.0)</f>
        <v>1</v>
      </c>
      <c r="C3" s="8">
        <f>IFERROR(__xludf.DUMMYFUNCTION("""COMPUTED_VALUE"""),0.0)</f>
        <v>0</v>
      </c>
      <c r="D3" s="8">
        <f>IFERROR(__xludf.DUMMYFUNCTION("""COMPUTED_VALUE"""),0.0)</f>
        <v>0</v>
      </c>
      <c r="E3" s="8">
        <f>IFERROR(__xludf.DUMMYFUNCTION("""COMPUTED_VALUE"""),2.0)</f>
        <v>2</v>
      </c>
      <c r="F3" s="8">
        <f>IFERROR(__xludf.DUMMYFUNCTION("""COMPUTED_VALUE"""),0.0)</f>
        <v>0</v>
      </c>
      <c r="G3" s="8">
        <f>IFERROR(__xludf.DUMMYFUNCTION("""COMPUTED_VALUE"""),0.0)</f>
        <v>0</v>
      </c>
      <c r="L3" s="8">
        <v>46011.0</v>
      </c>
    </row>
    <row r="4">
      <c r="A4" s="10">
        <f>IFERROR(__xludf.DUMMYFUNCTION("""COMPUTED_VALUE"""),46012.0)</f>
        <v>46012</v>
      </c>
      <c r="B4" s="8">
        <f>IFERROR(__xludf.DUMMYFUNCTION("""COMPUTED_VALUE"""),1.0)</f>
        <v>1</v>
      </c>
      <c r="C4" s="8">
        <f>IFERROR(__xludf.DUMMYFUNCTION("""COMPUTED_VALUE"""),0.0)</f>
        <v>0</v>
      </c>
      <c r="D4" s="8">
        <f>IFERROR(__xludf.DUMMYFUNCTION("""COMPUTED_VALUE"""),0.0)</f>
        <v>0</v>
      </c>
      <c r="E4" s="8">
        <f>IFERROR(__xludf.DUMMYFUNCTION("""COMPUTED_VALUE"""),2.0)</f>
        <v>2</v>
      </c>
      <c r="F4" s="8">
        <f>IFERROR(__xludf.DUMMYFUNCTION("""COMPUTED_VALUE"""),0.0)</f>
        <v>0</v>
      </c>
      <c r="G4" s="8">
        <f>IFERROR(__xludf.DUMMYFUNCTION("""COMPUTED_VALUE"""),0.0)</f>
        <v>0</v>
      </c>
      <c r="L4" s="8">
        <v>46012.0</v>
      </c>
    </row>
    <row r="5">
      <c r="A5" s="10">
        <f>IFERROR(__xludf.DUMMYFUNCTION("""COMPUTED_VALUE"""),46013.0)</f>
        <v>46013</v>
      </c>
      <c r="B5" s="8">
        <f>IFERROR(__xludf.DUMMYFUNCTION("""COMPUTED_VALUE"""),1.0)</f>
        <v>1</v>
      </c>
      <c r="C5" s="8">
        <f>IFERROR(__xludf.DUMMYFUNCTION("""COMPUTED_VALUE"""),0.0)</f>
        <v>0</v>
      </c>
      <c r="D5" s="8">
        <f>IFERROR(__xludf.DUMMYFUNCTION("""COMPUTED_VALUE"""),0.0)</f>
        <v>0</v>
      </c>
      <c r="E5" s="8">
        <f>IFERROR(__xludf.DUMMYFUNCTION("""COMPUTED_VALUE"""),2.0)</f>
        <v>2</v>
      </c>
      <c r="F5" s="8">
        <f>IFERROR(__xludf.DUMMYFUNCTION("""COMPUTED_VALUE"""),0.0)</f>
        <v>0</v>
      </c>
      <c r="G5" s="8">
        <f>IFERROR(__xludf.DUMMYFUNCTION("""COMPUTED_VALUE"""),0.0)</f>
        <v>0</v>
      </c>
      <c r="L5" s="8">
        <v>46013.0</v>
      </c>
    </row>
    <row r="6">
      <c r="A6" s="10">
        <f>IFERROR(__xludf.DUMMYFUNCTION("""COMPUTED_VALUE"""),46014.0)</f>
        <v>46014</v>
      </c>
      <c r="B6" s="8">
        <f>IFERROR(__xludf.DUMMYFUNCTION("""COMPUTED_VALUE"""),1.0)</f>
        <v>1</v>
      </c>
      <c r="C6" s="8">
        <f>IFERROR(__xludf.DUMMYFUNCTION("""COMPUTED_VALUE"""),0.0)</f>
        <v>0</v>
      </c>
      <c r="D6" s="8">
        <f>IFERROR(__xludf.DUMMYFUNCTION("""COMPUTED_VALUE"""),0.0)</f>
        <v>0</v>
      </c>
      <c r="E6" s="8">
        <f>IFERROR(__xludf.DUMMYFUNCTION("""COMPUTED_VALUE"""),2.0)</f>
        <v>2</v>
      </c>
      <c r="F6" s="8">
        <f>IFERROR(__xludf.DUMMYFUNCTION("""COMPUTED_VALUE"""),0.0)</f>
        <v>0</v>
      </c>
      <c r="G6" s="8">
        <f>IFERROR(__xludf.DUMMYFUNCTION("""COMPUTED_VALUE"""),0.0)</f>
        <v>0</v>
      </c>
      <c r="L6" s="8">
        <v>46014.0</v>
      </c>
    </row>
    <row r="7">
      <c r="A7" s="10">
        <f>IFERROR(__xludf.DUMMYFUNCTION("""COMPUTED_VALUE"""),46015.0)</f>
        <v>46015</v>
      </c>
      <c r="B7" s="8">
        <f>IFERROR(__xludf.DUMMYFUNCTION("""COMPUTED_VALUE"""),1.0)</f>
        <v>1</v>
      </c>
      <c r="C7" s="8">
        <f>IFERROR(__xludf.DUMMYFUNCTION("""COMPUTED_VALUE"""),0.0)</f>
        <v>0</v>
      </c>
      <c r="D7" s="8">
        <f>IFERROR(__xludf.DUMMYFUNCTION("""COMPUTED_VALUE"""),0.0)</f>
        <v>0</v>
      </c>
      <c r="E7" s="8">
        <f>IFERROR(__xludf.DUMMYFUNCTION("""COMPUTED_VALUE"""),2.0)</f>
        <v>2</v>
      </c>
      <c r="F7" s="8">
        <f>IFERROR(__xludf.DUMMYFUNCTION("""COMPUTED_VALUE"""),0.0)</f>
        <v>0</v>
      </c>
      <c r="G7" s="8">
        <f>IFERROR(__xludf.DUMMYFUNCTION("""COMPUTED_VALUE"""),0.0)</f>
        <v>0</v>
      </c>
      <c r="L7" s="8">
        <v>46015.0</v>
      </c>
    </row>
    <row r="8">
      <c r="A8" s="10">
        <f>IFERROR(__xludf.DUMMYFUNCTION("""COMPUTED_VALUE"""),46017.0)</f>
        <v>46017</v>
      </c>
      <c r="B8" s="8">
        <f>IFERROR(__xludf.DUMMYFUNCTION("""COMPUTED_VALUE"""),1.0)</f>
        <v>1</v>
      </c>
      <c r="C8" s="8">
        <f>IFERROR(__xludf.DUMMYFUNCTION("""COMPUTED_VALUE"""),0.0)</f>
        <v>0</v>
      </c>
      <c r="D8" s="8">
        <f>IFERROR(__xludf.DUMMYFUNCTION("""COMPUTED_VALUE"""),0.0)</f>
        <v>0</v>
      </c>
      <c r="E8" s="8">
        <f>IFERROR(__xludf.DUMMYFUNCTION("""COMPUTED_VALUE"""),2.0)</f>
        <v>2</v>
      </c>
      <c r="F8" s="8">
        <f>IFERROR(__xludf.DUMMYFUNCTION("""COMPUTED_VALUE"""),0.0)</f>
        <v>0</v>
      </c>
      <c r="G8" s="8">
        <f>IFERROR(__xludf.DUMMYFUNCTION("""COMPUTED_VALUE"""),0.0)</f>
        <v>0</v>
      </c>
      <c r="L8" s="8">
        <v>46017.0</v>
      </c>
    </row>
    <row r="9">
      <c r="A9" s="10">
        <f>IFERROR(__xludf.DUMMYFUNCTION("""COMPUTED_VALUE"""),46018.0)</f>
        <v>46018</v>
      </c>
      <c r="B9" s="8">
        <f>IFERROR(__xludf.DUMMYFUNCTION("""COMPUTED_VALUE"""),1.0)</f>
        <v>1</v>
      </c>
      <c r="C9" s="8">
        <f>IFERROR(__xludf.DUMMYFUNCTION("""COMPUTED_VALUE"""),0.0)</f>
        <v>0</v>
      </c>
      <c r="D9" s="8">
        <f>IFERROR(__xludf.DUMMYFUNCTION("""COMPUTED_VALUE"""),0.0)</f>
        <v>0</v>
      </c>
      <c r="E9" s="8">
        <f>IFERROR(__xludf.DUMMYFUNCTION("""COMPUTED_VALUE"""),2.0)</f>
        <v>2</v>
      </c>
      <c r="F9" s="8">
        <f>IFERROR(__xludf.DUMMYFUNCTION("""COMPUTED_VALUE"""),0.0)</f>
        <v>0</v>
      </c>
      <c r="G9" s="8">
        <f>IFERROR(__xludf.DUMMYFUNCTION("""COMPUTED_VALUE"""),0.0)</f>
        <v>0</v>
      </c>
      <c r="L9" s="8">
        <v>46018.0</v>
      </c>
    </row>
    <row r="10">
      <c r="A10" s="10">
        <f>IFERROR(__xludf.DUMMYFUNCTION("""COMPUTED_VALUE"""),46019.0)</f>
        <v>46019</v>
      </c>
      <c r="B10" s="8">
        <f>IFERROR(__xludf.DUMMYFUNCTION("""COMPUTED_VALUE"""),1.0)</f>
        <v>1</v>
      </c>
      <c r="C10" s="8">
        <f>IFERROR(__xludf.DUMMYFUNCTION("""COMPUTED_VALUE"""),0.0)</f>
        <v>0</v>
      </c>
      <c r="D10" s="8">
        <f>IFERROR(__xludf.DUMMYFUNCTION("""COMPUTED_VALUE"""),0.0)</f>
        <v>0</v>
      </c>
      <c r="E10" s="8">
        <f>IFERROR(__xludf.DUMMYFUNCTION("""COMPUTED_VALUE"""),2.0)</f>
        <v>2</v>
      </c>
      <c r="F10" s="8">
        <f>IFERROR(__xludf.DUMMYFUNCTION("""COMPUTED_VALUE"""),0.0)</f>
        <v>0</v>
      </c>
      <c r="G10" s="8">
        <f>IFERROR(__xludf.DUMMYFUNCTION("""COMPUTED_VALUE"""),0.0)</f>
        <v>0</v>
      </c>
      <c r="L10" s="8">
        <v>46019.0</v>
      </c>
    </row>
    <row r="11">
      <c r="A11" s="10">
        <f>IFERROR(__xludf.DUMMYFUNCTION("""COMPUTED_VALUE"""),46020.0)</f>
        <v>46020</v>
      </c>
      <c r="B11" s="8">
        <f>IFERROR(__xludf.DUMMYFUNCTION("""COMPUTED_VALUE"""),1.0)</f>
        <v>1</v>
      </c>
      <c r="C11" s="8">
        <f>IFERROR(__xludf.DUMMYFUNCTION("""COMPUTED_VALUE"""),0.0)</f>
        <v>0</v>
      </c>
      <c r="D11" s="8">
        <f>IFERROR(__xludf.DUMMYFUNCTION("""COMPUTED_VALUE"""),0.0)</f>
        <v>0</v>
      </c>
      <c r="E11" s="8">
        <f>IFERROR(__xludf.DUMMYFUNCTION("""COMPUTED_VALUE"""),2.0)</f>
        <v>2</v>
      </c>
      <c r="F11" s="8">
        <f>IFERROR(__xludf.DUMMYFUNCTION("""COMPUTED_VALUE"""),0.0)</f>
        <v>0</v>
      </c>
      <c r="G11" s="8">
        <f>IFERROR(__xludf.DUMMYFUNCTION("""COMPUTED_VALUE"""),0.0)</f>
        <v>0</v>
      </c>
      <c r="L11" s="8">
        <v>46020.0</v>
      </c>
    </row>
    <row r="12">
      <c r="A12" s="10">
        <f>IFERROR(__xludf.DUMMYFUNCTION("""COMPUTED_VALUE"""),46021.0)</f>
        <v>46021</v>
      </c>
      <c r="B12" s="8">
        <f>IFERROR(__xludf.DUMMYFUNCTION("""COMPUTED_VALUE"""),1.0)</f>
        <v>1</v>
      </c>
      <c r="C12" s="8">
        <f>IFERROR(__xludf.DUMMYFUNCTION("""COMPUTED_VALUE"""),0.0)</f>
        <v>0</v>
      </c>
      <c r="D12" s="8">
        <f>IFERROR(__xludf.DUMMYFUNCTION("""COMPUTED_VALUE"""),0.0)</f>
        <v>0</v>
      </c>
      <c r="E12" s="8">
        <f>IFERROR(__xludf.DUMMYFUNCTION("""COMPUTED_VALUE"""),2.0)</f>
        <v>2</v>
      </c>
      <c r="F12" s="8">
        <f>IFERROR(__xludf.DUMMYFUNCTION("""COMPUTED_VALUE"""),0.0)</f>
        <v>0</v>
      </c>
      <c r="G12" s="8">
        <f>IFERROR(__xludf.DUMMYFUNCTION("""COMPUTED_VALUE"""),0.0)</f>
        <v>0</v>
      </c>
      <c r="L12" s="8">
        <v>46021.0</v>
      </c>
    </row>
    <row r="13">
      <c r="A13" s="10">
        <f>IFERROR(__xludf.DUMMYFUNCTION("""COMPUTED_VALUE"""),46025.0)</f>
        <v>46025</v>
      </c>
      <c r="B13" s="8">
        <f>IFERROR(__xludf.DUMMYFUNCTION("""COMPUTED_VALUE"""),1.0)</f>
        <v>1</v>
      </c>
      <c r="C13" s="8">
        <f>IFERROR(__xludf.DUMMYFUNCTION("""COMPUTED_VALUE"""),0.0)</f>
        <v>0</v>
      </c>
      <c r="D13" s="8">
        <f>IFERROR(__xludf.DUMMYFUNCTION("""COMPUTED_VALUE"""),0.0)</f>
        <v>0</v>
      </c>
      <c r="E13" s="8">
        <f>IFERROR(__xludf.DUMMYFUNCTION("""COMPUTED_VALUE"""),2.0)</f>
        <v>2</v>
      </c>
      <c r="F13" s="8">
        <f>IFERROR(__xludf.DUMMYFUNCTION("""COMPUTED_VALUE"""),0.0)</f>
        <v>0</v>
      </c>
      <c r="G13" s="8">
        <f>IFERROR(__xludf.DUMMYFUNCTION("""COMPUTED_VALUE"""),0.0)</f>
        <v>0</v>
      </c>
      <c r="L13" s="8">
        <v>46025.0</v>
      </c>
    </row>
    <row r="14">
      <c r="A14" s="10">
        <f>IFERROR(__xludf.DUMMYFUNCTION("""COMPUTED_VALUE"""),46026.0)</f>
        <v>46026</v>
      </c>
      <c r="B14" s="8">
        <f>IFERROR(__xludf.DUMMYFUNCTION("""COMPUTED_VALUE"""),1.0)</f>
        <v>1</v>
      </c>
      <c r="C14" s="8">
        <f>IFERROR(__xludf.DUMMYFUNCTION("""COMPUTED_VALUE"""),0.0)</f>
        <v>0</v>
      </c>
      <c r="D14" s="8">
        <f>IFERROR(__xludf.DUMMYFUNCTION("""COMPUTED_VALUE"""),0.0)</f>
        <v>0</v>
      </c>
      <c r="E14" s="8">
        <f>IFERROR(__xludf.DUMMYFUNCTION("""COMPUTED_VALUE"""),2.0)</f>
        <v>2</v>
      </c>
      <c r="F14" s="8">
        <f>IFERROR(__xludf.DUMMYFUNCTION("""COMPUTED_VALUE"""),0.0)</f>
        <v>0</v>
      </c>
      <c r="G14" s="8">
        <f>IFERROR(__xludf.DUMMYFUNCTION("""COMPUTED_VALUE"""),0.0)</f>
        <v>0</v>
      </c>
      <c r="L14" s="8">
        <v>46026.0</v>
      </c>
    </row>
    <row r="15">
      <c r="A15" s="10">
        <f>IFERROR(__xludf.DUMMYFUNCTION("""COMPUTED_VALUE"""),46028.0)</f>
        <v>46028</v>
      </c>
      <c r="B15" s="8">
        <f>IFERROR(__xludf.DUMMYFUNCTION("""COMPUTED_VALUE"""),1.0)</f>
        <v>1</v>
      </c>
      <c r="C15" s="8">
        <f>IFERROR(__xludf.DUMMYFUNCTION("""COMPUTED_VALUE"""),0.0)</f>
        <v>0</v>
      </c>
      <c r="D15" s="8">
        <f>IFERROR(__xludf.DUMMYFUNCTION("""COMPUTED_VALUE"""),0.0)</f>
        <v>0</v>
      </c>
      <c r="E15" s="8">
        <f>IFERROR(__xludf.DUMMYFUNCTION("""COMPUTED_VALUE"""),2.0)</f>
        <v>2</v>
      </c>
      <c r="F15" s="8">
        <f>IFERROR(__xludf.DUMMYFUNCTION("""COMPUTED_VALUE"""),0.0)</f>
        <v>0</v>
      </c>
      <c r="G15" s="8">
        <f>IFERROR(__xludf.DUMMYFUNCTION("""COMPUTED_VALUE"""),0.0)</f>
        <v>0</v>
      </c>
      <c r="L15" s="8">
        <v>46028.0</v>
      </c>
    </row>
    <row r="16">
      <c r="A16" s="10">
        <f>IFERROR(__xludf.DUMMYFUNCTION("""COMPUTED_VALUE"""),46029.0)</f>
        <v>46029</v>
      </c>
      <c r="B16" s="8">
        <f>IFERROR(__xludf.DUMMYFUNCTION("""COMPUTED_VALUE"""),1.0)</f>
        <v>1</v>
      </c>
      <c r="C16" s="8">
        <f>IFERROR(__xludf.DUMMYFUNCTION("""COMPUTED_VALUE"""),0.0)</f>
        <v>0</v>
      </c>
      <c r="D16" s="8">
        <f>IFERROR(__xludf.DUMMYFUNCTION("""COMPUTED_VALUE"""),0.0)</f>
        <v>0</v>
      </c>
      <c r="E16" s="8">
        <f>IFERROR(__xludf.DUMMYFUNCTION("""COMPUTED_VALUE"""),2.0)</f>
        <v>2</v>
      </c>
      <c r="F16" s="8">
        <f>IFERROR(__xludf.DUMMYFUNCTION("""COMPUTED_VALUE"""),0.0)</f>
        <v>0</v>
      </c>
      <c r="G16" s="8">
        <f>IFERROR(__xludf.DUMMYFUNCTION("""COMPUTED_VALUE"""),0.0)</f>
        <v>0</v>
      </c>
      <c r="L16" s="8">
        <v>46029.0</v>
      </c>
    </row>
    <row r="17">
      <c r="A17" s="10">
        <f>IFERROR(__xludf.DUMMYFUNCTION("""COMPUTED_VALUE"""),46030.0)</f>
        <v>46030</v>
      </c>
      <c r="B17" s="8">
        <f>IFERROR(__xludf.DUMMYFUNCTION("""COMPUTED_VALUE"""),1.0)</f>
        <v>1</v>
      </c>
      <c r="C17" s="8">
        <f>IFERROR(__xludf.DUMMYFUNCTION("""COMPUTED_VALUE"""),0.0)</f>
        <v>0</v>
      </c>
      <c r="D17" s="8">
        <f>IFERROR(__xludf.DUMMYFUNCTION("""COMPUTED_VALUE"""),0.0)</f>
        <v>0</v>
      </c>
      <c r="E17" s="8">
        <f>IFERROR(__xludf.DUMMYFUNCTION("""COMPUTED_VALUE"""),2.0)</f>
        <v>2</v>
      </c>
      <c r="F17" s="8">
        <f>IFERROR(__xludf.DUMMYFUNCTION("""COMPUTED_VALUE"""),0.0)</f>
        <v>0</v>
      </c>
      <c r="G17" s="8">
        <f>IFERROR(__xludf.DUMMYFUNCTION("""COMPUTED_VALUE"""),0.0)</f>
        <v>0</v>
      </c>
      <c r="L17" s="8">
        <v>46030.0</v>
      </c>
    </row>
    <row r="18">
      <c r="A18" s="10">
        <f>IFERROR(__xludf.DUMMYFUNCTION("""COMPUTED_VALUE"""),46031.0)</f>
        <v>46031</v>
      </c>
      <c r="B18" s="8">
        <f>IFERROR(__xludf.DUMMYFUNCTION("""COMPUTED_VALUE"""),1.0)</f>
        <v>1</v>
      </c>
      <c r="C18" s="8">
        <f>IFERROR(__xludf.DUMMYFUNCTION("""COMPUTED_VALUE"""),0.0)</f>
        <v>0</v>
      </c>
      <c r="D18" s="8">
        <f>IFERROR(__xludf.DUMMYFUNCTION("""COMPUTED_VALUE"""),0.0)</f>
        <v>0</v>
      </c>
      <c r="E18" s="8">
        <f>IFERROR(__xludf.DUMMYFUNCTION("""COMPUTED_VALUE"""),2.0)</f>
        <v>2</v>
      </c>
      <c r="F18" s="8">
        <f>IFERROR(__xludf.DUMMYFUNCTION("""COMPUTED_VALUE"""),0.0)</f>
        <v>0</v>
      </c>
      <c r="G18" s="8">
        <f>IFERROR(__xludf.DUMMYFUNCTION("""COMPUTED_VALUE"""),0.0)</f>
        <v>0</v>
      </c>
      <c r="L18" s="8">
        <v>46031.0</v>
      </c>
    </row>
    <row r="19">
      <c r="A19" s="10">
        <f>IFERROR(__xludf.DUMMYFUNCTION("""COMPUTED_VALUE"""),46032.0)</f>
        <v>46032</v>
      </c>
      <c r="B19" s="8">
        <f>IFERROR(__xludf.DUMMYFUNCTION("""COMPUTED_VALUE"""),1.0)</f>
        <v>1</v>
      </c>
      <c r="C19" s="8">
        <f>IFERROR(__xludf.DUMMYFUNCTION("""COMPUTED_VALUE"""),0.0)</f>
        <v>0</v>
      </c>
      <c r="D19" s="8">
        <f>IFERROR(__xludf.DUMMYFUNCTION("""COMPUTED_VALUE"""),0.0)</f>
        <v>0</v>
      </c>
      <c r="E19" s="8">
        <f>IFERROR(__xludf.DUMMYFUNCTION("""COMPUTED_VALUE"""),2.0)</f>
        <v>2</v>
      </c>
      <c r="F19" s="8">
        <f>IFERROR(__xludf.DUMMYFUNCTION("""COMPUTED_VALUE"""),0.0)</f>
        <v>0</v>
      </c>
      <c r="G19" s="8">
        <f>IFERROR(__xludf.DUMMYFUNCTION("""COMPUTED_VALUE"""),0.0)</f>
        <v>0</v>
      </c>
      <c r="L19" s="8">
        <v>46032.0</v>
      </c>
    </row>
    <row r="20">
      <c r="A20" s="10">
        <f>IFERROR(__xludf.DUMMYFUNCTION("""COMPUTED_VALUE"""),46033.0)</f>
        <v>46033</v>
      </c>
      <c r="B20" s="8">
        <f>IFERROR(__xludf.DUMMYFUNCTION("""COMPUTED_VALUE"""),1.0)</f>
        <v>1</v>
      </c>
      <c r="C20" s="8">
        <f>IFERROR(__xludf.DUMMYFUNCTION("""COMPUTED_VALUE"""),0.0)</f>
        <v>0</v>
      </c>
      <c r="D20" s="8">
        <f>IFERROR(__xludf.DUMMYFUNCTION("""COMPUTED_VALUE"""),0.0)</f>
        <v>0</v>
      </c>
      <c r="E20" s="8">
        <f>IFERROR(__xludf.DUMMYFUNCTION("""COMPUTED_VALUE"""),2.0)</f>
        <v>2</v>
      </c>
      <c r="F20" s="8">
        <f>IFERROR(__xludf.DUMMYFUNCTION("""COMPUTED_VALUE"""),0.0)</f>
        <v>0</v>
      </c>
      <c r="G20" s="8">
        <f>IFERROR(__xludf.DUMMYFUNCTION("""COMPUTED_VALUE"""),0.0)</f>
        <v>0</v>
      </c>
      <c r="L20" s="8">
        <v>46033.0</v>
      </c>
    </row>
    <row r="21">
      <c r="A21" s="10">
        <f>IFERROR(__xludf.DUMMYFUNCTION("""COMPUTED_VALUE"""),46034.0)</f>
        <v>46034</v>
      </c>
      <c r="B21" s="8">
        <f>IFERROR(__xludf.DUMMYFUNCTION("""COMPUTED_VALUE"""),1.0)</f>
        <v>1</v>
      </c>
      <c r="C21" s="8">
        <f>IFERROR(__xludf.DUMMYFUNCTION("""COMPUTED_VALUE"""),0.0)</f>
        <v>0</v>
      </c>
      <c r="D21" s="8">
        <f>IFERROR(__xludf.DUMMYFUNCTION("""COMPUTED_VALUE"""),0.0)</f>
        <v>0</v>
      </c>
      <c r="E21" s="8">
        <f>IFERROR(__xludf.DUMMYFUNCTION("""COMPUTED_VALUE"""),2.0)</f>
        <v>2</v>
      </c>
      <c r="F21" s="8">
        <f>IFERROR(__xludf.DUMMYFUNCTION("""COMPUTED_VALUE"""),0.0)</f>
        <v>0</v>
      </c>
      <c r="G21" s="8">
        <f>IFERROR(__xludf.DUMMYFUNCTION("""COMPUTED_VALUE"""),0.0)</f>
        <v>0</v>
      </c>
      <c r="L21" s="8">
        <v>46034.0</v>
      </c>
    </row>
    <row r="22">
      <c r="A22" s="10">
        <f>IFERROR(__xludf.DUMMYFUNCTION("""COMPUTED_VALUE"""),46035.0)</f>
        <v>46035</v>
      </c>
      <c r="B22" s="8">
        <f>IFERROR(__xludf.DUMMYFUNCTION("""COMPUTED_VALUE"""),1.0)</f>
        <v>1</v>
      </c>
      <c r="C22" s="8">
        <f>IFERROR(__xludf.DUMMYFUNCTION("""COMPUTED_VALUE"""),0.0)</f>
        <v>0</v>
      </c>
      <c r="D22" s="8">
        <f>IFERROR(__xludf.DUMMYFUNCTION("""COMPUTED_VALUE"""),0.0)</f>
        <v>0</v>
      </c>
      <c r="E22" s="8">
        <f>IFERROR(__xludf.DUMMYFUNCTION("""COMPUTED_VALUE"""),2.0)</f>
        <v>2</v>
      </c>
      <c r="F22" s="8">
        <f>IFERROR(__xludf.DUMMYFUNCTION("""COMPUTED_VALUE"""),0.0)</f>
        <v>0</v>
      </c>
      <c r="G22" s="8">
        <f>IFERROR(__xludf.DUMMYFUNCTION("""COMPUTED_VALUE"""),0.0)</f>
        <v>0</v>
      </c>
      <c r="L22" s="8">
        <v>46035.0</v>
      </c>
    </row>
    <row r="23">
      <c r="A23" s="10">
        <f>IFERROR(__xludf.DUMMYFUNCTION("""COMPUTED_VALUE"""),46036.0)</f>
        <v>46036</v>
      </c>
      <c r="B23" s="8">
        <f>IFERROR(__xludf.DUMMYFUNCTION("""COMPUTED_VALUE"""),1.0)</f>
        <v>1</v>
      </c>
      <c r="C23" s="8">
        <f>IFERROR(__xludf.DUMMYFUNCTION("""COMPUTED_VALUE"""),0.0)</f>
        <v>0</v>
      </c>
      <c r="D23" s="8">
        <f>IFERROR(__xludf.DUMMYFUNCTION("""COMPUTED_VALUE"""),0.0)</f>
        <v>0</v>
      </c>
      <c r="E23" s="8">
        <f>IFERROR(__xludf.DUMMYFUNCTION("""COMPUTED_VALUE"""),2.0)</f>
        <v>2</v>
      </c>
      <c r="F23" s="8">
        <f>IFERROR(__xludf.DUMMYFUNCTION("""COMPUTED_VALUE"""),0.0)</f>
        <v>0</v>
      </c>
      <c r="G23" s="8">
        <f>IFERROR(__xludf.DUMMYFUNCTION("""COMPUTED_VALUE"""),0.0)</f>
        <v>0</v>
      </c>
      <c r="L23" s="8">
        <v>46036.0</v>
      </c>
    </row>
    <row r="24">
      <c r="A24" s="10">
        <f>IFERROR(__xludf.DUMMYFUNCTION("""COMPUTED_VALUE"""),46037.0)</f>
        <v>46037</v>
      </c>
      <c r="B24" s="8">
        <f>IFERROR(__xludf.DUMMYFUNCTION("""COMPUTED_VALUE"""),1.0)</f>
        <v>1</v>
      </c>
      <c r="C24" s="8">
        <f>IFERROR(__xludf.DUMMYFUNCTION("""COMPUTED_VALUE"""),0.0)</f>
        <v>0</v>
      </c>
      <c r="D24" s="8">
        <f>IFERROR(__xludf.DUMMYFUNCTION("""COMPUTED_VALUE"""),0.0)</f>
        <v>0</v>
      </c>
      <c r="E24" s="8">
        <f>IFERROR(__xludf.DUMMYFUNCTION("""COMPUTED_VALUE"""),2.0)</f>
        <v>2</v>
      </c>
      <c r="F24" s="8">
        <f>IFERROR(__xludf.DUMMYFUNCTION("""COMPUTED_VALUE"""),0.0)</f>
        <v>0</v>
      </c>
      <c r="G24" s="8">
        <f>IFERROR(__xludf.DUMMYFUNCTION("""COMPUTED_VALUE"""),0.0)</f>
        <v>0</v>
      </c>
      <c r="L24" s="8">
        <v>46037.0</v>
      </c>
    </row>
    <row r="25">
      <c r="A25" s="10"/>
      <c r="B25" s="8" t="str">
        <f>IFERROR(__xludf.DUMMYFUNCTION("""COMPUTED_VALUE"""),"")</f>
        <v/>
      </c>
      <c r="C25" s="8" t="str">
        <f>IFERROR(__xludf.DUMMYFUNCTION("""COMPUTED_VALUE"""),"")</f>
        <v/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s="8" t="str">
        <f>IFERROR(__xludf.DUMMYFUNCTION("""COMPUTED_VALUE"""),"")</f>
        <v/>
      </c>
      <c r="L25" s="8" t="s">
        <v>299</v>
      </c>
    </row>
    <row r="26">
      <c r="A26" s="10"/>
      <c r="B26" s="8" t="str">
        <f>IFERROR(__xludf.DUMMYFUNCTION("""COMPUTED_VALUE"""),"")</f>
        <v/>
      </c>
      <c r="C26" s="8" t="str">
        <f>IFERROR(__xludf.DUMMYFUNCTION("""COMPUTED_VALUE"""),"")</f>
        <v/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s="8" t="str">
        <f>IFERROR(__xludf.DUMMYFUNCTION("""COMPUTED_VALUE"""),"")</f>
        <v/>
      </c>
      <c r="L26" s="8" t="s">
        <v>299</v>
      </c>
    </row>
    <row r="27">
      <c r="A27" s="10"/>
      <c r="B27" s="8" t="str">
        <f>IFERROR(__xludf.DUMMYFUNCTION("""COMPUTED_VALUE"""),"")</f>
        <v/>
      </c>
      <c r="C27" s="8" t="str">
        <f>IFERROR(__xludf.DUMMYFUNCTION("""COMPUTED_VALUE"""),"")</f>
        <v/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s="8" t="str">
        <f>IFERROR(__xludf.DUMMYFUNCTION("""COMPUTED_VALUE"""),"")</f>
        <v/>
      </c>
      <c r="L27" s="8" t="s">
        <v>299</v>
      </c>
    </row>
    <row r="28">
      <c r="A28" s="10"/>
      <c r="B28" s="8" t="str">
        <f>IFERROR(__xludf.DUMMYFUNCTION("""COMPUTED_VALUE"""),"")</f>
        <v/>
      </c>
      <c r="C28" s="8" t="str">
        <f>IFERROR(__xludf.DUMMYFUNCTION("""COMPUTED_VALUE"""),"")</f>
        <v/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s="8" t="str">
        <f>IFERROR(__xludf.DUMMYFUNCTION("""COMPUTED_VALUE"""),"")</f>
        <v/>
      </c>
      <c r="L28" s="8" t="s">
        <v>299</v>
      </c>
    </row>
    <row r="29">
      <c r="A29" s="10"/>
      <c r="B29" s="8" t="str">
        <f>IFERROR(__xludf.DUMMYFUNCTION("""COMPUTED_VALUE"""),"")</f>
        <v/>
      </c>
      <c r="C29" s="8" t="str">
        <f>IFERROR(__xludf.DUMMYFUNCTION("""COMPUTED_VALUE"""),"")</f>
        <v/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s="8" t="str">
        <f>IFERROR(__xludf.DUMMYFUNCTION("""COMPUTED_VALUE"""),"")</f>
        <v/>
      </c>
      <c r="L29" s="8" t="s">
        <v>299</v>
      </c>
    </row>
    <row r="30">
      <c r="A30" s="10"/>
      <c r="B30" s="8" t="str">
        <f>IFERROR(__xludf.DUMMYFUNCTION("""COMPUTED_VALUE"""),"")</f>
        <v/>
      </c>
      <c r="C30" s="8" t="str">
        <f>IFERROR(__xludf.DUMMYFUNCTION("""COMPUTED_VALUE"""),"")</f>
        <v/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s="8" t="str">
        <f>IFERROR(__xludf.DUMMYFUNCTION("""COMPUTED_VALUE"""),"")</f>
        <v/>
      </c>
      <c r="L30" s="8" t="s">
        <v>299</v>
      </c>
    </row>
    <row r="31">
      <c r="A31" s="10"/>
      <c r="B31" s="8" t="str">
        <f>IFERROR(__xludf.DUMMYFUNCTION("""COMPUTED_VALUE"""),"")</f>
        <v/>
      </c>
      <c r="C31" s="8" t="str">
        <f>IFERROR(__xludf.DUMMYFUNCTION("""COMPUTED_VALUE"""),"")</f>
        <v/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s="8" t="str">
        <f>IFERROR(__xludf.DUMMYFUNCTION("""COMPUTED_VALUE"""),"")</f>
        <v/>
      </c>
      <c r="L31" s="8" t="s">
        <v>299</v>
      </c>
    </row>
    <row r="32">
      <c r="A32" s="10"/>
      <c r="B32" s="8" t="str">
        <f>IFERROR(__xludf.DUMMYFUNCTION("""COMPUTED_VALUE"""),"")</f>
        <v/>
      </c>
      <c r="C32" s="8" t="str">
        <f>IFERROR(__xludf.DUMMYFUNCTION("""COMPUTED_VALUE"""),"")</f>
        <v/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s="8" t="str">
        <f>IFERROR(__xludf.DUMMYFUNCTION("""COMPUTED_VALUE"""),"")</f>
        <v/>
      </c>
      <c r="L32" s="8" t="s">
        <v>299</v>
      </c>
    </row>
    <row r="33">
      <c r="A33" s="10"/>
      <c r="B33" s="8" t="str">
        <f>IFERROR(__xludf.DUMMYFUNCTION("""COMPUTED_VALUE"""),"")</f>
        <v/>
      </c>
      <c r="C33" s="8" t="str">
        <f>IFERROR(__xludf.DUMMYFUNCTION("""COMPUTED_VALUE"""),"")</f>
        <v/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s="8" t="str">
        <f>IFERROR(__xludf.DUMMYFUNCTION("""COMPUTED_VALUE"""),"")</f>
        <v/>
      </c>
      <c r="L33" s="8" t="s">
        <v>299</v>
      </c>
    </row>
    <row r="34">
      <c r="A34" s="10"/>
      <c r="B34" s="8" t="str">
        <f>IFERROR(__xludf.DUMMYFUNCTION("""COMPUTED_VALUE"""),"")</f>
        <v/>
      </c>
      <c r="C34" s="8" t="str">
        <f>IFERROR(__xludf.DUMMYFUNCTION("""COMPUTED_VALUE"""),"")</f>
        <v/>
      </c>
      <c r="D34" s="8" t="str">
        <f>IFERROR(__xludf.DUMMYFUNCTION("""COMPUTED_VALUE"""),"")</f>
        <v/>
      </c>
      <c r="E34" s="8" t="str">
        <f>IFERROR(__xludf.DUMMYFUNCTION("""COMPUTED_VALUE"""),"")</f>
        <v/>
      </c>
      <c r="F34" s="8" t="str">
        <f>IFERROR(__xludf.DUMMYFUNCTION("""COMPUTED_VALUE"""),"")</f>
        <v/>
      </c>
      <c r="G34" s="8" t="str">
        <f>IFERROR(__xludf.DUMMYFUNCTION("""COMPUTED_VALUE"""),"")</f>
        <v/>
      </c>
      <c r="L34" s="8" t="s">
        <v>299</v>
      </c>
    </row>
    <row r="35">
      <c r="A35" s="10"/>
      <c r="B35" s="8" t="str">
        <f>IFERROR(__xludf.DUMMYFUNCTION("""COMPUTED_VALUE"""),"")</f>
        <v/>
      </c>
      <c r="C35" s="8" t="str">
        <f>IFERROR(__xludf.DUMMYFUNCTION("""COMPUTED_VALUE"""),"")</f>
        <v/>
      </c>
      <c r="D35" s="8" t="str">
        <f>IFERROR(__xludf.DUMMYFUNCTION("""COMPUTED_VALUE"""),"")</f>
        <v/>
      </c>
      <c r="E35" s="8" t="str">
        <f>IFERROR(__xludf.DUMMYFUNCTION("""COMPUTED_VALUE"""),"")</f>
        <v/>
      </c>
      <c r="F35" s="8" t="str">
        <f>IFERROR(__xludf.DUMMYFUNCTION("""COMPUTED_VALUE"""),"")</f>
        <v/>
      </c>
      <c r="G35" s="8" t="str">
        <f>IFERROR(__xludf.DUMMYFUNCTION("""COMPUTED_VALUE"""),"")</f>
        <v/>
      </c>
      <c r="L35" s="8" t="s">
        <v>299</v>
      </c>
    </row>
    <row r="36">
      <c r="A36" s="10"/>
      <c r="B36" s="8" t="str">
        <f>IFERROR(__xludf.DUMMYFUNCTION("""COMPUTED_VALUE"""),"")</f>
        <v/>
      </c>
      <c r="C36" s="8" t="str">
        <f>IFERROR(__xludf.DUMMYFUNCTION("""COMPUTED_VALUE"""),"")</f>
        <v/>
      </c>
      <c r="D36" s="8" t="str">
        <f>IFERROR(__xludf.DUMMYFUNCTION("""COMPUTED_VALUE"""),"")</f>
        <v/>
      </c>
      <c r="E36" s="8" t="str">
        <f>IFERROR(__xludf.DUMMYFUNCTION("""COMPUTED_VALUE"""),"")</f>
        <v/>
      </c>
      <c r="F36" s="8" t="str">
        <f>IFERROR(__xludf.DUMMYFUNCTION("""COMPUTED_VALUE"""),"")</f>
        <v/>
      </c>
      <c r="G36" s="8" t="str">
        <f>IFERROR(__xludf.DUMMYFUNCTION("""COMPUTED_VALUE"""),"")</f>
        <v/>
      </c>
      <c r="L36" s="8" t="s">
        <v>299</v>
      </c>
    </row>
    <row r="37">
      <c r="A37" s="10"/>
      <c r="B37" s="8" t="str">
        <f>IFERROR(__xludf.DUMMYFUNCTION("""COMPUTED_VALUE"""),"")</f>
        <v/>
      </c>
      <c r="C37" s="8" t="str">
        <f>IFERROR(__xludf.DUMMYFUNCTION("""COMPUTED_VALUE"""),"")</f>
        <v/>
      </c>
      <c r="D37" s="8" t="str">
        <f>IFERROR(__xludf.DUMMYFUNCTION("""COMPUTED_VALUE"""),"")</f>
        <v/>
      </c>
      <c r="E37" s="8" t="str">
        <f>IFERROR(__xludf.DUMMYFUNCTION("""COMPUTED_VALUE"""),"")</f>
        <v/>
      </c>
      <c r="F37" s="8" t="str">
        <f>IFERROR(__xludf.DUMMYFUNCTION("""COMPUTED_VALUE"""),"")</f>
        <v/>
      </c>
      <c r="G37" s="8" t="str">
        <f>IFERROR(__xludf.DUMMYFUNCTION("""COMPUTED_VALUE"""),"")</f>
        <v/>
      </c>
      <c r="L37" s="8" t="s">
        <v>299</v>
      </c>
    </row>
    <row r="38">
      <c r="A38" s="10"/>
      <c r="B38" s="8" t="str">
        <f>IFERROR(__xludf.DUMMYFUNCTION("""COMPUTED_VALUE"""),"")</f>
        <v/>
      </c>
      <c r="C38" s="8" t="str">
        <f>IFERROR(__xludf.DUMMYFUNCTION("""COMPUTED_VALUE"""),"")</f>
        <v/>
      </c>
      <c r="D38" s="8" t="str">
        <f>IFERROR(__xludf.DUMMYFUNCTION("""COMPUTED_VALUE"""),"")</f>
        <v/>
      </c>
      <c r="E38" s="8" t="str">
        <f>IFERROR(__xludf.DUMMYFUNCTION("""COMPUTED_VALUE"""),"")</f>
        <v/>
      </c>
      <c r="F38" s="8" t="str">
        <f>IFERROR(__xludf.DUMMYFUNCTION("""COMPUTED_VALUE"""),"")</f>
        <v/>
      </c>
      <c r="G38" s="8" t="str">
        <f>IFERROR(__xludf.DUMMYFUNCTION("""COMPUTED_VALUE"""),"")</f>
        <v/>
      </c>
      <c r="L38" s="8" t="s">
        <v>299</v>
      </c>
    </row>
    <row r="39">
      <c r="A39" s="10"/>
      <c r="B39" s="8" t="str">
        <f>IFERROR(__xludf.DUMMYFUNCTION("""COMPUTED_VALUE"""),"")</f>
        <v/>
      </c>
      <c r="C39" s="8" t="str">
        <f>IFERROR(__xludf.DUMMYFUNCTION("""COMPUTED_VALUE"""),"")</f>
        <v/>
      </c>
      <c r="D39" s="8" t="str">
        <f>IFERROR(__xludf.DUMMYFUNCTION("""COMPUTED_VALUE"""),"")</f>
        <v/>
      </c>
      <c r="E39" s="8" t="str">
        <f>IFERROR(__xludf.DUMMYFUNCTION("""COMPUTED_VALUE"""),"")</f>
        <v/>
      </c>
      <c r="F39" s="8" t="str">
        <f>IFERROR(__xludf.DUMMYFUNCTION("""COMPUTED_VALUE"""),"")</f>
        <v/>
      </c>
      <c r="G39" s="8" t="str">
        <f>IFERROR(__xludf.DUMMYFUNCTION("""COMPUTED_VALUE"""),"")</f>
        <v/>
      </c>
      <c r="L39" s="8" t="s">
        <v>299</v>
      </c>
    </row>
    <row r="40">
      <c r="A40" s="10"/>
      <c r="B40" s="8" t="str">
        <f>IFERROR(__xludf.DUMMYFUNCTION("""COMPUTED_VALUE"""),"")</f>
        <v/>
      </c>
      <c r="C40" s="8" t="str">
        <f>IFERROR(__xludf.DUMMYFUNCTION("""COMPUTED_VALUE"""),"")</f>
        <v/>
      </c>
      <c r="D40" s="8" t="str">
        <f>IFERROR(__xludf.DUMMYFUNCTION("""COMPUTED_VALUE"""),"")</f>
        <v/>
      </c>
      <c r="E40" s="8" t="str">
        <f>IFERROR(__xludf.DUMMYFUNCTION("""COMPUTED_VALUE"""),"")</f>
        <v/>
      </c>
      <c r="F40" s="8" t="str">
        <f>IFERROR(__xludf.DUMMYFUNCTION("""COMPUTED_VALUE"""),"")</f>
        <v/>
      </c>
      <c r="G40" s="8" t="str">
        <f>IFERROR(__xludf.DUMMYFUNCTION("""COMPUTED_VALUE"""),"")</f>
        <v/>
      </c>
      <c r="L40" s="8" t="s">
        <v>299</v>
      </c>
    </row>
    <row r="41">
      <c r="A41" s="10"/>
      <c r="B41" s="8" t="str">
        <f>IFERROR(__xludf.DUMMYFUNCTION("""COMPUTED_VALUE"""),"")</f>
        <v/>
      </c>
      <c r="C41" s="8" t="str">
        <f>IFERROR(__xludf.DUMMYFUNCTION("""COMPUTED_VALUE"""),"")</f>
        <v/>
      </c>
      <c r="D41" s="8" t="str">
        <f>IFERROR(__xludf.DUMMYFUNCTION("""COMPUTED_VALUE"""),"")</f>
        <v/>
      </c>
      <c r="E41" s="8" t="str">
        <f>IFERROR(__xludf.DUMMYFUNCTION("""COMPUTED_VALUE"""),"")</f>
        <v/>
      </c>
      <c r="F41" s="8" t="str">
        <f>IFERROR(__xludf.DUMMYFUNCTION("""COMPUTED_VALUE"""),"")</f>
        <v/>
      </c>
      <c r="G41" s="8" t="str">
        <f>IFERROR(__xludf.DUMMYFUNCTION("""COMPUTED_VALUE"""),"")</f>
        <v/>
      </c>
      <c r="L41" s="8" t="s">
        <v>299</v>
      </c>
    </row>
    <row r="42">
      <c r="A42" s="10"/>
      <c r="B42" s="8" t="str">
        <f>IFERROR(__xludf.DUMMYFUNCTION("""COMPUTED_VALUE"""),"")</f>
        <v/>
      </c>
      <c r="C42" s="8" t="str">
        <f>IFERROR(__xludf.DUMMYFUNCTION("""COMPUTED_VALUE"""),"")</f>
        <v/>
      </c>
      <c r="D42" s="8" t="str">
        <f>IFERROR(__xludf.DUMMYFUNCTION("""COMPUTED_VALUE"""),"")</f>
        <v/>
      </c>
      <c r="E42" s="8" t="str">
        <f>IFERROR(__xludf.DUMMYFUNCTION("""COMPUTED_VALUE"""),"")</f>
        <v/>
      </c>
      <c r="F42" s="8" t="str">
        <f>IFERROR(__xludf.DUMMYFUNCTION("""COMPUTED_VALUE"""),"")</f>
        <v/>
      </c>
      <c r="G42" s="8" t="str">
        <f>IFERROR(__xludf.DUMMYFUNCTION("""COMPUTED_VALUE"""),"")</f>
        <v/>
      </c>
      <c r="L42" s="8" t="s">
        <v>299</v>
      </c>
    </row>
    <row r="43">
      <c r="A43" s="10"/>
      <c r="B43" s="8" t="str">
        <f>IFERROR(__xludf.DUMMYFUNCTION("""COMPUTED_VALUE"""),"")</f>
        <v/>
      </c>
      <c r="C43" s="8" t="str">
        <f>IFERROR(__xludf.DUMMYFUNCTION("""COMPUTED_VALUE"""),"")</f>
        <v/>
      </c>
      <c r="D43" s="8" t="str">
        <f>IFERROR(__xludf.DUMMYFUNCTION("""COMPUTED_VALUE"""),"")</f>
        <v/>
      </c>
      <c r="E43" s="8" t="str">
        <f>IFERROR(__xludf.DUMMYFUNCTION("""COMPUTED_VALUE"""),"")</f>
        <v/>
      </c>
      <c r="F43" s="8" t="str">
        <f>IFERROR(__xludf.DUMMYFUNCTION("""COMPUTED_VALUE"""),"")</f>
        <v/>
      </c>
      <c r="G43" s="8" t="str">
        <f>IFERROR(__xludf.DUMMYFUNCTION("""COMPUTED_VALUE"""),"")</f>
        <v/>
      </c>
      <c r="L43" s="8" t="s">
        <v>299</v>
      </c>
    </row>
    <row r="44">
      <c r="A44" s="10"/>
      <c r="B44" s="8" t="str">
        <f>IFERROR(__xludf.DUMMYFUNCTION("""COMPUTED_VALUE"""),"")</f>
        <v/>
      </c>
      <c r="C44" s="8" t="str">
        <f>IFERROR(__xludf.DUMMYFUNCTION("""COMPUTED_VALUE"""),"")</f>
        <v/>
      </c>
      <c r="D44" s="8" t="str">
        <f>IFERROR(__xludf.DUMMYFUNCTION("""COMPUTED_VALUE"""),"")</f>
        <v/>
      </c>
      <c r="E44" s="8" t="str">
        <f>IFERROR(__xludf.DUMMYFUNCTION("""COMPUTED_VALUE"""),"")</f>
        <v/>
      </c>
      <c r="F44" s="8" t="str">
        <f>IFERROR(__xludf.DUMMYFUNCTION("""COMPUTED_VALUE"""),"")</f>
        <v/>
      </c>
      <c r="G44" s="8" t="str">
        <f>IFERROR(__xludf.DUMMYFUNCTION("""COMPUTED_VALUE"""),"")</f>
        <v/>
      </c>
      <c r="L44" s="8" t="s">
        <v>299</v>
      </c>
    </row>
    <row r="45">
      <c r="A45" s="10"/>
      <c r="B45" s="8" t="str">
        <f>IFERROR(__xludf.DUMMYFUNCTION("""COMPUTED_VALUE"""),"")</f>
        <v/>
      </c>
      <c r="C45" s="8" t="str">
        <f>IFERROR(__xludf.DUMMYFUNCTION("""COMPUTED_VALUE"""),"")</f>
        <v/>
      </c>
      <c r="D45" s="8" t="str">
        <f>IFERROR(__xludf.DUMMYFUNCTION("""COMPUTED_VALUE"""),"")</f>
        <v/>
      </c>
      <c r="E45" s="8" t="str">
        <f>IFERROR(__xludf.DUMMYFUNCTION("""COMPUTED_VALUE"""),"")</f>
        <v/>
      </c>
      <c r="F45" s="8" t="str">
        <f>IFERROR(__xludf.DUMMYFUNCTION("""COMPUTED_VALUE"""),"")</f>
        <v/>
      </c>
      <c r="G45" s="8" t="str">
        <f>IFERROR(__xludf.DUMMYFUNCTION("""COMPUTED_VALUE"""),"")</f>
        <v/>
      </c>
      <c r="L45" s="8" t="s">
        <v>299</v>
      </c>
    </row>
    <row r="46">
      <c r="A46" s="10"/>
      <c r="B46" s="8" t="str">
        <f>IFERROR(__xludf.DUMMYFUNCTION("""COMPUTED_VALUE"""),"")</f>
        <v/>
      </c>
      <c r="C46" s="8" t="str">
        <f>IFERROR(__xludf.DUMMYFUNCTION("""COMPUTED_VALUE"""),"")</f>
        <v/>
      </c>
      <c r="D46" s="8" t="str">
        <f>IFERROR(__xludf.DUMMYFUNCTION("""COMPUTED_VALUE"""),"")</f>
        <v/>
      </c>
      <c r="E46" s="8" t="str">
        <f>IFERROR(__xludf.DUMMYFUNCTION("""COMPUTED_VALUE"""),"")</f>
        <v/>
      </c>
      <c r="F46" s="8" t="str">
        <f>IFERROR(__xludf.DUMMYFUNCTION("""COMPUTED_VALUE"""),"")</f>
        <v/>
      </c>
      <c r="G46" s="8" t="str">
        <f>IFERROR(__xludf.DUMMYFUNCTION("""COMPUTED_VALUE"""),"")</f>
        <v/>
      </c>
      <c r="L46" s="8" t="s">
        <v>299</v>
      </c>
    </row>
    <row r="47">
      <c r="A47" s="10"/>
      <c r="B47" s="8" t="str">
        <f>IFERROR(__xludf.DUMMYFUNCTION("""COMPUTED_VALUE"""),"")</f>
        <v/>
      </c>
      <c r="C47" s="8" t="str">
        <f>IFERROR(__xludf.DUMMYFUNCTION("""COMPUTED_VALUE"""),"")</f>
        <v/>
      </c>
      <c r="D47" s="8" t="str">
        <f>IFERROR(__xludf.DUMMYFUNCTION("""COMPUTED_VALUE"""),"")</f>
        <v/>
      </c>
      <c r="E47" s="8" t="str">
        <f>IFERROR(__xludf.DUMMYFUNCTION("""COMPUTED_VALUE"""),"")</f>
        <v/>
      </c>
      <c r="F47" s="8" t="str">
        <f>IFERROR(__xludf.DUMMYFUNCTION("""COMPUTED_VALUE"""),"")</f>
        <v/>
      </c>
      <c r="G47" s="8" t="str">
        <f>IFERROR(__xludf.DUMMYFUNCTION("""COMPUTED_VALUE"""),"")</f>
        <v/>
      </c>
      <c r="L47" s="8" t="s">
        <v>299</v>
      </c>
    </row>
    <row r="48">
      <c r="A48" s="10"/>
      <c r="B48" s="8" t="str">
        <f>IFERROR(__xludf.DUMMYFUNCTION("""COMPUTED_VALUE"""),"")</f>
        <v/>
      </c>
      <c r="C48" s="8" t="str">
        <f>IFERROR(__xludf.DUMMYFUNCTION("""COMPUTED_VALUE"""),"")</f>
        <v/>
      </c>
      <c r="D48" s="8" t="str">
        <f>IFERROR(__xludf.DUMMYFUNCTION("""COMPUTED_VALUE"""),"")</f>
        <v/>
      </c>
      <c r="E48" s="8" t="str">
        <f>IFERROR(__xludf.DUMMYFUNCTION("""COMPUTED_VALUE"""),"")</f>
        <v/>
      </c>
      <c r="F48" s="8" t="str">
        <f>IFERROR(__xludf.DUMMYFUNCTION("""COMPUTED_VALUE"""),"")</f>
        <v/>
      </c>
      <c r="G48" s="8" t="str">
        <f>IFERROR(__xludf.DUMMYFUNCTION("""COMPUTED_VALUE"""),"")</f>
        <v/>
      </c>
      <c r="L48" s="8" t="s">
        <v>299</v>
      </c>
    </row>
    <row r="49">
      <c r="A49" s="10"/>
      <c r="B49" s="8" t="str">
        <f>IFERROR(__xludf.DUMMYFUNCTION("""COMPUTED_VALUE"""),"")</f>
        <v/>
      </c>
      <c r="C49" s="8" t="str">
        <f>IFERROR(__xludf.DUMMYFUNCTION("""COMPUTED_VALUE"""),"")</f>
        <v/>
      </c>
      <c r="D49" s="8" t="str">
        <f>IFERROR(__xludf.DUMMYFUNCTION("""COMPUTED_VALUE"""),"")</f>
        <v/>
      </c>
      <c r="E49" s="8" t="str">
        <f>IFERROR(__xludf.DUMMYFUNCTION("""COMPUTED_VALUE"""),"")</f>
        <v/>
      </c>
      <c r="F49" s="8" t="str">
        <f>IFERROR(__xludf.DUMMYFUNCTION("""COMPUTED_VALUE"""),"")</f>
        <v/>
      </c>
      <c r="G49" s="8" t="str">
        <f>IFERROR(__xludf.DUMMYFUNCTION("""COMPUTED_VALUE"""),"")</f>
        <v/>
      </c>
      <c r="L49" s="8" t="s">
        <v>299</v>
      </c>
    </row>
    <row r="50">
      <c r="A50" s="10"/>
      <c r="B50" s="8" t="str">
        <f>IFERROR(__xludf.DUMMYFUNCTION("""COMPUTED_VALUE"""),"")</f>
        <v/>
      </c>
      <c r="C50" s="8" t="str">
        <f>IFERROR(__xludf.DUMMYFUNCTION("""COMPUTED_VALUE"""),"")</f>
        <v/>
      </c>
      <c r="D50" s="8" t="str">
        <f>IFERROR(__xludf.DUMMYFUNCTION("""COMPUTED_VALUE"""),"")</f>
        <v/>
      </c>
      <c r="E50" s="8" t="str">
        <f>IFERROR(__xludf.DUMMYFUNCTION("""COMPUTED_VALUE"""),"")</f>
        <v/>
      </c>
      <c r="F50" s="8" t="str">
        <f>IFERROR(__xludf.DUMMYFUNCTION("""COMPUTED_VALUE"""),"")</f>
        <v/>
      </c>
      <c r="G50" s="8" t="str">
        <f>IFERROR(__xludf.DUMMYFUNCTION("""COMPUTED_VALUE"""),"")</f>
        <v/>
      </c>
      <c r="L50" s="8" t="s">
        <v>299</v>
      </c>
    </row>
    <row r="51">
      <c r="A51" s="10"/>
      <c r="B51" s="8" t="str">
        <f>IFERROR(__xludf.DUMMYFUNCTION("""COMPUTED_VALUE"""),"")</f>
        <v/>
      </c>
      <c r="C51" s="8" t="str">
        <f>IFERROR(__xludf.DUMMYFUNCTION("""COMPUTED_VALUE"""),"")</f>
        <v/>
      </c>
      <c r="D51" s="8" t="str">
        <f>IFERROR(__xludf.DUMMYFUNCTION("""COMPUTED_VALUE"""),"")</f>
        <v/>
      </c>
      <c r="E51" s="8" t="str">
        <f>IFERROR(__xludf.DUMMYFUNCTION("""COMPUTED_VALUE"""),"")</f>
        <v/>
      </c>
      <c r="F51" s="8" t="str">
        <f>IFERROR(__xludf.DUMMYFUNCTION("""COMPUTED_VALUE"""),"")</f>
        <v/>
      </c>
      <c r="G51" s="8" t="str">
        <f>IFERROR(__xludf.DUMMYFUNCTION("""COMPUTED_VALUE"""),"")</f>
        <v/>
      </c>
      <c r="L51" s="8" t="s">
        <v>299</v>
      </c>
    </row>
    <row r="52">
      <c r="A52" s="10"/>
      <c r="B52" s="8" t="str">
        <f>IFERROR(__xludf.DUMMYFUNCTION("""COMPUTED_VALUE"""),"")</f>
        <v/>
      </c>
      <c r="C52" s="8" t="str">
        <f>IFERROR(__xludf.DUMMYFUNCTION("""COMPUTED_VALUE"""),"")</f>
        <v/>
      </c>
      <c r="D52" s="8" t="str">
        <f>IFERROR(__xludf.DUMMYFUNCTION("""COMPUTED_VALUE"""),"")</f>
        <v/>
      </c>
      <c r="E52" s="8" t="str">
        <f>IFERROR(__xludf.DUMMYFUNCTION("""COMPUTED_VALUE"""),"")</f>
        <v/>
      </c>
      <c r="F52" s="8" t="str">
        <f>IFERROR(__xludf.DUMMYFUNCTION("""COMPUTED_VALUE"""),"")</f>
        <v/>
      </c>
      <c r="G52" s="8" t="str">
        <f>IFERROR(__xludf.DUMMYFUNCTION("""COMPUTED_VALUE"""),"")</f>
        <v/>
      </c>
      <c r="L52" s="8" t="s">
        <v>299</v>
      </c>
    </row>
    <row r="53">
      <c r="A53" s="10"/>
      <c r="B53" s="8" t="str">
        <f>IFERROR(__xludf.DUMMYFUNCTION("""COMPUTED_VALUE"""),"")</f>
        <v/>
      </c>
      <c r="C53" s="8" t="str">
        <f>IFERROR(__xludf.DUMMYFUNCTION("""COMPUTED_VALUE"""),"")</f>
        <v/>
      </c>
      <c r="D53" s="8" t="str">
        <f>IFERROR(__xludf.DUMMYFUNCTION("""COMPUTED_VALUE"""),"")</f>
        <v/>
      </c>
      <c r="E53" s="8" t="str">
        <f>IFERROR(__xludf.DUMMYFUNCTION("""COMPUTED_VALUE"""),"")</f>
        <v/>
      </c>
      <c r="F53" s="8" t="str">
        <f>IFERROR(__xludf.DUMMYFUNCTION("""COMPUTED_VALUE"""),"")</f>
        <v/>
      </c>
      <c r="G53" s="8" t="str">
        <f>IFERROR(__xludf.DUMMYFUNCTION("""COMPUTED_VALUE"""),"")</f>
        <v/>
      </c>
      <c r="L53" s="8" t="s">
        <v>299</v>
      </c>
    </row>
    <row r="54">
      <c r="A54" s="10"/>
      <c r="B54" s="8" t="str">
        <f>IFERROR(__xludf.DUMMYFUNCTION("""COMPUTED_VALUE"""),"")</f>
        <v/>
      </c>
      <c r="C54" s="8" t="str">
        <f>IFERROR(__xludf.DUMMYFUNCTION("""COMPUTED_VALUE"""),"")</f>
        <v/>
      </c>
      <c r="D54" s="8" t="str">
        <f>IFERROR(__xludf.DUMMYFUNCTION("""COMPUTED_VALUE"""),"")</f>
        <v/>
      </c>
      <c r="E54" s="8" t="str">
        <f>IFERROR(__xludf.DUMMYFUNCTION("""COMPUTED_VALUE"""),"")</f>
        <v/>
      </c>
      <c r="F54" s="8" t="str">
        <f>IFERROR(__xludf.DUMMYFUNCTION("""COMPUTED_VALUE"""),"")</f>
        <v/>
      </c>
      <c r="G54" s="8" t="str">
        <f>IFERROR(__xludf.DUMMYFUNCTION("""COMPUTED_VALUE"""),"")</f>
        <v/>
      </c>
      <c r="L54" s="8" t="s">
        <v>299</v>
      </c>
    </row>
    <row r="55">
      <c r="A55" s="10"/>
      <c r="B55" s="8" t="str">
        <f>IFERROR(__xludf.DUMMYFUNCTION("""COMPUTED_VALUE"""),"")</f>
        <v/>
      </c>
      <c r="C55" s="8" t="str">
        <f>IFERROR(__xludf.DUMMYFUNCTION("""COMPUTED_VALUE"""),"")</f>
        <v/>
      </c>
      <c r="D55" s="8" t="str">
        <f>IFERROR(__xludf.DUMMYFUNCTION("""COMPUTED_VALUE"""),"")</f>
        <v/>
      </c>
      <c r="E55" s="8" t="str">
        <f>IFERROR(__xludf.DUMMYFUNCTION("""COMPUTED_VALUE"""),"")</f>
        <v/>
      </c>
      <c r="F55" s="8" t="str">
        <f>IFERROR(__xludf.DUMMYFUNCTION("""COMPUTED_VALUE"""),"")</f>
        <v/>
      </c>
      <c r="G55" s="8" t="str">
        <f>IFERROR(__xludf.DUMMYFUNCTION("""COMPUTED_VALUE"""),"")</f>
        <v/>
      </c>
      <c r="L55" s="8" t="s">
        <v>299</v>
      </c>
    </row>
    <row r="56">
      <c r="A56" s="10"/>
      <c r="B56" s="8" t="str">
        <f>IFERROR(__xludf.DUMMYFUNCTION("""COMPUTED_VALUE"""),"")</f>
        <v/>
      </c>
      <c r="C56" s="8" t="str">
        <f>IFERROR(__xludf.DUMMYFUNCTION("""COMPUTED_VALUE"""),"")</f>
        <v/>
      </c>
      <c r="D56" s="8" t="str">
        <f>IFERROR(__xludf.DUMMYFUNCTION("""COMPUTED_VALUE"""),"")</f>
        <v/>
      </c>
      <c r="E56" s="8" t="str">
        <f>IFERROR(__xludf.DUMMYFUNCTION("""COMPUTED_VALUE"""),"")</f>
        <v/>
      </c>
      <c r="F56" s="8" t="str">
        <f>IFERROR(__xludf.DUMMYFUNCTION("""COMPUTED_VALUE"""),"")</f>
        <v/>
      </c>
      <c r="G56" s="8" t="str">
        <f>IFERROR(__xludf.DUMMYFUNCTION("""COMPUTED_VALUE"""),"")</f>
        <v/>
      </c>
      <c r="L56" s="8" t="s">
        <v>299</v>
      </c>
    </row>
    <row r="57">
      <c r="A57" s="10"/>
      <c r="B57" s="8" t="str">
        <f>IFERROR(__xludf.DUMMYFUNCTION("""COMPUTED_VALUE"""),"")</f>
        <v/>
      </c>
      <c r="C57" s="8" t="str">
        <f>IFERROR(__xludf.DUMMYFUNCTION("""COMPUTED_VALUE"""),"")</f>
        <v/>
      </c>
      <c r="D57" s="8" t="str">
        <f>IFERROR(__xludf.DUMMYFUNCTION("""COMPUTED_VALUE"""),"")</f>
        <v/>
      </c>
      <c r="E57" s="8" t="str">
        <f>IFERROR(__xludf.DUMMYFUNCTION("""COMPUTED_VALUE"""),"")</f>
        <v/>
      </c>
      <c r="F57" s="8" t="str">
        <f>IFERROR(__xludf.DUMMYFUNCTION("""COMPUTED_VALUE"""),"")</f>
        <v/>
      </c>
      <c r="G57" s="8" t="str">
        <f>IFERROR(__xludf.DUMMYFUNCTION("""COMPUTED_VALUE"""),"")</f>
        <v/>
      </c>
      <c r="L57" s="8" t="s">
        <v>299</v>
      </c>
    </row>
    <row r="58">
      <c r="A58" s="10"/>
      <c r="B58" s="8" t="str">
        <f>IFERROR(__xludf.DUMMYFUNCTION("""COMPUTED_VALUE"""),"")</f>
        <v/>
      </c>
      <c r="C58" s="8" t="str">
        <f>IFERROR(__xludf.DUMMYFUNCTION("""COMPUTED_VALUE"""),"")</f>
        <v/>
      </c>
      <c r="D58" s="8" t="str">
        <f>IFERROR(__xludf.DUMMYFUNCTION("""COMPUTED_VALUE"""),"")</f>
        <v/>
      </c>
      <c r="E58" s="8" t="str">
        <f>IFERROR(__xludf.DUMMYFUNCTION("""COMPUTED_VALUE"""),"")</f>
        <v/>
      </c>
      <c r="F58" s="8" t="str">
        <f>IFERROR(__xludf.DUMMYFUNCTION("""COMPUTED_VALUE"""),"")</f>
        <v/>
      </c>
      <c r="G58" s="8" t="str">
        <f>IFERROR(__xludf.DUMMYFUNCTION("""COMPUTED_VALUE"""),"")</f>
        <v/>
      </c>
      <c r="L58" s="8" t="s">
        <v>299</v>
      </c>
    </row>
    <row r="59">
      <c r="A59" s="10"/>
      <c r="B59" s="8" t="str">
        <f>IFERROR(__xludf.DUMMYFUNCTION("""COMPUTED_VALUE"""),"")</f>
        <v/>
      </c>
      <c r="C59" s="8" t="str">
        <f>IFERROR(__xludf.DUMMYFUNCTION("""COMPUTED_VALUE"""),"")</f>
        <v/>
      </c>
      <c r="D59" s="8" t="str">
        <f>IFERROR(__xludf.DUMMYFUNCTION("""COMPUTED_VALUE"""),"")</f>
        <v/>
      </c>
      <c r="E59" s="8" t="str">
        <f>IFERROR(__xludf.DUMMYFUNCTION("""COMPUTED_VALUE"""),"")</f>
        <v/>
      </c>
      <c r="F59" s="8" t="str">
        <f>IFERROR(__xludf.DUMMYFUNCTION("""COMPUTED_VALUE"""),"")</f>
        <v/>
      </c>
      <c r="G59" s="8" t="str">
        <f>IFERROR(__xludf.DUMMYFUNCTION("""COMPUTED_VALUE"""),"")</f>
        <v/>
      </c>
      <c r="L59" s="8" t="s">
        <v>299</v>
      </c>
    </row>
    <row r="60">
      <c r="A60" s="10"/>
      <c r="B60" s="8" t="str">
        <f>IFERROR(__xludf.DUMMYFUNCTION("""COMPUTED_VALUE"""),"")</f>
        <v/>
      </c>
      <c r="C60" s="8" t="str">
        <f>IFERROR(__xludf.DUMMYFUNCTION("""COMPUTED_VALUE"""),"")</f>
        <v/>
      </c>
      <c r="D60" s="8" t="str">
        <f>IFERROR(__xludf.DUMMYFUNCTION("""COMPUTED_VALUE"""),"")</f>
        <v/>
      </c>
      <c r="E60" s="8" t="str">
        <f>IFERROR(__xludf.DUMMYFUNCTION("""COMPUTED_VALUE"""),"")</f>
        <v/>
      </c>
      <c r="F60" s="8" t="str">
        <f>IFERROR(__xludf.DUMMYFUNCTION("""COMPUTED_VALUE"""),"")</f>
        <v/>
      </c>
      <c r="G60" s="8" t="str">
        <f>IFERROR(__xludf.DUMMYFUNCTION("""COMPUTED_VALUE"""),"")</f>
        <v/>
      </c>
      <c r="L60" s="8" t="s">
        <v>299</v>
      </c>
    </row>
    <row r="61">
      <c r="A61" s="10"/>
      <c r="B61" s="8" t="str">
        <f>IFERROR(__xludf.DUMMYFUNCTION("""COMPUTED_VALUE"""),"")</f>
        <v/>
      </c>
      <c r="C61" s="8" t="str">
        <f>IFERROR(__xludf.DUMMYFUNCTION("""COMPUTED_VALUE"""),"")</f>
        <v/>
      </c>
      <c r="D61" s="8" t="str">
        <f>IFERROR(__xludf.DUMMYFUNCTION("""COMPUTED_VALUE"""),"")</f>
        <v/>
      </c>
      <c r="E61" s="8" t="str">
        <f>IFERROR(__xludf.DUMMYFUNCTION("""COMPUTED_VALUE"""),"")</f>
        <v/>
      </c>
      <c r="F61" s="8" t="str">
        <f>IFERROR(__xludf.DUMMYFUNCTION("""COMPUTED_VALUE"""),"")</f>
        <v/>
      </c>
      <c r="G61" s="8" t="str">
        <f>IFERROR(__xludf.DUMMYFUNCTION("""COMPUTED_VALUE"""),"")</f>
        <v/>
      </c>
      <c r="L61" s="8" t="s">
        <v>299</v>
      </c>
    </row>
    <row r="62">
      <c r="A62" s="10"/>
      <c r="B62" s="8" t="str">
        <f>IFERROR(__xludf.DUMMYFUNCTION("""COMPUTED_VALUE"""),"")</f>
        <v/>
      </c>
      <c r="C62" s="8" t="str">
        <f>IFERROR(__xludf.DUMMYFUNCTION("""COMPUTED_VALUE"""),"")</f>
        <v/>
      </c>
      <c r="D62" s="8" t="str">
        <f>IFERROR(__xludf.DUMMYFUNCTION("""COMPUTED_VALUE"""),"")</f>
        <v/>
      </c>
      <c r="E62" s="8" t="str">
        <f>IFERROR(__xludf.DUMMYFUNCTION("""COMPUTED_VALUE"""),"")</f>
        <v/>
      </c>
      <c r="F62" s="8" t="str">
        <f>IFERROR(__xludf.DUMMYFUNCTION("""COMPUTED_VALUE"""),"")</f>
        <v/>
      </c>
      <c r="G62" s="8" t="str">
        <f>IFERROR(__xludf.DUMMYFUNCTION("""COMPUTED_VALUE"""),"")</f>
        <v/>
      </c>
      <c r="L62" s="8" t="s">
        <v>299</v>
      </c>
    </row>
    <row r="63">
      <c r="A63" s="10"/>
      <c r="B63" s="8" t="str">
        <f>IFERROR(__xludf.DUMMYFUNCTION("""COMPUTED_VALUE"""),"")</f>
        <v/>
      </c>
      <c r="C63" s="8" t="str">
        <f>IFERROR(__xludf.DUMMYFUNCTION("""COMPUTED_VALUE"""),"")</f>
        <v/>
      </c>
      <c r="D63" s="8" t="str">
        <f>IFERROR(__xludf.DUMMYFUNCTION("""COMPUTED_VALUE"""),"")</f>
        <v/>
      </c>
      <c r="E63" s="8" t="str">
        <f>IFERROR(__xludf.DUMMYFUNCTION("""COMPUTED_VALUE"""),"")</f>
        <v/>
      </c>
      <c r="F63" s="8" t="str">
        <f>IFERROR(__xludf.DUMMYFUNCTION("""COMPUTED_VALUE"""),"")</f>
        <v/>
      </c>
      <c r="G63" s="8" t="str">
        <f>IFERROR(__xludf.DUMMYFUNCTION("""COMPUTED_VALUE"""),"")</f>
        <v/>
      </c>
      <c r="L63" s="8" t="s">
        <v>299</v>
      </c>
    </row>
    <row r="64">
      <c r="A64" s="10"/>
      <c r="B64" s="8" t="str">
        <f>IFERROR(__xludf.DUMMYFUNCTION("""COMPUTED_VALUE"""),"")</f>
        <v/>
      </c>
      <c r="C64" s="8" t="str">
        <f>IFERROR(__xludf.DUMMYFUNCTION("""COMPUTED_VALUE"""),"")</f>
        <v/>
      </c>
      <c r="D64" s="8" t="str">
        <f>IFERROR(__xludf.DUMMYFUNCTION("""COMPUTED_VALUE"""),"")</f>
        <v/>
      </c>
      <c r="E64" s="8" t="str">
        <f>IFERROR(__xludf.DUMMYFUNCTION("""COMPUTED_VALUE"""),"")</f>
        <v/>
      </c>
      <c r="F64" s="8" t="str">
        <f>IFERROR(__xludf.DUMMYFUNCTION("""COMPUTED_VALUE"""),"")</f>
        <v/>
      </c>
      <c r="G64" s="8" t="str">
        <f>IFERROR(__xludf.DUMMYFUNCTION("""COMPUTED_VALUE"""),"")</f>
        <v/>
      </c>
      <c r="L64" s="8" t="s">
        <v>299</v>
      </c>
    </row>
    <row r="65">
      <c r="A65" s="10"/>
      <c r="B65" s="8" t="str">
        <f>IFERROR(__xludf.DUMMYFUNCTION("""COMPUTED_VALUE"""),"")</f>
        <v/>
      </c>
      <c r="C65" s="8" t="str">
        <f>IFERROR(__xludf.DUMMYFUNCTION("""COMPUTED_VALUE"""),"")</f>
        <v/>
      </c>
      <c r="D65" s="8" t="str">
        <f>IFERROR(__xludf.DUMMYFUNCTION("""COMPUTED_VALUE"""),"")</f>
        <v/>
      </c>
      <c r="E65" s="8" t="str">
        <f>IFERROR(__xludf.DUMMYFUNCTION("""COMPUTED_VALUE"""),"")</f>
        <v/>
      </c>
      <c r="F65" s="8" t="str">
        <f>IFERROR(__xludf.DUMMYFUNCTION("""COMPUTED_VALUE"""),"")</f>
        <v/>
      </c>
      <c r="G65" s="8" t="str">
        <f>IFERROR(__xludf.DUMMYFUNCTION("""COMPUTED_VALUE"""),"")</f>
        <v/>
      </c>
      <c r="L65" s="8" t="s">
        <v>299</v>
      </c>
    </row>
    <row r="66">
      <c r="A66" s="10"/>
      <c r="B66" s="8" t="str">
        <f>IFERROR(__xludf.DUMMYFUNCTION("""COMPUTED_VALUE"""),"")</f>
        <v/>
      </c>
      <c r="C66" s="8" t="str">
        <f>IFERROR(__xludf.DUMMYFUNCTION("""COMPUTED_VALUE"""),"")</f>
        <v/>
      </c>
      <c r="D66" s="8" t="str">
        <f>IFERROR(__xludf.DUMMYFUNCTION("""COMPUTED_VALUE"""),"")</f>
        <v/>
      </c>
      <c r="E66" s="8" t="str">
        <f>IFERROR(__xludf.DUMMYFUNCTION("""COMPUTED_VALUE"""),"")</f>
        <v/>
      </c>
      <c r="F66" s="8" t="str">
        <f>IFERROR(__xludf.DUMMYFUNCTION("""COMPUTED_VALUE"""),"")</f>
        <v/>
      </c>
      <c r="G66" s="8" t="str">
        <f>IFERROR(__xludf.DUMMYFUNCTION("""COMPUTED_VALUE"""),"")</f>
        <v/>
      </c>
      <c r="L66" s="8" t="s">
        <v>299</v>
      </c>
    </row>
    <row r="67">
      <c r="A67" s="10"/>
      <c r="B67" s="8" t="str">
        <f>IFERROR(__xludf.DUMMYFUNCTION("""COMPUTED_VALUE"""),"")</f>
        <v/>
      </c>
      <c r="C67" s="8" t="str">
        <f>IFERROR(__xludf.DUMMYFUNCTION("""COMPUTED_VALUE"""),"")</f>
        <v/>
      </c>
      <c r="D67" s="8" t="str">
        <f>IFERROR(__xludf.DUMMYFUNCTION("""COMPUTED_VALUE"""),"")</f>
        <v/>
      </c>
      <c r="E67" s="8" t="str">
        <f>IFERROR(__xludf.DUMMYFUNCTION("""COMPUTED_VALUE"""),"")</f>
        <v/>
      </c>
      <c r="F67" s="8" t="str">
        <f>IFERROR(__xludf.DUMMYFUNCTION("""COMPUTED_VALUE"""),"")</f>
        <v/>
      </c>
      <c r="G67" s="8" t="str">
        <f>IFERROR(__xludf.DUMMYFUNCTION("""COMPUTED_VALUE"""),"")</f>
        <v/>
      </c>
      <c r="L67" s="8" t="s">
        <v>299</v>
      </c>
    </row>
    <row r="68">
      <c r="A68" s="10"/>
      <c r="B68" s="8" t="str">
        <f>IFERROR(__xludf.DUMMYFUNCTION("""COMPUTED_VALUE"""),"")</f>
        <v/>
      </c>
      <c r="C68" s="8" t="str">
        <f>IFERROR(__xludf.DUMMYFUNCTION("""COMPUTED_VALUE"""),"")</f>
        <v/>
      </c>
      <c r="D68" s="8" t="str">
        <f>IFERROR(__xludf.DUMMYFUNCTION("""COMPUTED_VALUE"""),"")</f>
        <v/>
      </c>
      <c r="E68" s="8" t="str">
        <f>IFERROR(__xludf.DUMMYFUNCTION("""COMPUTED_VALUE"""),"")</f>
        <v/>
      </c>
      <c r="F68" s="8" t="str">
        <f>IFERROR(__xludf.DUMMYFUNCTION("""COMPUTED_VALUE"""),"")</f>
        <v/>
      </c>
      <c r="G68" s="8" t="str">
        <f>IFERROR(__xludf.DUMMYFUNCTION("""COMPUTED_VALUE"""),"")</f>
        <v/>
      </c>
      <c r="L68" s="8" t="s">
        <v>299</v>
      </c>
    </row>
    <row r="69">
      <c r="A69" s="10"/>
      <c r="B69" s="8" t="str">
        <f>IFERROR(__xludf.DUMMYFUNCTION("""COMPUTED_VALUE"""),"")</f>
        <v/>
      </c>
      <c r="C69" s="8" t="str">
        <f>IFERROR(__xludf.DUMMYFUNCTION("""COMPUTED_VALUE"""),"")</f>
        <v/>
      </c>
      <c r="D69" s="8" t="str">
        <f>IFERROR(__xludf.DUMMYFUNCTION("""COMPUTED_VALUE"""),"")</f>
        <v/>
      </c>
      <c r="E69" s="8" t="str">
        <f>IFERROR(__xludf.DUMMYFUNCTION("""COMPUTED_VALUE"""),"")</f>
        <v/>
      </c>
      <c r="F69" s="8" t="str">
        <f>IFERROR(__xludf.DUMMYFUNCTION("""COMPUTED_VALUE"""),"")</f>
        <v/>
      </c>
      <c r="G69" s="8" t="str">
        <f>IFERROR(__xludf.DUMMYFUNCTION("""COMPUTED_VALUE"""),"")</f>
        <v/>
      </c>
      <c r="L69" s="8" t="s">
        <v>299</v>
      </c>
    </row>
    <row r="70">
      <c r="A70" s="10"/>
      <c r="B70" s="8" t="str">
        <f>IFERROR(__xludf.DUMMYFUNCTION("""COMPUTED_VALUE"""),"")</f>
        <v/>
      </c>
      <c r="C70" s="8" t="str">
        <f>IFERROR(__xludf.DUMMYFUNCTION("""COMPUTED_VALUE"""),"")</f>
        <v/>
      </c>
      <c r="D70" s="8" t="str">
        <f>IFERROR(__xludf.DUMMYFUNCTION("""COMPUTED_VALUE"""),"")</f>
        <v/>
      </c>
      <c r="E70" s="8" t="str">
        <f>IFERROR(__xludf.DUMMYFUNCTION("""COMPUTED_VALUE"""),"")</f>
        <v/>
      </c>
      <c r="F70" s="8" t="str">
        <f>IFERROR(__xludf.DUMMYFUNCTION("""COMPUTED_VALUE"""),"")</f>
        <v/>
      </c>
      <c r="G70" s="8" t="str">
        <f>IFERROR(__xludf.DUMMYFUNCTION("""COMPUTED_VALUE"""),"")</f>
        <v/>
      </c>
      <c r="L70" s="8" t="s">
        <v>299</v>
      </c>
    </row>
    <row r="71">
      <c r="A71" s="10"/>
      <c r="B71" s="8" t="str">
        <f>IFERROR(__xludf.DUMMYFUNCTION("""COMPUTED_VALUE"""),"")</f>
        <v/>
      </c>
      <c r="C71" s="8" t="str">
        <f>IFERROR(__xludf.DUMMYFUNCTION("""COMPUTED_VALUE"""),"")</f>
        <v/>
      </c>
      <c r="D71" s="8" t="str">
        <f>IFERROR(__xludf.DUMMYFUNCTION("""COMPUTED_VALUE"""),"")</f>
        <v/>
      </c>
      <c r="E71" s="8" t="str">
        <f>IFERROR(__xludf.DUMMYFUNCTION("""COMPUTED_VALUE"""),"")</f>
        <v/>
      </c>
      <c r="F71" s="8" t="str">
        <f>IFERROR(__xludf.DUMMYFUNCTION("""COMPUTED_VALUE"""),"")</f>
        <v/>
      </c>
      <c r="G71" s="8" t="str">
        <f>IFERROR(__xludf.DUMMYFUNCTION("""COMPUTED_VALUE"""),"")</f>
        <v/>
      </c>
      <c r="L71" s="8" t="s">
        <v>299</v>
      </c>
    </row>
    <row r="72">
      <c r="A72" s="10"/>
      <c r="B72" s="8" t="str">
        <f>IFERROR(__xludf.DUMMYFUNCTION("""COMPUTED_VALUE"""),"")</f>
        <v/>
      </c>
      <c r="C72" s="8" t="str">
        <f>IFERROR(__xludf.DUMMYFUNCTION("""COMPUTED_VALUE"""),"")</f>
        <v/>
      </c>
      <c r="D72" s="8" t="str">
        <f>IFERROR(__xludf.DUMMYFUNCTION("""COMPUTED_VALUE"""),"")</f>
        <v/>
      </c>
      <c r="E72" s="8" t="str">
        <f>IFERROR(__xludf.DUMMYFUNCTION("""COMPUTED_VALUE"""),"")</f>
        <v/>
      </c>
      <c r="F72" s="8" t="str">
        <f>IFERROR(__xludf.DUMMYFUNCTION("""COMPUTED_VALUE"""),"")</f>
        <v/>
      </c>
      <c r="G72" s="8" t="str">
        <f>IFERROR(__xludf.DUMMYFUNCTION("""COMPUTED_VALUE"""),"")</f>
        <v/>
      </c>
      <c r="L72" s="8" t="s">
        <v>299</v>
      </c>
    </row>
    <row r="73">
      <c r="A73" s="10"/>
      <c r="B73" s="8" t="str">
        <f>IFERROR(__xludf.DUMMYFUNCTION("""COMPUTED_VALUE"""),"")</f>
        <v/>
      </c>
      <c r="C73" s="8" t="str">
        <f>IFERROR(__xludf.DUMMYFUNCTION("""COMPUTED_VALUE"""),"")</f>
        <v/>
      </c>
      <c r="D73" s="8" t="str">
        <f>IFERROR(__xludf.DUMMYFUNCTION("""COMPUTED_VALUE"""),"")</f>
        <v/>
      </c>
      <c r="E73" s="8" t="str">
        <f>IFERROR(__xludf.DUMMYFUNCTION("""COMPUTED_VALUE"""),"")</f>
        <v/>
      </c>
      <c r="F73" s="8" t="str">
        <f>IFERROR(__xludf.DUMMYFUNCTION("""COMPUTED_VALUE"""),"")</f>
        <v/>
      </c>
      <c r="G73" s="8" t="str">
        <f>IFERROR(__xludf.DUMMYFUNCTION("""COMPUTED_VALUE"""),"")</f>
        <v/>
      </c>
      <c r="L73" s="8" t="s">
        <v>299</v>
      </c>
    </row>
    <row r="74">
      <c r="A74" s="10"/>
      <c r="B74" s="8" t="str">
        <f>IFERROR(__xludf.DUMMYFUNCTION("""COMPUTED_VALUE"""),"")</f>
        <v/>
      </c>
      <c r="C74" s="8" t="str">
        <f>IFERROR(__xludf.DUMMYFUNCTION("""COMPUTED_VALUE"""),"")</f>
        <v/>
      </c>
      <c r="D74" s="8" t="str">
        <f>IFERROR(__xludf.DUMMYFUNCTION("""COMPUTED_VALUE"""),"")</f>
        <v/>
      </c>
      <c r="E74" s="8" t="str">
        <f>IFERROR(__xludf.DUMMYFUNCTION("""COMPUTED_VALUE"""),"")</f>
        <v/>
      </c>
      <c r="F74" s="8" t="str">
        <f>IFERROR(__xludf.DUMMYFUNCTION("""COMPUTED_VALUE"""),"")</f>
        <v/>
      </c>
      <c r="G74" s="8" t="str">
        <f>IFERROR(__xludf.DUMMYFUNCTION("""COMPUTED_VALUE"""),"")</f>
        <v/>
      </c>
      <c r="L74" s="8" t="s">
        <v>299</v>
      </c>
    </row>
    <row r="75">
      <c r="A75" s="10"/>
      <c r="B75" s="8" t="str">
        <f>IFERROR(__xludf.DUMMYFUNCTION("""COMPUTED_VALUE"""),"")</f>
        <v/>
      </c>
      <c r="C75" s="8" t="str">
        <f>IFERROR(__xludf.DUMMYFUNCTION("""COMPUTED_VALUE"""),"")</f>
        <v/>
      </c>
      <c r="D75" s="8" t="str">
        <f>IFERROR(__xludf.DUMMYFUNCTION("""COMPUTED_VALUE"""),"")</f>
        <v/>
      </c>
      <c r="E75" s="8" t="str">
        <f>IFERROR(__xludf.DUMMYFUNCTION("""COMPUTED_VALUE"""),"")</f>
        <v/>
      </c>
      <c r="F75" s="8" t="str">
        <f>IFERROR(__xludf.DUMMYFUNCTION("""COMPUTED_VALUE"""),"")</f>
        <v/>
      </c>
      <c r="G75" s="8" t="str">
        <f>IFERROR(__xludf.DUMMYFUNCTION("""COMPUTED_VALUE"""),"")</f>
        <v/>
      </c>
      <c r="L75" s="8" t="s">
        <v>299</v>
      </c>
    </row>
    <row r="76">
      <c r="A76" s="10"/>
      <c r="B76" s="8" t="str">
        <f>IFERROR(__xludf.DUMMYFUNCTION("""COMPUTED_VALUE"""),"")</f>
        <v/>
      </c>
      <c r="C76" s="8" t="str">
        <f>IFERROR(__xludf.DUMMYFUNCTION("""COMPUTED_VALUE"""),"")</f>
        <v/>
      </c>
      <c r="D76" s="8" t="str">
        <f>IFERROR(__xludf.DUMMYFUNCTION("""COMPUTED_VALUE"""),"")</f>
        <v/>
      </c>
      <c r="E76" s="8" t="str">
        <f>IFERROR(__xludf.DUMMYFUNCTION("""COMPUTED_VALUE"""),"")</f>
        <v/>
      </c>
      <c r="F76" s="8" t="str">
        <f>IFERROR(__xludf.DUMMYFUNCTION("""COMPUTED_VALUE"""),"")</f>
        <v/>
      </c>
      <c r="G76" s="8" t="str">
        <f>IFERROR(__xludf.DUMMYFUNCTION("""COMPUTED_VALUE"""),"")</f>
        <v/>
      </c>
      <c r="L76" s="8" t="s">
        <v>299</v>
      </c>
    </row>
    <row r="77">
      <c r="A77" s="10"/>
      <c r="B77" s="8" t="str">
        <f>IFERROR(__xludf.DUMMYFUNCTION("""COMPUTED_VALUE"""),"")</f>
        <v/>
      </c>
      <c r="C77" s="8" t="str">
        <f>IFERROR(__xludf.DUMMYFUNCTION("""COMPUTED_VALUE"""),"")</f>
        <v/>
      </c>
      <c r="D77" s="8" t="str">
        <f>IFERROR(__xludf.DUMMYFUNCTION("""COMPUTED_VALUE"""),"")</f>
        <v/>
      </c>
      <c r="E77" s="8" t="str">
        <f>IFERROR(__xludf.DUMMYFUNCTION("""COMPUTED_VALUE"""),"")</f>
        <v/>
      </c>
      <c r="F77" s="8" t="str">
        <f>IFERROR(__xludf.DUMMYFUNCTION("""COMPUTED_VALUE"""),"")</f>
        <v/>
      </c>
      <c r="G77" s="8" t="str">
        <f>IFERROR(__xludf.DUMMYFUNCTION("""COMPUTED_VALUE"""),"")</f>
        <v/>
      </c>
      <c r="L77" s="8" t="s">
        <v>299</v>
      </c>
    </row>
    <row r="78">
      <c r="A78" s="10"/>
      <c r="B78" s="8" t="str">
        <f>IFERROR(__xludf.DUMMYFUNCTION("""COMPUTED_VALUE"""),"")</f>
        <v/>
      </c>
      <c r="C78" s="8" t="str">
        <f>IFERROR(__xludf.DUMMYFUNCTION("""COMPUTED_VALUE"""),"")</f>
        <v/>
      </c>
      <c r="D78" s="8" t="str">
        <f>IFERROR(__xludf.DUMMYFUNCTION("""COMPUTED_VALUE"""),"")</f>
        <v/>
      </c>
      <c r="E78" s="8" t="str">
        <f>IFERROR(__xludf.DUMMYFUNCTION("""COMPUTED_VALUE"""),"")</f>
        <v/>
      </c>
      <c r="F78" s="8" t="str">
        <f>IFERROR(__xludf.DUMMYFUNCTION("""COMPUTED_VALUE"""),"")</f>
        <v/>
      </c>
      <c r="G78" s="8" t="str">
        <f>IFERROR(__xludf.DUMMYFUNCTION("""COMPUTED_VALUE"""),"")</f>
        <v/>
      </c>
      <c r="L78" s="8" t="s">
        <v>299</v>
      </c>
    </row>
    <row r="79">
      <c r="A79" s="10"/>
      <c r="B79" s="8" t="str">
        <f>IFERROR(__xludf.DUMMYFUNCTION("""COMPUTED_VALUE"""),"")</f>
        <v/>
      </c>
      <c r="C79" s="8" t="str">
        <f>IFERROR(__xludf.DUMMYFUNCTION("""COMPUTED_VALUE"""),"")</f>
        <v/>
      </c>
      <c r="D79" s="8" t="str">
        <f>IFERROR(__xludf.DUMMYFUNCTION("""COMPUTED_VALUE"""),"")</f>
        <v/>
      </c>
      <c r="E79" s="8" t="str">
        <f>IFERROR(__xludf.DUMMYFUNCTION("""COMPUTED_VALUE"""),"")</f>
        <v/>
      </c>
      <c r="F79" s="8" t="str">
        <f>IFERROR(__xludf.DUMMYFUNCTION("""COMPUTED_VALUE"""),"")</f>
        <v/>
      </c>
      <c r="G79" s="8" t="str">
        <f>IFERROR(__xludf.DUMMYFUNCTION("""COMPUTED_VALUE"""),"")</f>
        <v/>
      </c>
      <c r="L79" s="8" t="s">
        <v>299</v>
      </c>
    </row>
    <row r="80">
      <c r="A80" s="10"/>
      <c r="B80" s="8" t="str">
        <f>IFERROR(__xludf.DUMMYFUNCTION("""COMPUTED_VALUE"""),"")</f>
        <v/>
      </c>
      <c r="C80" s="8" t="str">
        <f>IFERROR(__xludf.DUMMYFUNCTION("""COMPUTED_VALUE"""),"")</f>
        <v/>
      </c>
      <c r="D80" s="8" t="str">
        <f>IFERROR(__xludf.DUMMYFUNCTION("""COMPUTED_VALUE"""),"")</f>
        <v/>
      </c>
      <c r="E80" s="8" t="str">
        <f>IFERROR(__xludf.DUMMYFUNCTION("""COMPUTED_VALUE"""),"")</f>
        <v/>
      </c>
      <c r="F80" s="8" t="str">
        <f>IFERROR(__xludf.DUMMYFUNCTION("""COMPUTED_VALUE"""),"")</f>
        <v/>
      </c>
      <c r="G80" s="8" t="str">
        <f>IFERROR(__xludf.DUMMYFUNCTION("""COMPUTED_VALUE"""),"")</f>
        <v/>
      </c>
      <c r="L80" s="8" t="s">
        <v>299</v>
      </c>
    </row>
    <row r="81">
      <c r="A81" s="10"/>
      <c r="B81" s="8" t="str">
        <f>IFERROR(__xludf.DUMMYFUNCTION("""COMPUTED_VALUE"""),"")</f>
        <v/>
      </c>
      <c r="C81" s="8" t="str">
        <f>IFERROR(__xludf.DUMMYFUNCTION("""COMPUTED_VALUE"""),"")</f>
        <v/>
      </c>
      <c r="D81" s="8" t="str">
        <f>IFERROR(__xludf.DUMMYFUNCTION("""COMPUTED_VALUE"""),"")</f>
        <v/>
      </c>
      <c r="E81" s="8" t="str">
        <f>IFERROR(__xludf.DUMMYFUNCTION("""COMPUTED_VALUE"""),"")</f>
        <v/>
      </c>
      <c r="F81" s="8" t="str">
        <f>IFERROR(__xludf.DUMMYFUNCTION("""COMPUTED_VALUE"""),"")</f>
        <v/>
      </c>
      <c r="G81" s="8" t="str">
        <f>IFERROR(__xludf.DUMMYFUNCTION("""COMPUTED_VALUE"""),"")</f>
        <v/>
      </c>
      <c r="L81" s="8" t="s">
        <v>299</v>
      </c>
    </row>
    <row r="82">
      <c r="A82" s="10"/>
      <c r="B82" s="8" t="str">
        <f>IFERROR(__xludf.DUMMYFUNCTION("""COMPUTED_VALUE"""),"")</f>
        <v/>
      </c>
      <c r="C82" s="8" t="str">
        <f>IFERROR(__xludf.DUMMYFUNCTION("""COMPUTED_VALUE"""),"")</f>
        <v/>
      </c>
      <c r="D82" s="8" t="str">
        <f>IFERROR(__xludf.DUMMYFUNCTION("""COMPUTED_VALUE"""),"")</f>
        <v/>
      </c>
      <c r="E82" s="8" t="str">
        <f>IFERROR(__xludf.DUMMYFUNCTION("""COMPUTED_VALUE"""),"")</f>
        <v/>
      </c>
      <c r="F82" s="8" t="str">
        <f>IFERROR(__xludf.DUMMYFUNCTION("""COMPUTED_VALUE"""),"")</f>
        <v/>
      </c>
      <c r="G82" s="8" t="str">
        <f>IFERROR(__xludf.DUMMYFUNCTION("""COMPUTED_VALUE"""),"")</f>
        <v/>
      </c>
      <c r="L82" s="8" t="s">
        <v>299</v>
      </c>
    </row>
    <row r="83">
      <c r="A83" s="10"/>
      <c r="B83" s="8" t="str">
        <f>IFERROR(__xludf.DUMMYFUNCTION("""COMPUTED_VALUE"""),"")</f>
        <v/>
      </c>
      <c r="C83" s="8" t="str">
        <f>IFERROR(__xludf.DUMMYFUNCTION("""COMPUTED_VALUE"""),"")</f>
        <v/>
      </c>
      <c r="D83" s="8" t="str">
        <f>IFERROR(__xludf.DUMMYFUNCTION("""COMPUTED_VALUE"""),"")</f>
        <v/>
      </c>
      <c r="E83" s="8" t="str">
        <f>IFERROR(__xludf.DUMMYFUNCTION("""COMPUTED_VALUE"""),"")</f>
        <v/>
      </c>
      <c r="F83" s="8" t="str">
        <f>IFERROR(__xludf.DUMMYFUNCTION("""COMPUTED_VALUE"""),"")</f>
        <v/>
      </c>
      <c r="G83" s="8" t="str">
        <f>IFERROR(__xludf.DUMMYFUNCTION("""COMPUTED_VALUE"""),"")</f>
        <v/>
      </c>
      <c r="L83" s="8" t="s">
        <v>299</v>
      </c>
    </row>
    <row r="84">
      <c r="A84" s="10"/>
      <c r="B84" s="8" t="str">
        <f>IFERROR(__xludf.DUMMYFUNCTION("""COMPUTED_VALUE"""),"")</f>
        <v/>
      </c>
      <c r="C84" s="8" t="str">
        <f>IFERROR(__xludf.DUMMYFUNCTION("""COMPUTED_VALUE"""),"")</f>
        <v/>
      </c>
      <c r="D84" s="8" t="str">
        <f>IFERROR(__xludf.DUMMYFUNCTION("""COMPUTED_VALUE"""),"")</f>
        <v/>
      </c>
      <c r="E84" s="8" t="str">
        <f>IFERROR(__xludf.DUMMYFUNCTION("""COMPUTED_VALUE"""),"")</f>
        <v/>
      </c>
      <c r="F84" s="8" t="str">
        <f>IFERROR(__xludf.DUMMYFUNCTION("""COMPUTED_VALUE"""),"")</f>
        <v/>
      </c>
      <c r="G84" s="8" t="str">
        <f>IFERROR(__xludf.DUMMYFUNCTION("""COMPUTED_VALUE"""),"")</f>
        <v/>
      </c>
      <c r="L84" s="8" t="s">
        <v>299</v>
      </c>
    </row>
    <row r="85">
      <c r="A85" s="10"/>
      <c r="B85" s="8" t="str">
        <f>IFERROR(__xludf.DUMMYFUNCTION("""COMPUTED_VALUE"""),"")</f>
        <v/>
      </c>
      <c r="C85" s="8" t="str">
        <f>IFERROR(__xludf.DUMMYFUNCTION("""COMPUTED_VALUE"""),"")</f>
        <v/>
      </c>
      <c r="D85" s="8" t="str">
        <f>IFERROR(__xludf.DUMMYFUNCTION("""COMPUTED_VALUE"""),"")</f>
        <v/>
      </c>
      <c r="E85" s="8" t="str">
        <f>IFERROR(__xludf.DUMMYFUNCTION("""COMPUTED_VALUE"""),"")</f>
        <v/>
      </c>
      <c r="F85" s="8" t="str">
        <f>IFERROR(__xludf.DUMMYFUNCTION("""COMPUTED_VALUE"""),"")</f>
        <v/>
      </c>
      <c r="G85" s="8" t="str">
        <f>IFERROR(__xludf.DUMMYFUNCTION("""COMPUTED_VALUE"""),"")</f>
        <v/>
      </c>
      <c r="L85" s="8" t="s">
        <v>299</v>
      </c>
    </row>
    <row r="86">
      <c r="A86" s="10"/>
      <c r="B86" s="8" t="str">
        <f>IFERROR(__xludf.DUMMYFUNCTION("""COMPUTED_VALUE"""),"")</f>
        <v/>
      </c>
      <c r="C86" s="8" t="str">
        <f>IFERROR(__xludf.DUMMYFUNCTION("""COMPUTED_VALUE"""),"")</f>
        <v/>
      </c>
      <c r="D86" s="8" t="str">
        <f>IFERROR(__xludf.DUMMYFUNCTION("""COMPUTED_VALUE"""),"")</f>
        <v/>
      </c>
      <c r="E86" s="8" t="str">
        <f>IFERROR(__xludf.DUMMYFUNCTION("""COMPUTED_VALUE"""),"")</f>
        <v/>
      </c>
      <c r="F86" s="8" t="str">
        <f>IFERROR(__xludf.DUMMYFUNCTION("""COMPUTED_VALUE"""),"")</f>
        <v/>
      </c>
      <c r="G86" s="8" t="str">
        <f>IFERROR(__xludf.DUMMYFUNCTION("""COMPUTED_VALUE"""),"")</f>
        <v/>
      </c>
      <c r="L86" s="8" t="s">
        <v>299</v>
      </c>
    </row>
    <row r="87">
      <c r="A87" s="10"/>
      <c r="B87" s="8" t="str">
        <f>IFERROR(__xludf.DUMMYFUNCTION("""COMPUTED_VALUE"""),"")</f>
        <v/>
      </c>
      <c r="C87" s="8" t="str">
        <f>IFERROR(__xludf.DUMMYFUNCTION("""COMPUTED_VALUE"""),"")</f>
        <v/>
      </c>
      <c r="D87" s="8" t="str">
        <f>IFERROR(__xludf.DUMMYFUNCTION("""COMPUTED_VALUE"""),"")</f>
        <v/>
      </c>
      <c r="E87" s="8" t="str">
        <f>IFERROR(__xludf.DUMMYFUNCTION("""COMPUTED_VALUE"""),"")</f>
        <v/>
      </c>
      <c r="F87" s="8" t="str">
        <f>IFERROR(__xludf.DUMMYFUNCTION("""COMPUTED_VALUE"""),"")</f>
        <v/>
      </c>
      <c r="G87" s="8" t="str">
        <f>IFERROR(__xludf.DUMMYFUNCTION("""COMPUTED_VALUE"""),"")</f>
        <v/>
      </c>
      <c r="L87" s="8" t="s">
        <v>299</v>
      </c>
    </row>
    <row r="88">
      <c r="A88" s="10"/>
      <c r="B88" s="8" t="str">
        <f>IFERROR(__xludf.DUMMYFUNCTION("""COMPUTED_VALUE"""),"")</f>
        <v/>
      </c>
      <c r="C88" s="8" t="str">
        <f>IFERROR(__xludf.DUMMYFUNCTION("""COMPUTED_VALUE"""),"")</f>
        <v/>
      </c>
      <c r="D88" s="8" t="str">
        <f>IFERROR(__xludf.DUMMYFUNCTION("""COMPUTED_VALUE"""),"")</f>
        <v/>
      </c>
      <c r="E88" s="8" t="str">
        <f>IFERROR(__xludf.DUMMYFUNCTION("""COMPUTED_VALUE"""),"")</f>
        <v/>
      </c>
      <c r="F88" s="8" t="str">
        <f>IFERROR(__xludf.DUMMYFUNCTION("""COMPUTED_VALUE"""),"")</f>
        <v/>
      </c>
      <c r="G88" s="8" t="str">
        <f>IFERROR(__xludf.DUMMYFUNCTION("""COMPUTED_VALUE"""),"")</f>
        <v/>
      </c>
      <c r="L88" s="8" t="s">
        <v>299</v>
      </c>
    </row>
    <row r="89">
      <c r="A89" s="10"/>
      <c r="B89" s="8" t="str">
        <f>IFERROR(__xludf.DUMMYFUNCTION("""COMPUTED_VALUE"""),"")</f>
        <v/>
      </c>
      <c r="C89" s="8" t="str">
        <f>IFERROR(__xludf.DUMMYFUNCTION("""COMPUTED_VALUE"""),"")</f>
        <v/>
      </c>
      <c r="D89" s="8" t="str">
        <f>IFERROR(__xludf.DUMMYFUNCTION("""COMPUTED_VALUE"""),"")</f>
        <v/>
      </c>
      <c r="E89" s="8" t="str">
        <f>IFERROR(__xludf.DUMMYFUNCTION("""COMPUTED_VALUE"""),"")</f>
        <v/>
      </c>
      <c r="F89" s="8" t="str">
        <f>IFERROR(__xludf.DUMMYFUNCTION("""COMPUTED_VALUE"""),"")</f>
        <v/>
      </c>
      <c r="G89" s="8" t="str">
        <f>IFERROR(__xludf.DUMMYFUNCTION("""COMPUTED_VALUE"""),"")</f>
        <v/>
      </c>
      <c r="L89" s="8" t="s">
        <v>299</v>
      </c>
    </row>
    <row r="90">
      <c r="A90" s="10"/>
      <c r="B90" s="8" t="str">
        <f>IFERROR(__xludf.DUMMYFUNCTION("""COMPUTED_VALUE"""),"")</f>
        <v/>
      </c>
      <c r="C90" s="8" t="str">
        <f>IFERROR(__xludf.DUMMYFUNCTION("""COMPUTED_VALUE"""),"")</f>
        <v/>
      </c>
      <c r="D90" s="8" t="str">
        <f>IFERROR(__xludf.DUMMYFUNCTION("""COMPUTED_VALUE"""),"")</f>
        <v/>
      </c>
      <c r="E90" s="8" t="str">
        <f>IFERROR(__xludf.DUMMYFUNCTION("""COMPUTED_VALUE"""),"")</f>
        <v/>
      </c>
      <c r="F90" s="8" t="str">
        <f>IFERROR(__xludf.DUMMYFUNCTION("""COMPUTED_VALUE"""),"")</f>
        <v/>
      </c>
      <c r="G90" s="8" t="str">
        <f>IFERROR(__xludf.DUMMYFUNCTION("""COMPUTED_VALUE"""),"")</f>
        <v/>
      </c>
      <c r="L90" s="8" t="s">
        <v>299</v>
      </c>
    </row>
    <row r="91">
      <c r="A91" s="10"/>
      <c r="B91" s="8" t="str">
        <f>IFERROR(__xludf.DUMMYFUNCTION("""COMPUTED_VALUE"""),"")</f>
        <v/>
      </c>
      <c r="C91" s="8" t="str">
        <f>IFERROR(__xludf.DUMMYFUNCTION("""COMPUTED_VALUE"""),"")</f>
        <v/>
      </c>
      <c r="D91" s="8" t="str">
        <f>IFERROR(__xludf.DUMMYFUNCTION("""COMPUTED_VALUE"""),"")</f>
        <v/>
      </c>
      <c r="E91" s="8" t="str">
        <f>IFERROR(__xludf.DUMMYFUNCTION("""COMPUTED_VALUE"""),"")</f>
        <v/>
      </c>
      <c r="F91" s="8" t="str">
        <f>IFERROR(__xludf.DUMMYFUNCTION("""COMPUTED_VALUE"""),"")</f>
        <v/>
      </c>
      <c r="G91" s="8" t="str">
        <f>IFERROR(__xludf.DUMMYFUNCTION("""COMPUTED_VALUE"""),"")</f>
        <v/>
      </c>
      <c r="L91" s="8" t="s">
        <v>299</v>
      </c>
    </row>
    <row r="92">
      <c r="A92" s="10"/>
      <c r="B92" s="8" t="str">
        <f>IFERROR(__xludf.DUMMYFUNCTION("""COMPUTED_VALUE"""),"")</f>
        <v/>
      </c>
      <c r="C92" s="8" t="str">
        <f>IFERROR(__xludf.DUMMYFUNCTION("""COMPUTED_VALUE"""),"")</f>
        <v/>
      </c>
      <c r="D92" s="8" t="str">
        <f>IFERROR(__xludf.DUMMYFUNCTION("""COMPUTED_VALUE"""),"")</f>
        <v/>
      </c>
      <c r="E92" s="8" t="str">
        <f>IFERROR(__xludf.DUMMYFUNCTION("""COMPUTED_VALUE"""),"")</f>
        <v/>
      </c>
      <c r="F92" s="8" t="str">
        <f>IFERROR(__xludf.DUMMYFUNCTION("""COMPUTED_VALUE"""),"")</f>
        <v/>
      </c>
      <c r="G92" s="8" t="str">
        <f>IFERROR(__xludf.DUMMYFUNCTION("""COMPUTED_VALUE"""),"")</f>
        <v/>
      </c>
      <c r="L92" s="8" t="s">
        <v>299</v>
      </c>
    </row>
    <row r="93">
      <c r="A93" s="10"/>
      <c r="B93" s="8" t="str">
        <f>IFERROR(__xludf.DUMMYFUNCTION("""COMPUTED_VALUE"""),"")</f>
        <v/>
      </c>
      <c r="C93" s="8" t="str">
        <f>IFERROR(__xludf.DUMMYFUNCTION("""COMPUTED_VALUE"""),"")</f>
        <v/>
      </c>
      <c r="D93" s="8" t="str">
        <f>IFERROR(__xludf.DUMMYFUNCTION("""COMPUTED_VALUE"""),"")</f>
        <v/>
      </c>
      <c r="E93" s="8" t="str">
        <f>IFERROR(__xludf.DUMMYFUNCTION("""COMPUTED_VALUE"""),"")</f>
        <v/>
      </c>
      <c r="F93" s="8" t="str">
        <f>IFERROR(__xludf.DUMMYFUNCTION("""COMPUTED_VALUE"""),"")</f>
        <v/>
      </c>
      <c r="G93" s="8" t="str">
        <f>IFERROR(__xludf.DUMMYFUNCTION("""COMPUTED_VALUE"""),"")</f>
        <v/>
      </c>
      <c r="L93" s="8" t="s">
        <v>299</v>
      </c>
    </row>
    <row r="94">
      <c r="A94" s="10"/>
      <c r="B94" s="8" t="str">
        <f>IFERROR(__xludf.DUMMYFUNCTION("""COMPUTED_VALUE"""),"")</f>
        <v/>
      </c>
      <c r="C94" s="8" t="str">
        <f>IFERROR(__xludf.DUMMYFUNCTION("""COMPUTED_VALUE"""),"")</f>
        <v/>
      </c>
      <c r="D94" s="8" t="str">
        <f>IFERROR(__xludf.DUMMYFUNCTION("""COMPUTED_VALUE"""),"")</f>
        <v/>
      </c>
      <c r="E94" s="8" t="str">
        <f>IFERROR(__xludf.DUMMYFUNCTION("""COMPUTED_VALUE"""),"")</f>
        <v/>
      </c>
      <c r="F94" s="8" t="str">
        <f>IFERROR(__xludf.DUMMYFUNCTION("""COMPUTED_VALUE"""),"")</f>
        <v/>
      </c>
      <c r="G94" s="8" t="str">
        <f>IFERROR(__xludf.DUMMYFUNCTION("""COMPUTED_VALUE"""),"")</f>
        <v/>
      </c>
      <c r="L94" s="8" t="s">
        <v>299</v>
      </c>
    </row>
    <row r="95">
      <c r="A95" s="10"/>
      <c r="B95" s="8" t="str">
        <f>IFERROR(__xludf.DUMMYFUNCTION("""COMPUTED_VALUE"""),"")</f>
        <v/>
      </c>
      <c r="C95" s="8" t="str">
        <f>IFERROR(__xludf.DUMMYFUNCTION("""COMPUTED_VALUE"""),"")</f>
        <v/>
      </c>
      <c r="D95" s="8" t="str">
        <f>IFERROR(__xludf.DUMMYFUNCTION("""COMPUTED_VALUE"""),"")</f>
        <v/>
      </c>
      <c r="E95" s="8" t="str">
        <f>IFERROR(__xludf.DUMMYFUNCTION("""COMPUTED_VALUE"""),"")</f>
        <v/>
      </c>
      <c r="F95" s="8" t="str">
        <f>IFERROR(__xludf.DUMMYFUNCTION("""COMPUTED_VALUE"""),"")</f>
        <v/>
      </c>
      <c r="G95" s="8" t="str">
        <f>IFERROR(__xludf.DUMMYFUNCTION("""COMPUTED_VALUE"""),"")</f>
        <v/>
      </c>
      <c r="L95" s="8" t="s">
        <v>299</v>
      </c>
    </row>
    <row r="96">
      <c r="A96" s="10"/>
      <c r="B96" s="8" t="str">
        <f>IFERROR(__xludf.DUMMYFUNCTION("""COMPUTED_VALUE"""),"")</f>
        <v/>
      </c>
      <c r="C96" s="8" t="str">
        <f>IFERROR(__xludf.DUMMYFUNCTION("""COMPUTED_VALUE"""),"")</f>
        <v/>
      </c>
      <c r="D96" s="8" t="str">
        <f>IFERROR(__xludf.DUMMYFUNCTION("""COMPUTED_VALUE"""),"")</f>
        <v/>
      </c>
      <c r="E96" s="8" t="str">
        <f>IFERROR(__xludf.DUMMYFUNCTION("""COMPUTED_VALUE"""),"")</f>
        <v/>
      </c>
      <c r="F96" s="8" t="str">
        <f>IFERROR(__xludf.DUMMYFUNCTION("""COMPUTED_VALUE"""),"")</f>
        <v/>
      </c>
      <c r="G96" s="8" t="str">
        <f>IFERROR(__xludf.DUMMYFUNCTION("""COMPUTED_VALUE"""),"")</f>
        <v/>
      </c>
      <c r="L96" s="8" t="s">
        <v>299</v>
      </c>
    </row>
    <row r="97">
      <c r="A97" s="10"/>
      <c r="B97" s="8" t="str">
        <f>IFERROR(__xludf.DUMMYFUNCTION("""COMPUTED_VALUE"""),"")</f>
        <v/>
      </c>
      <c r="C97" s="8" t="str">
        <f>IFERROR(__xludf.DUMMYFUNCTION("""COMPUTED_VALUE"""),"")</f>
        <v/>
      </c>
      <c r="D97" s="8" t="str">
        <f>IFERROR(__xludf.DUMMYFUNCTION("""COMPUTED_VALUE"""),"")</f>
        <v/>
      </c>
      <c r="E97" s="8" t="str">
        <f>IFERROR(__xludf.DUMMYFUNCTION("""COMPUTED_VALUE"""),"")</f>
        <v/>
      </c>
      <c r="F97" s="8" t="str">
        <f>IFERROR(__xludf.DUMMYFUNCTION("""COMPUTED_VALUE"""),"")</f>
        <v/>
      </c>
      <c r="G97" s="8" t="str">
        <f>IFERROR(__xludf.DUMMYFUNCTION("""COMPUTED_VALUE"""),"")</f>
        <v/>
      </c>
      <c r="L97" s="8" t="s">
        <v>299</v>
      </c>
    </row>
    <row r="98">
      <c r="A98" s="10"/>
      <c r="B98" s="8" t="str">
        <f>IFERROR(__xludf.DUMMYFUNCTION("""COMPUTED_VALUE"""),"")</f>
        <v/>
      </c>
      <c r="C98" s="8" t="str">
        <f>IFERROR(__xludf.DUMMYFUNCTION("""COMPUTED_VALUE"""),"")</f>
        <v/>
      </c>
      <c r="D98" s="8" t="str">
        <f>IFERROR(__xludf.DUMMYFUNCTION("""COMPUTED_VALUE"""),"")</f>
        <v/>
      </c>
      <c r="E98" s="8" t="str">
        <f>IFERROR(__xludf.DUMMYFUNCTION("""COMPUTED_VALUE"""),"")</f>
        <v/>
      </c>
      <c r="F98" s="8" t="str">
        <f>IFERROR(__xludf.DUMMYFUNCTION("""COMPUTED_VALUE"""),"")</f>
        <v/>
      </c>
      <c r="G98" s="8" t="str">
        <f>IFERROR(__xludf.DUMMYFUNCTION("""COMPUTED_VALUE"""),"")</f>
        <v/>
      </c>
      <c r="L98" s="8" t="s">
        <v>299</v>
      </c>
    </row>
    <row r="99">
      <c r="A99" s="10"/>
      <c r="B99" s="8" t="str">
        <f>IFERROR(__xludf.DUMMYFUNCTION("""COMPUTED_VALUE"""),"")</f>
        <v/>
      </c>
      <c r="C99" s="8" t="str">
        <f>IFERROR(__xludf.DUMMYFUNCTION("""COMPUTED_VALUE"""),"")</f>
        <v/>
      </c>
      <c r="D99" s="8" t="str">
        <f>IFERROR(__xludf.DUMMYFUNCTION("""COMPUTED_VALUE"""),"")</f>
        <v/>
      </c>
      <c r="E99" s="8" t="str">
        <f>IFERROR(__xludf.DUMMYFUNCTION("""COMPUTED_VALUE"""),"")</f>
        <v/>
      </c>
      <c r="F99" s="8" t="str">
        <f>IFERROR(__xludf.DUMMYFUNCTION("""COMPUTED_VALUE"""),"")</f>
        <v/>
      </c>
      <c r="G99" s="8" t="str">
        <f>IFERROR(__xludf.DUMMYFUNCTION("""COMPUTED_VALUE"""),"")</f>
        <v/>
      </c>
      <c r="L99" s="8" t="s">
        <v>299</v>
      </c>
    </row>
    <row r="100">
      <c r="A100" s="10"/>
      <c r="B100" s="8" t="str">
        <f>IFERROR(__xludf.DUMMYFUNCTION("""COMPUTED_VALUE"""),"")</f>
        <v/>
      </c>
      <c r="C100" s="8" t="str">
        <f>IFERROR(__xludf.DUMMYFUNCTION("""COMPUTED_VALUE"""),"")</f>
        <v/>
      </c>
      <c r="D100" s="8" t="str">
        <f>IFERROR(__xludf.DUMMYFUNCTION("""COMPUTED_VALUE"""),"")</f>
        <v/>
      </c>
      <c r="E100" s="8" t="str">
        <f>IFERROR(__xludf.DUMMYFUNCTION("""COMPUTED_VALUE"""),"")</f>
        <v/>
      </c>
      <c r="F100" s="8" t="str">
        <f>IFERROR(__xludf.DUMMYFUNCTION("""COMPUTED_VALUE"""),"")</f>
        <v/>
      </c>
      <c r="G100" s="8" t="str">
        <f>IFERROR(__xludf.DUMMYFUNCTION("""COMPUTED_VALUE"""),"")</f>
        <v/>
      </c>
      <c r="L100" s="8" t="s">
        <v>299</v>
      </c>
    </row>
    <row r="101">
      <c r="A101" s="10"/>
      <c r="B101" s="8" t="str">
        <f>IFERROR(__xludf.DUMMYFUNCTION("""COMPUTED_VALUE"""),"")</f>
        <v/>
      </c>
      <c r="C101" s="8" t="str">
        <f>IFERROR(__xludf.DUMMYFUNCTION("""COMPUTED_VALUE"""),"")</f>
        <v/>
      </c>
      <c r="D101" s="8" t="str">
        <f>IFERROR(__xludf.DUMMYFUNCTION("""COMPUTED_VALUE"""),"")</f>
        <v/>
      </c>
      <c r="E101" s="8" t="str">
        <f>IFERROR(__xludf.DUMMYFUNCTION("""COMPUTED_VALUE"""),"")</f>
        <v/>
      </c>
      <c r="F101" s="8" t="str">
        <f>IFERROR(__xludf.DUMMYFUNCTION("""COMPUTED_VALUE"""),"")</f>
        <v/>
      </c>
      <c r="G101" s="8" t="str">
        <f>IFERROR(__xludf.DUMMYFUNCTION("""COMPUTED_VALUE"""),"")</f>
        <v/>
      </c>
      <c r="L101" s="8" t="s">
        <v>299</v>
      </c>
    </row>
    <row r="102">
      <c r="A102" s="10"/>
      <c r="B102" s="8" t="str">
        <f>IFERROR(__xludf.DUMMYFUNCTION("""COMPUTED_VALUE"""),"")</f>
        <v/>
      </c>
      <c r="C102" s="8" t="str">
        <f>IFERROR(__xludf.DUMMYFUNCTION("""COMPUTED_VALUE"""),"")</f>
        <v/>
      </c>
      <c r="D102" s="8" t="str">
        <f>IFERROR(__xludf.DUMMYFUNCTION("""COMPUTED_VALUE"""),"")</f>
        <v/>
      </c>
      <c r="E102" s="8" t="str">
        <f>IFERROR(__xludf.DUMMYFUNCTION("""COMPUTED_VALUE"""),"")</f>
        <v/>
      </c>
      <c r="F102" s="8" t="str">
        <f>IFERROR(__xludf.DUMMYFUNCTION("""COMPUTED_VALUE"""),"")</f>
        <v/>
      </c>
      <c r="G102" s="8" t="str">
        <f>IFERROR(__xludf.DUMMYFUNCTION("""COMPUTED_VALUE"""),"")</f>
        <v/>
      </c>
      <c r="L102" s="8" t="s">
        <v>299</v>
      </c>
    </row>
    <row r="103">
      <c r="A103" s="10"/>
      <c r="B103" s="8" t="str">
        <f>IFERROR(__xludf.DUMMYFUNCTION("""COMPUTED_VALUE"""),"")</f>
        <v/>
      </c>
      <c r="C103" s="8" t="str">
        <f>IFERROR(__xludf.DUMMYFUNCTION("""COMPUTED_VALUE"""),"")</f>
        <v/>
      </c>
      <c r="D103" s="8" t="str">
        <f>IFERROR(__xludf.DUMMYFUNCTION("""COMPUTED_VALUE"""),"")</f>
        <v/>
      </c>
      <c r="E103" s="8" t="str">
        <f>IFERROR(__xludf.DUMMYFUNCTION("""COMPUTED_VALUE"""),"")</f>
        <v/>
      </c>
      <c r="F103" s="8" t="str">
        <f>IFERROR(__xludf.DUMMYFUNCTION("""COMPUTED_VALUE"""),"")</f>
        <v/>
      </c>
      <c r="G103" s="8" t="str">
        <f>IFERROR(__xludf.DUMMYFUNCTION("""COMPUTED_VALUE"""),"")</f>
        <v/>
      </c>
      <c r="L103" s="8" t="s">
        <v>299</v>
      </c>
    </row>
    <row r="104">
      <c r="A104" s="10"/>
      <c r="B104" s="8" t="str">
        <f>IFERROR(__xludf.DUMMYFUNCTION("""COMPUTED_VALUE"""),"")</f>
        <v/>
      </c>
      <c r="C104" s="8" t="str">
        <f>IFERROR(__xludf.DUMMYFUNCTION("""COMPUTED_VALUE"""),"")</f>
        <v/>
      </c>
      <c r="D104" s="8" t="str">
        <f>IFERROR(__xludf.DUMMYFUNCTION("""COMPUTED_VALUE"""),"")</f>
        <v/>
      </c>
      <c r="E104" s="8" t="str">
        <f>IFERROR(__xludf.DUMMYFUNCTION("""COMPUTED_VALUE"""),"")</f>
        <v/>
      </c>
      <c r="F104" s="8" t="str">
        <f>IFERROR(__xludf.DUMMYFUNCTION("""COMPUTED_VALUE"""),"")</f>
        <v/>
      </c>
      <c r="G104" s="8" t="str">
        <f>IFERROR(__xludf.DUMMYFUNCTION("""COMPUTED_VALUE"""),"")</f>
        <v/>
      </c>
      <c r="L104" s="8" t="s">
        <v>299</v>
      </c>
    </row>
    <row r="105">
      <c r="A105" s="10"/>
      <c r="B105" s="8" t="str">
        <f>IFERROR(__xludf.DUMMYFUNCTION("""COMPUTED_VALUE"""),"")</f>
        <v/>
      </c>
      <c r="C105" s="8" t="str">
        <f>IFERROR(__xludf.DUMMYFUNCTION("""COMPUTED_VALUE"""),"")</f>
        <v/>
      </c>
      <c r="D105" s="8" t="str">
        <f>IFERROR(__xludf.DUMMYFUNCTION("""COMPUTED_VALUE"""),"")</f>
        <v/>
      </c>
      <c r="E105" s="8" t="str">
        <f>IFERROR(__xludf.DUMMYFUNCTION("""COMPUTED_VALUE"""),"")</f>
        <v/>
      </c>
      <c r="F105" s="8" t="str">
        <f>IFERROR(__xludf.DUMMYFUNCTION("""COMPUTED_VALUE"""),"")</f>
        <v/>
      </c>
      <c r="G105" s="8" t="str">
        <f>IFERROR(__xludf.DUMMYFUNCTION("""COMPUTED_VALUE"""),"")</f>
        <v/>
      </c>
      <c r="L105" s="8" t="s">
        <v>299</v>
      </c>
    </row>
    <row r="106">
      <c r="A106" s="10"/>
      <c r="B106" s="8" t="str">
        <f>IFERROR(__xludf.DUMMYFUNCTION("""COMPUTED_VALUE"""),"")</f>
        <v/>
      </c>
      <c r="C106" s="8" t="str">
        <f>IFERROR(__xludf.DUMMYFUNCTION("""COMPUTED_VALUE"""),"")</f>
        <v/>
      </c>
      <c r="D106" s="8" t="str">
        <f>IFERROR(__xludf.DUMMYFUNCTION("""COMPUTED_VALUE"""),"")</f>
        <v/>
      </c>
      <c r="E106" s="8" t="str">
        <f>IFERROR(__xludf.DUMMYFUNCTION("""COMPUTED_VALUE"""),"")</f>
        <v/>
      </c>
      <c r="F106" s="8" t="str">
        <f>IFERROR(__xludf.DUMMYFUNCTION("""COMPUTED_VALUE"""),"")</f>
        <v/>
      </c>
      <c r="G106" s="8" t="str">
        <f>IFERROR(__xludf.DUMMYFUNCTION("""COMPUTED_VALUE"""),"")</f>
        <v/>
      </c>
      <c r="L106" s="8" t="s">
        <v>299</v>
      </c>
    </row>
    <row r="107">
      <c r="A107" s="10"/>
      <c r="B107" s="8" t="str">
        <f>IFERROR(__xludf.DUMMYFUNCTION("""COMPUTED_VALUE"""),"")</f>
        <v/>
      </c>
      <c r="C107" s="8" t="str">
        <f>IFERROR(__xludf.DUMMYFUNCTION("""COMPUTED_VALUE"""),"")</f>
        <v/>
      </c>
      <c r="D107" s="8" t="str">
        <f>IFERROR(__xludf.DUMMYFUNCTION("""COMPUTED_VALUE"""),"")</f>
        <v/>
      </c>
      <c r="E107" s="8" t="str">
        <f>IFERROR(__xludf.DUMMYFUNCTION("""COMPUTED_VALUE"""),"")</f>
        <v/>
      </c>
      <c r="F107" s="8" t="str">
        <f>IFERROR(__xludf.DUMMYFUNCTION("""COMPUTED_VALUE"""),"")</f>
        <v/>
      </c>
      <c r="G107" s="8" t="str">
        <f>IFERROR(__xludf.DUMMYFUNCTION("""COMPUTED_VALUE"""),"")</f>
        <v/>
      </c>
      <c r="L107" s="8" t="s">
        <v>299</v>
      </c>
    </row>
    <row r="108">
      <c r="A108" s="10"/>
      <c r="B108" s="8" t="str">
        <f>IFERROR(__xludf.DUMMYFUNCTION("""COMPUTED_VALUE"""),"")</f>
        <v/>
      </c>
      <c r="C108" s="8" t="str">
        <f>IFERROR(__xludf.DUMMYFUNCTION("""COMPUTED_VALUE"""),"")</f>
        <v/>
      </c>
      <c r="D108" s="8" t="str">
        <f>IFERROR(__xludf.DUMMYFUNCTION("""COMPUTED_VALUE"""),"")</f>
        <v/>
      </c>
      <c r="E108" s="8" t="str">
        <f>IFERROR(__xludf.DUMMYFUNCTION("""COMPUTED_VALUE"""),"")</f>
        <v/>
      </c>
      <c r="F108" s="8" t="str">
        <f>IFERROR(__xludf.DUMMYFUNCTION("""COMPUTED_VALUE"""),"")</f>
        <v/>
      </c>
      <c r="G108" s="8" t="str">
        <f>IFERROR(__xludf.DUMMYFUNCTION("""COMPUTED_VALUE"""),"")</f>
        <v/>
      </c>
      <c r="L108" s="8" t="s">
        <v>299</v>
      </c>
    </row>
    <row r="109">
      <c r="A109" s="10"/>
      <c r="B109" s="8" t="str">
        <f>IFERROR(__xludf.DUMMYFUNCTION("""COMPUTED_VALUE"""),"")</f>
        <v/>
      </c>
      <c r="C109" s="8" t="str">
        <f>IFERROR(__xludf.DUMMYFUNCTION("""COMPUTED_VALUE"""),"")</f>
        <v/>
      </c>
      <c r="D109" s="8" t="str">
        <f>IFERROR(__xludf.DUMMYFUNCTION("""COMPUTED_VALUE"""),"")</f>
        <v/>
      </c>
      <c r="E109" s="8" t="str">
        <f>IFERROR(__xludf.DUMMYFUNCTION("""COMPUTED_VALUE"""),"")</f>
        <v/>
      </c>
      <c r="F109" s="8" t="str">
        <f>IFERROR(__xludf.DUMMYFUNCTION("""COMPUTED_VALUE"""),"")</f>
        <v/>
      </c>
      <c r="G109" s="8" t="str">
        <f>IFERROR(__xludf.DUMMYFUNCTION("""COMPUTED_VALUE"""),"")</f>
        <v/>
      </c>
      <c r="L109" s="8" t="s">
        <v>299</v>
      </c>
    </row>
    <row r="110">
      <c r="A110" s="10"/>
      <c r="B110" s="8" t="str">
        <f>IFERROR(__xludf.DUMMYFUNCTION("""COMPUTED_VALUE"""),"")</f>
        <v/>
      </c>
      <c r="C110" s="8" t="str">
        <f>IFERROR(__xludf.DUMMYFUNCTION("""COMPUTED_VALUE"""),"")</f>
        <v/>
      </c>
      <c r="D110" s="8" t="str">
        <f>IFERROR(__xludf.DUMMYFUNCTION("""COMPUTED_VALUE"""),"")</f>
        <v/>
      </c>
      <c r="E110" s="8" t="str">
        <f>IFERROR(__xludf.DUMMYFUNCTION("""COMPUTED_VALUE"""),"")</f>
        <v/>
      </c>
      <c r="F110" s="8" t="str">
        <f>IFERROR(__xludf.DUMMYFUNCTION("""COMPUTED_VALUE"""),"")</f>
        <v/>
      </c>
      <c r="G110" s="8" t="str">
        <f>IFERROR(__xludf.DUMMYFUNCTION("""COMPUTED_VALUE"""),"")</f>
        <v/>
      </c>
      <c r="L110" s="8" t="s">
        <v>299</v>
      </c>
    </row>
    <row r="111">
      <c r="A111" s="10"/>
      <c r="B111" s="8" t="str">
        <f>IFERROR(__xludf.DUMMYFUNCTION("""COMPUTED_VALUE"""),"")</f>
        <v/>
      </c>
      <c r="C111" s="8" t="str">
        <f>IFERROR(__xludf.DUMMYFUNCTION("""COMPUTED_VALUE"""),"")</f>
        <v/>
      </c>
      <c r="D111" s="8" t="str">
        <f>IFERROR(__xludf.DUMMYFUNCTION("""COMPUTED_VALUE"""),"")</f>
        <v/>
      </c>
      <c r="E111" s="8" t="str">
        <f>IFERROR(__xludf.DUMMYFUNCTION("""COMPUTED_VALUE"""),"")</f>
        <v/>
      </c>
      <c r="F111" s="8" t="str">
        <f>IFERROR(__xludf.DUMMYFUNCTION("""COMPUTED_VALUE"""),"")</f>
        <v/>
      </c>
      <c r="G111" s="8" t="str">
        <f>IFERROR(__xludf.DUMMYFUNCTION("""COMPUTED_VALUE"""),"")</f>
        <v/>
      </c>
      <c r="L111" s="8" t="s">
        <v>299</v>
      </c>
    </row>
    <row r="112">
      <c r="A112" s="10"/>
      <c r="B112" s="8" t="str">
        <f>IFERROR(__xludf.DUMMYFUNCTION("""COMPUTED_VALUE"""),"")</f>
        <v/>
      </c>
      <c r="C112" s="8" t="str">
        <f>IFERROR(__xludf.DUMMYFUNCTION("""COMPUTED_VALUE"""),"")</f>
        <v/>
      </c>
      <c r="D112" s="8" t="str">
        <f>IFERROR(__xludf.DUMMYFUNCTION("""COMPUTED_VALUE"""),"")</f>
        <v/>
      </c>
      <c r="E112" s="8" t="str">
        <f>IFERROR(__xludf.DUMMYFUNCTION("""COMPUTED_VALUE"""),"")</f>
        <v/>
      </c>
      <c r="F112" s="8" t="str">
        <f>IFERROR(__xludf.DUMMYFUNCTION("""COMPUTED_VALUE"""),"")</f>
        <v/>
      </c>
      <c r="G112" s="8" t="str">
        <f>IFERROR(__xludf.DUMMYFUNCTION("""COMPUTED_VALUE"""),"")</f>
        <v/>
      </c>
      <c r="L112" s="8" t="s">
        <v>299</v>
      </c>
    </row>
    <row r="113">
      <c r="A113" s="10"/>
      <c r="B113" s="8" t="str">
        <f>IFERROR(__xludf.DUMMYFUNCTION("""COMPUTED_VALUE"""),"")</f>
        <v/>
      </c>
      <c r="C113" s="8" t="str">
        <f>IFERROR(__xludf.DUMMYFUNCTION("""COMPUTED_VALUE"""),"")</f>
        <v/>
      </c>
      <c r="D113" s="8" t="str">
        <f>IFERROR(__xludf.DUMMYFUNCTION("""COMPUTED_VALUE"""),"")</f>
        <v/>
      </c>
      <c r="E113" s="8" t="str">
        <f>IFERROR(__xludf.DUMMYFUNCTION("""COMPUTED_VALUE"""),"")</f>
        <v/>
      </c>
      <c r="F113" s="8" t="str">
        <f>IFERROR(__xludf.DUMMYFUNCTION("""COMPUTED_VALUE"""),"")</f>
        <v/>
      </c>
      <c r="G113" s="8" t="str">
        <f>IFERROR(__xludf.DUMMYFUNCTION("""COMPUTED_VALUE"""),"")</f>
        <v/>
      </c>
      <c r="L113" s="8" t="s">
        <v>299</v>
      </c>
    </row>
    <row r="114">
      <c r="A114" s="10"/>
      <c r="B114" s="8" t="str">
        <f>IFERROR(__xludf.DUMMYFUNCTION("""COMPUTED_VALUE"""),"")</f>
        <v/>
      </c>
      <c r="C114" s="8" t="str">
        <f>IFERROR(__xludf.DUMMYFUNCTION("""COMPUTED_VALUE"""),"")</f>
        <v/>
      </c>
      <c r="D114" s="8" t="str">
        <f>IFERROR(__xludf.DUMMYFUNCTION("""COMPUTED_VALUE"""),"")</f>
        <v/>
      </c>
      <c r="E114" s="8" t="str">
        <f>IFERROR(__xludf.DUMMYFUNCTION("""COMPUTED_VALUE"""),"")</f>
        <v/>
      </c>
      <c r="F114" s="8" t="str">
        <f>IFERROR(__xludf.DUMMYFUNCTION("""COMPUTED_VALUE"""),"")</f>
        <v/>
      </c>
      <c r="G114" s="8" t="str">
        <f>IFERROR(__xludf.DUMMYFUNCTION("""COMPUTED_VALUE"""),"")</f>
        <v/>
      </c>
      <c r="L114" s="8" t="s">
        <v>299</v>
      </c>
    </row>
    <row r="115">
      <c r="A115" s="10"/>
      <c r="B115" s="8" t="str">
        <f>IFERROR(__xludf.DUMMYFUNCTION("""COMPUTED_VALUE"""),"")</f>
        <v/>
      </c>
      <c r="C115" s="8" t="str">
        <f>IFERROR(__xludf.DUMMYFUNCTION("""COMPUTED_VALUE"""),"")</f>
        <v/>
      </c>
      <c r="D115" s="8" t="str">
        <f>IFERROR(__xludf.DUMMYFUNCTION("""COMPUTED_VALUE"""),"")</f>
        <v/>
      </c>
      <c r="E115" s="8" t="str">
        <f>IFERROR(__xludf.DUMMYFUNCTION("""COMPUTED_VALUE"""),"")</f>
        <v/>
      </c>
      <c r="F115" s="8" t="str">
        <f>IFERROR(__xludf.DUMMYFUNCTION("""COMPUTED_VALUE"""),"")</f>
        <v/>
      </c>
      <c r="G115" s="8" t="str">
        <f>IFERROR(__xludf.DUMMYFUNCTION("""COMPUTED_VALUE"""),"")</f>
        <v/>
      </c>
      <c r="L115" s="8" t="s">
        <v>299</v>
      </c>
    </row>
    <row r="116">
      <c r="A116" s="10"/>
      <c r="B116" s="8" t="str">
        <f>IFERROR(__xludf.DUMMYFUNCTION("""COMPUTED_VALUE"""),"")</f>
        <v/>
      </c>
      <c r="C116" s="8" t="str">
        <f>IFERROR(__xludf.DUMMYFUNCTION("""COMPUTED_VALUE"""),"")</f>
        <v/>
      </c>
      <c r="D116" s="8" t="str">
        <f>IFERROR(__xludf.DUMMYFUNCTION("""COMPUTED_VALUE"""),"")</f>
        <v/>
      </c>
      <c r="E116" s="8" t="str">
        <f>IFERROR(__xludf.DUMMYFUNCTION("""COMPUTED_VALUE"""),"")</f>
        <v/>
      </c>
      <c r="F116" s="8" t="str">
        <f>IFERROR(__xludf.DUMMYFUNCTION("""COMPUTED_VALUE"""),"")</f>
        <v/>
      </c>
      <c r="G116" s="8" t="str">
        <f>IFERROR(__xludf.DUMMYFUNCTION("""COMPUTED_VALUE"""),"")</f>
        <v/>
      </c>
      <c r="L116" s="8" t="s">
        <v>299</v>
      </c>
    </row>
    <row r="117">
      <c r="A117" s="10"/>
      <c r="B117" s="8" t="str">
        <f>IFERROR(__xludf.DUMMYFUNCTION("""COMPUTED_VALUE"""),"")</f>
        <v/>
      </c>
      <c r="C117" s="8" t="str">
        <f>IFERROR(__xludf.DUMMYFUNCTION("""COMPUTED_VALUE"""),"")</f>
        <v/>
      </c>
      <c r="D117" s="8" t="str">
        <f>IFERROR(__xludf.DUMMYFUNCTION("""COMPUTED_VALUE"""),"")</f>
        <v/>
      </c>
      <c r="E117" s="8" t="str">
        <f>IFERROR(__xludf.DUMMYFUNCTION("""COMPUTED_VALUE"""),"")</f>
        <v/>
      </c>
      <c r="F117" s="8" t="str">
        <f>IFERROR(__xludf.DUMMYFUNCTION("""COMPUTED_VALUE"""),"")</f>
        <v/>
      </c>
      <c r="G117" s="8" t="str">
        <f>IFERROR(__xludf.DUMMYFUNCTION("""COMPUTED_VALUE"""),"")</f>
        <v/>
      </c>
      <c r="L117" s="8" t="s">
        <v>299</v>
      </c>
    </row>
    <row r="118">
      <c r="A118" s="10"/>
      <c r="B118" s="8" t="str">
        <f>IFERROR(__xludf.DUMMYFUNCTION("""COMPUTED_VALUE"""),"")</f>
        <v/>
      </c>
      <c r="C118" s="8" t="str">
        <f>IFERROR(__xludf.DUMMYFUNCTION("""COMPUTED_VALUE"""),"")</f>
        <v/>
      </c>
      <c r="D118" s="8" t="str">
        <f>IFERROR(__xludf.DUMMYFUNCTION("""COMPUTED_VALUE"""),"")</f>
        <v/>
      </c>
      <c r="E118" s="8" t="str">
        <f>IFERROR(__xludf.DUMMYFUNCTION("""COMPUTED_VALUE"""),"")</f>
        <v/>
      </c>
      <c r="F118" s="8" t="str">
        <f>IFERROR(__xludf.DUMMYFUNCTION("""COMPUTED_VALUE"""),"")</f>
        <v/>
      </c>
      <c r="G118" s="8" t="str">
        <f>IFERROR(__xludf.DUMMYFUNCTION("""COMPUTED_VALUE"""),"")</f>
        <v/>
      </c>
      <c r="L118" s="8" t="s">
        <v>299</v>
      </c>
    </row>
    <row r="119">
      <c r="A119" s="10"/>
      <c r="B119" s="8" t="str">
        <f>IFERROR(__xludf.DUMMYFUNCTION("""COMPUTED_VALUE"""),"")</f>
        <v/>
      </c>
      <c r="C119" s="8" t="str">
        <f>IFERROR(__xludf.DUMMYFUNCTION("""COMPUTED_VALUE"""),"")</f>
        <v/>
      </c>
      <c r="D119" s="8" t="str">
        <f>IFERROR(__xludf.DUMMYFUNCTION("""COMPUTED_VALUE"""),"")</f>
        <v/>
      </c>
      <c r="E119" s="8" t="str">
        <f>IFERROR(__xludf.DUMMYFUNCTION("""COMPUTED_VALUE"""),"")</f>
        <v/>
      </c>
      <c r="F119" s="8" t="str">
        <f>IFERROR(__xludf.DUMMYFUNCTION("""COMPUTED_VALUE"""),"")</f>
        <v/>
      </c>
      <c r="G119" s="8" t="str">
        <f>IFERROR(__xludf.DUMMYFUNCTION("""COMPUTED_VALUE"""),"")</f>
        <v/>
      </c>
      <c r="L119" s="8" t="s">
        <v>299</v>
      </c>
    </row>
    <row r="120">
      <c r="A120" s="10"/>
      <c r="B120" s="8" t="str">
        <f>IFERROR(__xludf.DUMMYFUNCTION("""COMPUTED_VALUE"""),"")</f>
        <v/>
      </c>
      <c r="C120" s="8" t="str">
        <f>IFERROR(__xludf.DUMMYFUNCTION("""COMPUTED_VALUE"""),"")</f>
        <v/>
      </c>
      <c r="D120" s="8" t="str">
        <f>IFERROR(__xludf.DUMMYFUNCTION("""COMPUTED_VALUE"""),"")</f>
        <v/>
      </c>
      <c r="E120" s="8" t="str">
        <f>IFERROR(__xludf.DUMMYFUNCTION("""COMPUTED_VALUE"""),"")</f>
        <v/>
      </c>
      <c r="F120" s="8" t="str">
        <f>IFERROR(__xludf.DUMMYFUNCTION("""COMPUTED_VALUE"""),"")</f>
        <v/>
      </c>
      <c r="G120" s="8" t="str">
        <f>IFERROR(__xludf.DUMMYFUNCTION("""COMPUTED_VALUE"""),"")</f>
        <v/>
      </c>
      <c r="L120" s="8" t="s">
        <v>299</v>
      </c>
    </row>
    <row r="121">
      <c r="A121" s="10"/>
      <c r="B121" s="8" t="str">
        <f>IFERROR(__xludf.DUMMYFUNCTION("""COMPUTED_VALUE"""),"")</f>
        <v/>
      </c>
      <c r="C121" s="8" t="str">
        <f>IFERROR(__xludf.DUMMYFUNCTION("""COMPUTED_VALUE"""),"")</f>
        <v/>
      </c>
      <c r="D121" s="8" t="str">
        <f>IFERROR(__xludf.DUMMYFUNCTION("""COMPUTED_VALUE"""),"")</f>
        <v/>
      </c>
      <c r="E121" s="8" t="str">
        <f>IFERROR(__xludf.DUMMYFUNCTION("""COMPUTED_VALUE"""),"")</f>
        <v/>
      </c>
      <c r="F121" s="8" t="str">
        <f>IFERROR(__xludf.DUMMYFUNCTION("""COMPUTED_VALUE"""),"")</f>
        <v/>
      </c>
      <c r="G121" s="8" t="str">
        <f>IFERROR(__xludf.DUMMYFUNCTION("""COMPUTED_VALUE"""),"")</f>
        <v/>
      </c>
      <c r="L121" s="8" t="s">
        <v>299</v>
      </c>
    </row>
    <row r="122">
      <c r="A122" s="10"/>
      <c r="B122" s="8" t="str">
        <f>IFERROR(__xludf.DUMMYFUNCTION("""COMPUTED_VALUE"""),"")</f>
        <v/>
      </c>
      <c r="C122" s="8" t="str">
        <f>IFERROR(__xludf.DUMMYFUNCTION("""COMPUTED_VALUE"""),"")</f>
        <v/>
      </c>
      <c r="D122" s="8" t="str">
        <f>IFERROR(__xludf.DUMMYFUNCTION("""COMPUTED_VALUE"""),"")</f>
        <v/>
      </c>
      <c r="E122" s="8" t="str">
        <f>IFERROR(__xludf.DUMMYFUNCTION("""COMPUTED_VALUE"""),"")</f>
        <v/>
      </c>
      <c r="F122" s="8" t="str">
        <f>IFERROR(__xludf.DUMMYFUNCTION("""COMPUTED_VALUE"""),"")</f>
        <v/>
      </c>
      <c r="G122" s="8" t="str">
        <f>IFERROR(__xludf.DUMMYFUNCTION("""COMPUTED_VALUE"""),"")</f>
        <v/>
      </c>
      <c r="L122" s="8" t="s">
        <v>299</v>
      </c>
    </row>
    <row r="123">
      <c r="A123" s="10"/>
      <c r="B123" s="8" t="str">
        <f>IFERROR(__xludf.DUMMYFUNCTION("""COMPUTED_VALUE"""),"")</f>
        <v/>
      </c>
      <c r="C123" s="8" t="str">
        <f>IFERROR(__xludf.DUMMYFUNCTION("""COMPUTED_VALUE"""),"")</f>
        <v/>
      </c>
      <c r="D123" s="8" t="str">
        <f>IFERROR(__xludf.DUMMYFUNCTION("""COMPUTED_VALUE"""),"")</f>
        <v/>
      </c>
      <c r="E123" s="8" t="str">
        <f>IFERROR(__xludf.DUMMYFUNCTION("""COMPUTED_VALUE"""),"")</f>
        <v/>
      </c>
      <c r="F123" s="8" t="str">
        <f>IFERROR(__xludf.DUMMYFUNCTION("""COMPUTED_VALUE"""),"")</f>
        <v/>
      </c>
      <c r="G123" s="8" t="str">
        <f>IFERROR(__xludf.DUMMYFUNCTION("""COMPUTED_VALUE"""),"")</f>
        <v/>
      </c>
      <c r="L123" s="8" t="s">
        <v>299</v>
      </c>
    </row>
    <row r="124">
      <c r="A124" s="10"/>
      <c r="B124" s="8" t="str">
        <f>IFERROR(__xludf.DUMMYFUNCTION("""COMPUTED_VALUE"""),"")</f>
        <v/>
      </c>
      <c r="C124" s="8" t="str">
        <f>IFERROR(__xludf.DUMMYFUNCTION("""COMPUTED_VALUE"""),"")</f>
        <v/>
      </c>
      <c r="D124" s="8" t="str">
        <f>IFERROR(__xludf.DUMMYFUNCTION("""COMPUTED_VALUE"""),"")</f>
        <v/>
      </c>
      <c r="E124" s="8" t="str">
        <f>IFERROR(__xludf.DUMMYFUNCTION("""COMPUTED_VALUE"""),"")</f>
        <v/>
      </c>
      <c r="F124" s="8" t="str">
        <f>IFERROR(__xludf.DUMMYFUNCTION("""COMPUTED_VALUE"""),"")</f>
        <v/>
      </c>
      <c r="G124" s="8" t="str">
        <f>IFERROR(__xludf.DUMMYFUNCTION("""COMPUTED_VALUE"""),"")</f>
        <v/>
      </c>
      <c r="L124" s="8" t="s">
        <v>299</v>
      </c>
    </row>
    <row r="125">
      <c r="A125" s="10"/>
      <c r="B125" s="8" t="str">
        <f>IFERROR(__xludf.DUMMYFUNCTION("""COMPUTED_VALUE"""),"")</f>
        <v/>
      </c>
      <c r="C125" s="8" t="str">
        <f>IFERROR(__xludf.DUMMYFUNCTION("""COMPUTED_VALUE"""),"")</f>
        <v/>
      </c>
      <c r="D125" s="8" t="str">
        <f>IFERROR(__xludf.DUMMYFUNCTION("""COMPUTED_VALUE"""),"")</f>
        <v/>
      </c>
      <c r="E125" s="8" t="str">
        <f>IFERROR(__xludf.DUMMYFUNCTION("""COMPUTED_VALUE"""),"")</f>
        <v/>
      </c>
      <c r="F125" s="8" t="str">
        <f>IFERROR(__xludf.DUMMYFUNCTION("""COMPUTED_VALUE"""),"")</f>
        <v/>
      </c>
      <c r="G125" s="8" t="str">
        <f>IFERROR(__xludf.DUMMYFUNCTION("""COMPUTED_VALUE"""),"")</f>
        <v/>
      </c>
      <c r="L125" s="8" t="s">
        <v>299</v>
      </c>
    </row>
    <row r="126">
      <c r="A126" s="10"/>
      <c r="B126" s="8" t="str">
        <f>IFERROR(__xludf.DUMMYFUNCTION("""COMPUTED_VALUE"""),"")</f>
        <v/>
      </c>
      <c r="C126" s="8" t="str">
        <f>IFERROR(__xludf.DUMMYFUNCTION("""COMPUTED_VALUE"""),"")</f>
        <v/>
      </c>
      <c r="D126" s="8" t="str">
        <f>IFERROR(__xludf.DUMMYFUNCTION("""COMPUTED_VALUE"""),"")</f>
        <v/>
      </c>
      <c r="E126" s="8" t="str">
        <f>IFERROR(__xludf.DUMMYFUNCTION("""COMPUTED_VALUE"""),"")</f>
        <v/>
      </c>
      <c r="F126" s="8" t="str">
        <f>IFERROR(__xludf.DUMMYFUNCTION("""COMPUTED_VALUE"""),"")</f>
        <v/>
      </c>
      <c r="G126" s="8" t="str">
        <f>IFERROR(__xludf.DUMMYFUNCTION("""COMPUTED_VALUE"""),"")</f>
        <v/>
      </c>
      <c r="L126" s="8" t="s">
        <v>299</v>
      </c>
    </row>
    <row r="127">
      <c r="A127" s="10"/>
      <c r="B127" s="8" t="str">
        <f>IFERROR(__xludf.DUMMYFUNCTION("""COMPUTED_VALUE"""),"")</f>
        <v/>
      </c>
      <c r="C127" s="8" t="str">
        <f>IFERROR(__xludf.DUMMYFUNCTION("""COMPUTED_VALUE"""),"")</f>
        <v/>
      </c>
      <c r="D127" s="8" t="str">
        <f>IFERROR(__xludf.DUMMYFUNCTION("""COMPUTED_VALUE"""),"")</f>
        <v/>
      </c>
      <c r="E127" s="8" t="str">
        <f>IFERROR(__xludf.DUMMYFUNCTION("""COMPUTED_VALUE"""),"")</f>
        <v/>
      </c>
      <c r="F127" s="8" t="str">
        <f>IFERROR(__xludf.DUMMYFUNCTION("""COMPUTED_VALUE"""),"")</f>
        <v/>
      </c>
      <c r="G127" s="8" t="str">
        <f>IFERROR(__xludf.DUMMYFUNCTION("""COMPUTED_VALUE"""),"")</f>
        <v/>
      </c>
      <c r="L127" s="8" t="s">
        <v>299</v>
      </c>
    </row>
    <row r="128">
      <c r="A128" s="10"/>
      <c r="B128" s="8" t="str">
        <f>IFERROR(__xludf.DUMMYFUNCTION("""COMPUTED_VALUE"""),"")</f>
        <v/>
      </c>
      <c r="C128" s="8" t="str">
        <f>IFERROR(__xludf.DUMMYFUNCTION("""COMPUTED_VALUE"""),"")</f>
        <v/>
      </c>
      <c r="D128" s="8" t="str">
        <f>IFERROR(__xludf.DUMMYFUNCTION("""COMPUTED_VALUE"""),"")</f>
        <v/>
      </c>
      <c r="E128" s="8" t="str">
        <f>IFERROR(__xludf.DUMMYFUNCTION("""COMPUTED_VALUE"""),"")</f>
        <v/>
      </c>
      <c r="F128" s="8" t="str">
        <f>IFERROR(__xludf.DUMMYFUNCTION("""COMPUTED_VALUE"""),"")</f>
        <v/>
      </c>
      <c r="G128" s="8" t="str">
        <f>IFERROR(__xludf.DUMMYFUNCTION("""COMPUTED_VALUE"""),"")</f>
        <v/>
      </c>
      <c r="L128" s="8" t="s">
        <v>299</v>
      </c>
    </row>
    <row r="129">
      <c r="A129" s="10"/>
      <c r="B129" s="8" t="str">
        <f>IFERROR(__xludf.DUMMYFUNCTION("""COMPUTED_VALUE"""),"")</f>
        <v/>
      </c>
      <c r="C129" s="8" t="str">
        <f>IFERROR(__xludf.DUMMYFUNCTION("""COMPUTED_VALUE"""),"")</f>
        <v/>
      </c>
      <c r="D129" s="8" t="str">
        <f>IFERROR(__xludf.DUMMYFUNCTION("""COMPUTED_VALUE"""),"")</f>
        <v/>
      </c>
      <c r="E129" s="8" t="str">
        <f>IFERROR(__xludf.DUMMYFUNCTION("""COMPUTED_VALUE"""),"")</f>
        <v/>
      </c>
      <c r="F129" s="8" t="str">
        <f>IFERROR(__xludf.DUMMYFUNCTION("""COMPUTED_VALUE"""),"")</f>
        <v/>
      </c>
      <c r="G129" s="8" t="str">
        <f>IFERROR(__xludf.DUMMYFUNCTION("""COMPUTED_VALUE"""),"")</f>
        <v/>
      </c>
      <c r="L129" s="8" t="s">
        <v>299</v>
      </c>
    </row>
    <row r="130">
      <c r="A130" s="10"/>
      <c r="B130" s="8" t="str">
        <f>IFERROR(__xludf.DUMMYFUNCTION("""COMPUTED_VALUE"""),"")</f>
        <v/>
      </c>
      <c r="C130" s="8" t="str">
        <f>IFERROR(__xludf.DUMMYFUNCTION("""COMPUTED_VALUE"""),"")</f>
        <v/>
      </c>
      <c r="D130" s="8" t="str">
        <f>IFERROR(__xludf.DUMMYFUNCTION("""COMPUTED_VALUE"""),"")</f>
        <v/>
      </c>
      <c r="E130" s="8" t="str">
        <f>IFERROR(__xludf.DUMMYFUNCTION("""COMPUTED_VALUE"""),"")</f>
        <v/>
      </c>
      <c r="F130" s="8" t="str">
        <f>IFERROR(__xludf.DUMMYFUNCTION("""COMPUTED_VALUE"""),"")</f>
        <v/>
      </c>
      <c r="G130" s="8" t="str">
        <f>IFERROR(__xludf.DUMMYFUNCTION("""COMPUTED_VALUE"""),"")</f>
        <v/>
      </c>
      <c r="L130" s="8" t="s">
        <v>299</v>
      </c>
    </row>
    <row r="131">
      <c r="A131" s="10"/>
      <c r="B131" s="8" t="str">
        <f>IFERROR(__xludf.DUMMYFUNCTION("""COMPUTED_VALUE"""),"")</f>
        <v/>
      </c>
      <c r="C131" s="8" t="str">
        <f>IFERROR(__xludf.DUMMYFUNCTION("""COMPUTED_VALUE"""),"")</f>
        <v/>
      </c>
      <c r="D131" s="8" t="str">
        <f>IFERROR(__xludf.DUMMYFUNCTION("""COMPUTED_VALUE"""),"")</f>
        <v/>
      </c>
      <c r="E131" s="8" t="str">
        <f>IFERROR(__xludf.DUMMYFUNCTION("""COMPUTED_VALUE"""),"")</f>
        <v/>
      </c>
      <c r="F131" s="8" t="str">
        <f>IFERROR(__xludf.DUMMYFUNCTION("""COMPUTED_VALUE"""),"")</f>
        <v/>
      </c>
      <c r="G131" s="8" t="str">
        <f>IFERROR(__xludf.DUMMYFUNCTION("""COMPUTED_VALUE"""),"")</f>
        <v/>
      </c>
      <c r="L131" s="8" t="s">
        <v>299</v>
      </c>
    </row>
    <row r="132">
      <c r="A132" s="10"/>
      <c r="B132" s="8" t="str">
        <f>IFERROR(__xludf.DUMMYFUNCTION("""COMPUTED_VALUE"""),"")</f>
        <v/>
      </c>
      <c r="C132" s="8" t="str">
        <f>IFERROR(__xludf.DUMMYFUNCTION("""COMPUTED_VALUE"""),"")</f>
        <v/>
      </c>
      <c r="D132" s="8" t="str">
        <f>IFERROR(__xludf.DUMMYFUNCTION("""COMPUTED_VALUE"""),"")</f>
        <v/>
      </c>
      <c r="E132" s="8" t="str">
        <f>IFERROR(__xludf.DUMMYFUNCTION("""COMPUTED_VALUE"""),"")</f>
        <v/>
      </c>
      <c r="F132" s="8" t="str">
        <f>IFERROR(__xludf.DUMMYFUNCTION("""COMPUTED_VALUE"""),"")</f>
        <v/>
      </c>
      <c r="G132" s="8" t="str">
        <f>IFERROR(__xludf.DUMMYFUNCTION("""COMPUTED_VALUE"""),"")</f>
        <v/>
      </c>
      <c r="L132" s="8" t="s">
        <v>299</v>
      </c>
    </row>
    <row r="133">
      <c r="A133" s="10"/>
      <c r="B133" s="8" t="str">
        <f>IFERROR(__xludf.DUMMYFUNCTION("""COMPUTED_VALUE"""),"")</f>
        <v/>
      </c>
      <c r="C133" s="8" t="str">
        <f>IFERROR(__xludf.DUMMYFUNCTION("""COMPUTED_VALUE"""),"")</f>
        <v/>
      </c>
      <c r="D133" s="8" t="str">
        <f>IFERROR(__xludf.DUMMYFUNCTION("""COMPUTED_VALUE"""),"")</f>
        <v/>
      </c>
      <c r="E133" s="8" t="str">
        <f>IFERROR(__xludf.DUMMYFUNCTION("""COMPUTED_VALUE"""),"")</f>
        <v/>
      </c>
      <c r="F133" s="8" t="str">
        <f>IFERROR(__xludf.DUMMYFUNCTION("""COMPUTED_VALUE"""),"")</f>
        <v/>
      </c>
      <c r="G133" s="8" t="str">
        <f>IFERROR(__xludf.DUMMYFUNCTION("""COMPUTED_VALUE"""),"")</f>
        <v/>
      </c>
      <c r="L133" s="8" t="s">
        <v>299</v>
      </c>
    </row>
    <row r="134">
      <c r="A134" s="10"/>
      <c r="B134" s="8" t="str">
        <f>IFERROR(__xludf.DUMMYFUNCTION("""COMPUTED_VALUE"""),"")</f>
        <v/>
      </c>
      <c r="C134" s="8" t="str">
        <f>IFERROR(__xludf.DUMMYFUNCTION("""COMPUTED_VALUE"""),"")</f>
        <v/>
      </c>
      <c r="D134" s="8" t="str">
        <f>IFERROR(__xludf.DUMMYFUNCTION("""COMPUTED_VALUE"""),"")</f>
        <v/>
      </c>
      <c r="E134" s="8" t="str">
        <f>IFERROR(__xludf.DUMMYFUNCTION("""COMPUTED_VALUE"""),"")</f>
        <v/>
      </c>
      <c r="F134" s="8" t="str">
        <f>IFERROR(__xludf.DUMMYFUNCTION("""COMPUTED_VALUE"""),"")</f>
        <v/>
      </c>
      <c r="G134" s="8" t="str">
        <f>IFERROR(__xludf.DUMMYFUNCTION("""COMPUTED_VALUE"""),"")</f>
        <v/>
      </c>
      <c r="L134" s="8" t="s">
        <v>299</v>
      </c>
    </row>
    <row r="135">
      <c r="A135" s="10"/>
      <c r="B135" s="8" t="str">
        <f>IFERROR(__xludf.DUMMYFUNCTION("""COMPUTED_VALUE"""),"")</f>
        <v/>
      </c>
      <c r="C135" s="8" t="str">
        <f>IFERROR(__xludf.DUMMYFUNCTION("""COMPUTED_VALUE"""),"")</f>
        <v/>
      </c>
      <c r="D135" s="8" t="str">
        <f>IFERROR(__xludf.DUMMYFUNCTION("""COMPUTED_VALUE"""),"")</f>
        <v/>
      </c>
      <c r="E135" s="8" t="str">
        <f>IFERROR(__xludf.DUMMYFUNCTION("""COMPUTED_VALUE"""),"")</f>
        <v/>
      </c>
      <c r="F135" s="8" t="str">
        <f>IFERROR(__xludf.DUMMYFUNCTION("""COMPUTED_VALUE"""),"")</f>
        <v/>
      </c>
      <c r="G135" s="8" t="str">
        <f>IFERROR(__xludf.DUMMYFUNCTION("""COMPUTED_VALUE"""),"")</f>
        <v/>
      </c>
      <c r="L135" s="8" t="s">
        <v>299</v>
      </c>
    </row>
    <row r="136">
      <c r="A136" s="10"/>
      <c r="B136" s="8" t="str">
        <f>IFERROR(__xludf.DUMMYFUNCTION("""COMPUTED_VALUE"""),"")</f>
        <v/>
      </c>
      <c r="C136" s="8" t="str">
        <f>IFERROR(__xludf.DUMMYFUNCTION("""COMPUTED_VALUE"""),"")</f>
        <v/>
      </c>
      <c r="D136" s="8" t="str">
        <f>IFERROR(__xludf.DUMMYFUNCTION("""COMPUTED_VALUE"""),"")</f>
        <v/>
      </c>
      <c r="E136" s="8" t="str">
        <f>IFERROR(__xludf.DUMMYFUNCTION("""COMPUTED_VALUE"""),"")</f>
        <v/>
      </c>
      <c r="F136" s="8" t="str">
        <f>IFERROR(__xludf.DUMMYFUNCTION("""COMPUTED_VALUE"""),"")</f>
        <v/>
      </c>
      <c r="G136" s="8" t="str">
        <f>IFERROR(__xludf.DUMMYFUNCTION("""COMPUTED_VALUE"""),"")</f>
        <v/>
      </c>
      <c r="L136" s="8" t="s">
        <v>299</v>
      </c>
    </row>
    <row r="137">
      <c r="A137" s="10"/>
      <c r="B137" s="8" t="str">
        <f>IFERROR(__xludf.DUMMYFUNCTION("""COMPUTED_VALUE"""),"")</f>
        <v/>
      </c>
      <c r="C137" s="8" t="str">
        <f>IFERROR(__xludf.DUMMYFUNCTION("""COMPUTED_VALUE"""),"")</f>
        <v/>
      </c>
      <c r="D137" s="8" t="str">
        <f>IFERROR(__xludf.DUMMYFUNCTION("""COMPUTED_VALUE"""),"")</f>
        <v/>
      </c>
      <c r="E137" s="8" t="str">
        <f>IFERROR(__xludf.DUMMYFUNCTION("""COMPUTED_VALUE"""),"")</f>
        <v/>
      </c>
      <c r="F137" s="8" t="str">
        <f>IFERROR(__xludf.DUMMYFUNCTION("""COMPUTED_VALUE"""),"")</f>
        <v/>
      </c>
      <c r="G137" s="8" t="str">
        <f>IFERROR(__xludf.DUMMYFUNCTION("""COMPUTED_VALUE"""),"")</f>
        <v/>
      </c>
      <c r="L137" s="8" t="s">
        <v>299</v>
      </c>
    </row>
    <row r="138">
      <c r="A138" s="10"/>
      <c r="B138" s="8" t="str">
        <f>IFERROR(__xludf.DUMMYFUNCTION("""COMPUTED_VALUE"""),"")</f>
        <v/>
      </c>
      <c r="C138" s="8" t="str">
        <f>IFERROR(__xludf.DUMMYFUNCTION("""COMPUTED_VALUE"""),"")</f>
        <v/>
      </c>
      <c r="D138" s="8" t="str">
        <f>IFERROR(__xludf.DUMMYFUNCTION("""COMPUTED_VALUE"""),"")</f>
        <v/>
      </c>
      <c r="E138" s="8" t="str">
        <f>IFERROR(__xludf.DUMMYFUNCTION("""COMPUTED_VALUE"""),"")</f>
        <v/>
      </c>
      <c r="F138" s="8" t="str">
        <f>IFERROR(__xludf.DUMMYFUNCTION("""COMPUTED_VALUE"""),"")</f>
        <v/>
      </c>
      <c r="G138" s="8" t="str">
        <f>IFERROR(__xludf.DUMMYFUNCTION("""COMPUTED_VALUE"""),"")</f>
        <v/>
      </c>
      <c r="L138" s="8" t="s">
        <v>299</v>
      </c>
    </row>
    <row r="139">
      <c r="A139" s="10"/>
      <c r="B139" s="8" t="str">
        <f>IFERROR(__xludf.DUMMYFUNCTION("""COMPUTED_VALUE"""),"")</f>
        <v/>
      </c>
      <c r="C139" s="8" t="str">
        <f>IFERROR(__xludf.DUMMYFUNCTION("""COMPUTED_VALUE"""),"")</f>
        <v/>
      </c>
      <c r="D139" s="8" t="str">
        <f>IFERROR(__xludf.DUMMYFUNCTION("""COMPUTED_VALUE"""),"")</f>
        <v/>
      </c>
      <c r="E139" s="8" t="str">
        <f>IFERROR(__xludf.DUMMYFUNCTION("""COMPUTED_VALUE"""),"")</f>
        <v/>
      </c>
      <c r="F139" s="8" t="str">
        <f>IFERROR(__xludf.DUMMYFUNCTION("""COMPUTED_VALUE"""),"")</f>
        <v/>
      </c>
      <c r="G139" s="8" t="str">
        <f>IFERROR(__xludf.DUMMYFUNCTION("""COMPUTED_VALUE"""),"")</f>
        <v/>
      </c>
      <c r="L139" s="8" t="s">
        <v>299</v>
      </c>
    </row>
    <row r="140">
      <c r="A140" s="10"/>
      <c r="B140" s="8" t="str">
        <f>IFERROR(__xludf.DUMMYFUNCTION("""COMPUTED_VALUE"""),"")</f>
        <v/>
      </c>
      <c r="C140" s="8" t="str">
        <f>IFERROR(__xludf.DUMMYFUNCTION("""COMPUTED_VALUE"""),"")</f>
        <v/>
      </c>
      <c r="D140" s="8" t="str">
        <f>IFERROR(__xludf.DUMMYFUNCTION("""COMPUTED_VALUE"""),"")</f>
        <v/>
      </c>
      <c r="E140" s="8" t="str">
        <f>IFERROR(__xludf.DUMMYFUNCTION("""COMPUTED_VALUE"""),"")</f>
        <v/>
      </c>
      <c r="F140" s="8" t="str">
        <f>IFERROR(__xludf.DUMMYFUNCTION("""COMPUTED_VALUE"""),"")</f>
        <v/>
      </c>
      <c r="G140" s="8" t="str">
        <f>IFERROR(__xludf.DUMMYFUNCTION("""COMPUTED_VALUE"""),"")</f>
        <v/>
      </c>
      <c r="L140" s="8" t="s">
        <v>299</v>
      </c>
    </row>
    <row r="141">
      <c r="A141" s="10"/>
      <c r="B141" s="8" t="str">
        <f>IFERROR(__xludf.DUMMYFUNCTION("""COMPUTED_VALUE"""),"")</f>
        <v/>
      </c>
      <c r="C141" s="8" t="str">
        <f>IFERROR(__xludf.DUMMYFUNCTION("""COMPUTED_VALUE"""),"")</f>
        <v/>
      </c>
      <c r="D141" s="8" t="str">
        <f>IFERROR(__xludf.DUMMYFUNCTION("""COMPUTED_VALUE"""),"")</f>
        <v/>
      </c>
      <c r="E141" s="8" t="str">
        <f>IFERROR(__xludf.DUMMYFUNCTION("""COMPUTED_VALUE"""),"")</f>
        <v/>
      </c>
      <c r="F141" s="8" t="str">
        <f>IFERROR(__xludf.DUMMYFUNCTION("""COMPUTED_VALUE"""),"")</f>
        <v/>
      </c>
      <c r="G141" s="8" t="str">
        <f>IFERROR(__xludf.DUMMYFUNCTION("""COMPUTED_VALUE"""),"")</f>
        <v/>
      </c>
      <c r="L141" s="8" t="s">
        <v>299</v>
      </c>
    </row>
    <row r="142">
      <c r="A142" s="10"/>
      <c r="B142" s="8" t="str">
        <f>IFERROR(__xludf.DUMMYFUNCTION("""COMPUTED_VALUE"""),"")</f>
        <v/>
      </c>
      <c r="C142" s="8" t="str">
        <f>IFERROR(__xludf.DUMMYFUNCTION("""COMPUTED_VALUE"""),"")</f>
        <v/>
      </c>
      <c r="D142" s="8" t="str">
        <f>IFERROR(__xludf.DUMMYFUNCTION("""COMPUTED_VALUE"""),"")</f>
        <v/>
      </c>
      <c r="E142" s="8" t="str">
        <f>IFERROR(__xludf.DUMMYFUNCTION("""COMPUTED_VALUE"""),"")</f>
        <v/>
      </c>
      <c r="F142" s="8" t="str">
        <f>IFERROR(__xludf.DUMMYFUNCTION("""COMPUTED_VALUE"""),"")</f>
        <v/>
      </c>
      <c r="G142" s="8" t="str">
        <f>IFERROR(__xludf.DUMMYFUNCTION("""COMPUTED_VALUE"""),"")</f>
        <v/>
      </c>
      <c r="L142" s="8" t="s">
        <v>299</v>
      </c>
    </row>
    <row r="143">
      <c r="A143" s="10"/>
      <c r="B143" s="8" t="str">
        <f>IFERROR(__xludf.DUMMYFUNCTION("""COMPUTED_VALUE"""),"")</f>
        <v/>
      </c>
      <c r="C143" s="8" t="str">
        <f>IFERROR(__xludf.DUMMYFUNCTION("""COMPUTED_VALUE"""),"")</f>
        <v/>
      </c>
      <c r="D143" s="8" t="str">
        <f>IFERROR(__xludf.DUMMYFUNCTION("""COMPUTED_VALUE"""),"")</f>
        <v/>
      </c>
      <c r="E143" s="8" t="str">
        <f>IFERROR(__xludf.DUMMYFUNCTION("""COMPUTED_VALUE"""),"")</f>
        <v/>
      </c>
      <c r="F143" s="8" t="str">
        <f>IFERROR(__xludf.DUMMYFUNCTION("""COMPUTED_VALUE"""),"")</f>
        <v/>
      </c>
      <c r="G143" s="8" t="str">
        <f>IFERROR(__xludf.DUMMYFUNCTION("""COMPUTED_VALUE"""),"")</f>
        <v/>
      </c>
      <c r="L143" s="8" t="s">
        <v>299</v>
      </c>
    </row>
    <row r="144">
      <c r="A144" s="10"/>
      <c r="B144" s="8" t="str">
        <f>IFERROR(__xludf.DUMMYFUNCTION("""COMPUTED_VALUE"""),"")</f>
        <v/>
      </c>
      <c r="C144" s="8" t="str">
        <f>IFERROR(__xludf.DUMMYFUNCTION("""COMPUTED_VALUE"""),"")</f>
        <v/>
      </c>
      <c r="D144" s="8" t="str">
        <f>IFERROR(__xludf.DUMMYFUNCTION("""COMPUTED_VALUE"""),"")</f>
        <v/>
      </c>
      <c r="E144" s="8" t="str">
        <f>IFERROR(__xludf.DUMMYFUNCTION("""COMPUTED_VALUE"""),"")</f>
        <v/>
      </c>
      <c r="F144" s="8" t="str">
        <f>IFERROR(__xludf.DUMMYFUNCTION("""COMPUTED_VALUE"""),"")</f>
        <v/>
      </c>
      <c r="G144" s="8" t="str">
        <f>IFERROR(__xludf.DUMMYFUNCTION("""COMPUTED_VALUE"""),"")</f>
        <v/>
      </c>
      <c r="L144" s="8" t="s">
        <v>299</v>
      </c>
    </row>
    <row r="145">
      <c r="A145" s="10"/>
      <c r="B145" s="8" t="str">
        <f>IFERROR(__xludf.DUMMYFUNCTION("""COMPUTED_VALUE"""),"")</f>
        <v/>
      </c>
      <c r="C145" s="8" t="str">
        <f>IFERROR(__xludf.DUMMYFUNCTION("""COMPUTED_VALUE"""),"")</f>
        <v/>
      </c>
      <c r="D145" s="8" t="str">
        <f>IFERROR(__xludf.DUMMYFUNCTION("""COMPUTED_VALUE"""),"")</f>
        <v/>
      </c>
      <c r="E145" s="8" t="str">
        <f>IFERROR(__xludf.DUMMYFUNCTION("""COMPUTED_VALUE"""),"")</f>
        <v/>
      </c>
      <c r="F145" s="8" t="str">
        <f>IFERROR(__xludf.DUMMYFUNCTION("""COMPUTED_VALUE"""),"")</f>
        <v/>
      </c>
      <c r="G145" s="8" t="str">
        <f>IFERROR(__xludf.DUMMYFUNCTION("""COMPUTED_VALUE"""),"")</f>
        <v/>
      </c>
      <c r="L145" s="8" t="s">
        <v>299</v>
      </c>
    </row>
    <row r="146">
      <c r="A146" s="10"/>
      <c r="B146" s="8" t="str">
        <f>IFERROR(__xludf.DUMMYFUNCTION("""COMPUTED_VALUE"""),"")</f>
        <v/>
      </c>
      <c r="C146" s="8" t="str">
        <f>IFERROR(__xludf.DUMMYFUNCTION("""COMPUTED_VALUE"""),"")</f>
        <v/>
      </c>
      <c r="D146" s="8" t="str">
        <f>IFERROR(__xludf.DUMMYFUNCTION("""COMPUTED_VALUE"""),"")</f>
        <v/>
      </c>
      <c r="E146" s="8" t="str">
        <f>IFERROR(__xludf.DUMMYFUNCTION("""COMPUTED_VALUE"""),"")</f>
        <v/>
      </c>
      <c r="F146" s="8" t="str">
        <f>IFERROR(__xludf.DUMMYFUNCTION("""COMPUTED_VALUE"""),"")</f>
        <v/>
      </c>
      <c r="G146" s="8" t="str">
        <f>IFERROR(__xludf.DUMMYFUNCTION("""COMPUTED_VALUE"""),"")</f>
        <v/>
      </c>
      <c r="L146" s="8" t="s">
        <v>299</v>
      </c>
    </row>
    <row r="147">
      <c r="A147" s="10"/>
      <c r="B147" s="8" t="str">
        <f>IFERROR(__xludf.DUMMYFUNCTION("""COMPUTED_VALUE"""),"")</f>
        <v/>
      </c>
      <c r="C147" s="8" t="str">
        <f>IFERROR(__xludf.DUMMYFUNCTION("""COMPUTED_VALUE"""),"")</f>
        <v/>
      </c>
      <c r="D147" s="8" t="str">
        <f>IFERROR(__xludf.DUMMYFUNCTION("""COMPUTED_VALUE"""),"")</f>
        <v/>
      </c>
      <c r="E147" s="8" t="str">
        <f>IFERROR(__xludf.DUMMYFUNCTION("""COMPUTED_VALUE"""),"")</f>
        <v/>
      </c>
      <c r="F147" s="8" t="str">
        <f>IFERROR(__xludf.DUMMYFUNCTION("""COMPUTED_VALUE"""),"")</f>
        <v/>
      </c>
      <c r="G147" s="8" t="str">
        <f>IFERROR(__xludf.DUMMYFUNCTION("""COMPUTED_VALUE"""),"")</f>
        <v/>
      </c>
      <c r="L147" s="8" t="s">
        <v>299</v>
      </c>
    </row>
    <row r="148">
      <c r="A148" s="10"/>
      <c r="B148" s="8" t="str">
        <f>IFERROR(__xludf.DUMMYFUNCTION("""COMPUTED_VALUE"""),"")</f>
        <v/>
      </c>
      <c r="C148" s="8" t="str">
        <f>IFERROR(__xludf.DUMMYFUNCTION("""COMPUTED_VALUE"""),"")</f>
        <v/>
      </c>
      <c r="D148" s="8" t="str">
        <f>IFERROR(__xludf.DUMMYFUNCTION("""COMPUTED_VALUE"""),"")</f>
        <v/>
      </c>
      <c r="E148" s="8" t="str">
        <f>IFERROR(__xludf.DUMMYFUNCTION("""COMPUTED_VALUE"""),"")</f>
        <v/>
      </c>
      <c r="F148" s="8" t="str">
        <f>IFERROR(__xludf.DUMMYFUNCTION("""COMPUTED_VALUE"""),"")</f>
        <v/>
      </c>
      <c r="G148" s="8" t="str">
        <f>IFERROR(__xludf.DUMMYFUNCTION("""COMPUTED_VALUE"""),"")</f>
        <v/>
      </c>
      <c r="L148" s="8" t="s">
        <v>299</v>
      </c>
    </row>
    <row r="149">
      <c r="A149" s="10"/>
      <c r="B149" s="8" t="str">
        <f>IFERROR(__xludf.DUMMYFUNCTION("""COMPUTED_VALUE"""),"")</f>
        <v/>
      </c>
      <c r="C149" s="8" t="str">
        <f>IFERROR(__xludf.DUMMYFUNCTION("""COMPUTED_VALUE"""),"")</f>
        <v/>
      </c>
      <c r="D149" s="8" t="str">
        <f>IFERROR(__xludf.DUMMYFUNCTION("""COMPUTED_VALUE"""),"")</f>
        <v/>
      </c>
      <c r="E149" s="8" t="str">
        <f>IFERROR(__xludf.DUMMYFUNCTION("""COMPUTED_VALUE"""),"")</f>
        <v/>
      </c>
      <c r="F149" s="8" t="str">
        <f>IFERROR(__xludf.DUMMYFUNCTION("""COMPUTED_VALUE"""),"")</f>
        <v/>
      </c>
      <c r="G149" s="8" t="str">
        <f>IFERROR(__xludf.DUMMYFUNCTION("""COMPUTED_VALUE"""),"")</f>
        <v/>
      </c>
      <c r="L149" s="8" t="s">
        <v>299</v>
      </c>
    </row>
    <row r="150">
      <c r="A150" s="10"/>
      <c r="B150" s="8" t="str">
        <f>IFERROR(__xludf.DUMMYFUNCTION("""COMPUTED_VALUE"""),"")</f>
        <v/>
      </c>
      <c r="C150" s="8" t="str">
        <f>IFERROR(__xludf.DUMMYFUNCTION("""COMPUTED_VALUE"""),"")</f>
        <v/>
      </c>
      <c r="D150" s="8" t="str">
        <f>IFERROR(__xludf.DUMMYFUNCTION("""COMPUTED_VALUE"""),"")</f>
        <v/>
      </c>
      <c r="E150" s="8" t="str">
        <f>IFERROR(__xludf.DUMMYFUNCTION("""COMPUTED_VALUE"""),"")</f>
        <v/>
      </c>
      <c r="F150" s="8" t="str">
        <f>IFERROR(__xludf.DUMMYFUNCTION("""COMPUTED_VALUE"""),"")</f>
        <v/>
      </c>
      <c r="G150" s="8" t="str">
        <f>IFERROR(__xludf.DUMMYFUNCTION("""COMPUTED_VALUE"""),"")</f>
        <v/>
      </c>
      <c r="L150" s="8" t="s">
        <v>299</v>
      </c>
    </row>
    <row r="151">
      <c r="A151" s="10"/>
      <c r="B151" s="8" t="str">
        <f>IFERROR(__xludf.DUMMYFUNCTION("""COMPUTED_VALUE"""),"")</f>
        <v/>
      </c>
      <c r="C151" s="8" t="str">
        <f>IFERROR(__xludf.DUMMYFUNCTION("""COMPUTED_VALUE"""),"")</f>
        <v/>
      </c>
      <c r="D151" s="8" t="str">
        <f>IFERROR(__xludf.DUMMYFUNCTION("""COMPUTED_VALUE"""),"")</f>
        <v/>
      </c>
      <c r="E151" s="8" t="str">
        <f>IFERROR(__xludf.DUMMYFUNCTION("""COMPUTED_VALUE"""),"")</f>
        <v/>
      </c>
      <c r="F151" s="8" t="str">
        <f>IFERROR(__xludf.DUMMYFUNCTION("""COMPUTED_VALUE"""),"")</f>
        <v/>
      </c>
      <c r="G151" s="8" t="str">
        <f>IFERROR(__xludf.DUMMYFUNCTION("""COMPUTED_VALUE"""),"")</f>
        <v/>
      </c>
      <c r="L151" s="8" t="s">
        <v>299</v>
      </c>
    </row>
    <row r="152">
      <c r="A152" s="10"/>
      <c r="B152" s="8" t="str">
        <f>IFERROR(__xludf.DUMMYFUNCTION("""COMPUTED_VALUE"""),"")</f>
        <v/>
      </c>
      <c r="C152" s="8" t="str">
        <f>IFERROR(__xludf.DUMMYFUNCTION("""COMPUTED_VALUE"""),"")</f>
        <v/>
      </c>
      <c r="D152" s="8" t="str">
        <f>IFERROR(__xludf.DUMMYFUNCTION("""COMPUTED_VALUE"""),"")</f>
        <v/>
      </c>
      <c r="E152" s="8" t="str">
        <f>IFERROR(__xludf.DUMMYFUNCTION("""COMPUTED_VALUE"""),"")</f>
        <v/>
      </c>
      <c r="F152" s="8" t="str">
        <f>IFERROR(__xludf.DUMMYFUNCTION("""COMPUTED_VALUE"""),"")</f>
        <v/>
      </c>
      <c r="G152" s="8" t="str">
        <f>IFERROR(__xludf.DUMMYFUNCTION("""COMPUTED_VALUE"""),"")</f>
        <v/>
      </c>
      <c r="L152" s="8" t="s">
        <v>299</v>
      </c>
    </row>
    <row r="153">
      <c r="A153" s="10"/>
      <c r="B153" s="8" t="str">
        <f>IFERROR(__xludf.DUMMYFUNCTION("""COMPUTED_VALUE"""),"")</f>
        <v/>
      </c>
      <c r="C153" s="8" t="str">
        <f>IFERROR(__xludf.DUMMYFUNCTION("""COMPUTED_VALUE"""),"")</f>
        <v/>
      </c>
      <c r="D153" s="8" t="str">
        <f>IFERROR(__xludf.DUMMYFUNCTION("""COMPUTED_VALUE"""),"")</f>
        <v/>
      </c>
      <c r="E153" s="8" t="str">
        <f>IFERROR(__xludf.DUMMYFUNCTION("""COMPUTED_VALUE"""),"")</f>
        <v/>
      </c>
      <c r="F153" s="8" t="str">
        <f>IFERROR(__xludf.DUMMYFUNCTION("""COMPUTED_VALUE"""),"")</f>
        <v/>
      </c>
      <c r="G153" s="8" t="str">
        <f>IFERROR(__xludf.DUMMYFUNCTION("""COMPUTED_VALUE"""),"")</f>
        <v/>
      </c>
      <c r="L153" s="8" t="s">
        <v>299</v>
      </c>
    </row>
    <row r="154">
      <c r="A154" s="10"/>
      <c r="B154" s="8" t="str">
        <f>IFERROR(__xludf.DUMMYFUNCTION("""COMPUTED_VALUE"""),"")</f>
        <v/>
      </c>
      <c r="C154" s="8" t="str">
        <f>IFERROR(__xludf.DUMMYFUNCTION("""COMPUTED_VALUE"""),"")</f>
        <v/>
      </c>
      <c r="D154" s="8" t="str">
        <f>IFERROR(__xludf.DUMMYFUNCTION("""COMPUTED_VALUE"""),"")</f>
        <v/>
      </c>
      <c r="E154" s="8" t="str">
        <f>IFERROR(__xludf.DUMMYFUNCTION("""COMPUTED_VALUE"""),"")</f>
        <v/>
      </c>
      <c r="F154" s="8" t="str">
        <f>IFERROR(__xludf.DUMMYFUNCTION("""COMPUTED_VALUE"""),"")</f>
        <v/>
      </c>
      <c r="G154" s="8" t="str">
        <f>IFERROR(__xludf.DUMMYFUNCTION("""COMPUTED_VALUE"""),"")</f>
        <v/>
      </c>
      <c r="L154" s="8" t="s">
        <v>299</v>
      </c>
    </row>
    <row r="155">
      <c r="A155" s="10"/>
      <c r="B155" s="8" t="str">
        <f>IFERROR(__xludf.DUMMYFUNCTION("""COMPUTED_VALUE"""),"")</f>
        <v/>
      </c>
      <c r="C155" s="8" t="str">
        <f>IFERROR(__xludf.DUMMYFUNCTION("""COMPUTED_VALUE"""),"")</f>
        <v/>
      </c>
      <c r="D155" s="8" t="str">
        <f>IFERROR(__xludf.DUMMYFUNCTION("""COMPUTED_VALUE"""),"")</f>
        <v/>
      </c>
      <c r="E155" s="8" t="str">
        <f>IFERROR(__xludf.DUMMYFUNCTION("""COMPUTED_VALUE"""),"")</f>
        <v/>
      </c>
      <c r="F155" s="8" t="str">
        <f>IFERROR(__xludf.DUMMYFUNCTION("""COMPUTED_VALUE"""),"")</f>
        <v/>
      </c>
      <c r="G155" s="8" t="str">
        <f>IFERROR(__xludf.DUMMYFUNCTION("""COMPUTED_VALUE"""),"")</f>
        <v/>
      </c>
      <c r="L155" s="8" t="s">
        <v>299</v>
      </c>
    </row>
    <row r="156">
      <c r="A156" s="10"/>
      <c r="B156" s="8" t="str">
        <f>IFERROR(__xludf.DUMMYFUNCTION("""COMPUTED_VALUE"""),"")</f>
        <v/>
      </c>
      <c r="C156" s="8" t="str">
        <f>IFERROR(__xludf.DUMMYFUNCTION("""COMPUTED_VALUE"""),"")</f>
        <v/>
      </c>
      <c r="D156" s="8" t="str">
        <f>IFERROR(__xludf.DUMMYFUNCTION("""COMPUTED_VALUE"""),"")</f>
        <v/>
      </c>
      <c r="E156" s="8" t="str">
        <f>IFERROR(__xludf.DUMMYFUNCTION("""COMPUTED_VALUE"""),"")</f>
        <v/>
      </c>
      <c r="F156" s="8" t="str">
        <f>IFERROR(__xludf.DUMMYFUNCTION("""COMPUTED_VALUE"""),"")</f>
        <v/>
      </c>
      <c r="G156" s="8" t="str">
        <f>IFERROR(__xludf.DUMMYFUNCTION("""COMPUTED_VALUE"""),"")</f>
        <v/>
      </c>
      <c r="L156" s="8" t="s">
        <v>299</v>
      </c>
    </row>
    <row r="157">
      <c r="A157" s="10"/>
      <c r="B157" s="8" t="str">
        <f>IFERROR(__xludf.DUMMYFUNCTION("""COMPUTED_VALUE"""),"")</f>
        <v/>
      </c>
      <c r="C157" s="8" t="str">
        <f>IFERROR(__xludf.DUMMYFUNCTION("""COMPUTED_VALUE"""),"")</f>
        <v/>
      </c>
      <c r="D157" s="8" t="str">
        <f>IFERROR(__xludf.DUMMYFUNCTION("""COMPUTED_VALUE"""),"")</f>
        <v/>
      </c>
      <c r="E157" s="8" t="str">
        <f>IFERROR(__xludf.DUMMYFUNCTION("""COMPUTED_VALUE"""),"")</f>
        <v/>
      </c>
      <c r="F157" s="8" t="str">
        <f>IFERROR(__xludf.DUMMYFUNCTION("""COMPUTED_VALUE"""),"")</f>
        <v/>
      </c>
      <c r="G157" s="8" t="str">
        <f>IFERROR(__xludf.DUMMYFUNCTION("""COMPUTED_VALUE"""),"")</f>
        <v/>
      </c>
      <c r="L157" s="8" t="s">
        <v>299</v>
      </c>
    </row>
    <row r="158">
      <c r="A158" s="10"/>
      <c r="B158" s="8" t="str">
        <f>IFERROR(__xludf.DUMMYFUNCTION("""COMPUTED_VALUE"""),"")</f>
        <v/>
      </c>
      <c r="C158" s="8" t="str">
        <f>IFERROR(__xludf.DUMMYFUNCTION("""COMPUTED_VALUE"""),"")</f>
        <v/>
      </c>
      <c r="D158" s="8" t="str">
        <f>IFERROR(__xludf.DUMMYFUNCTION("""COMPUTED_VALUE"""),"")</f>
        <v/>
      </c>
      <c r="E158" s="8" t="str">
        <f>IFERROR(__xludf.DUMMYFUNCTION("""COMPUTED_VALUE"""),"")</f>
        <v/>
      </c>
      <c r="F158" s="8" t="str">
        <f>IFERROR(__xludf.DUMMYFUNCTION("""COMPUTED_VALUE"""),"")</f>
        <v/>
      </c>
      <c r="G158" s="8" t="str">
        <f>IFERROR(__xludf.DUMMYFUNCTION("""COMPUTED_VALUE"""),"")</f>
        <v/>
      </c>
      <c r="L158" s="8" t="s">
        <v>299</v>
      </c>
    </row>
    <row r="159">
      <c r="A159" s="10"/>
      <c r="B159" s="8" t="str">
        <f>IFERROR(__xludf.DUMMYFUNCTION("""COMPUTED_VALUE"""),"")</f>
        <v/>
      </c>
      <c r="C159" s="8" t="str">
        <f>IFERROR(__xludf.DUMMYFUNCTION("""COMPUTED_VALUE"""),"")</f>
        <v/>
      </c>
      <c r="D159" s="8" t="str">
        <f>IFERROR(__xludf.DUMMYFUNCTION("""COMPUTED_VALUE"""),"")</f>
        <v/>
      </c>
      <c r="E159" s="8" t="str">
        <f>IFERROR(__xludf.DUMMYFUNCTION("""COMPUTED_VALUE"""),"")</f>
        <v/>
      </c>
      <c r="F159" s="8" t="str">
        <f>IFERROR(__xludf.DUMMYFUNCTION("""COMPUTED_VALUE"""),"")</f>
        <v/>
      </c>
      <c r="G159" s="8" t="str">
        <f>IFERROR(__xludf.DUMMYFUNCTION("""COMPUTED_VALUE"""),"")</f>
        <v/>
      </c>
      <c r="L159" s="8" t="s">
        <v>299</v>
      </c>
    </row>
    <row r="160">
      <c r="A160" s="10"/>
      <c r="B160" s="8" t="str">
        <f>IFERROR(__xludf.DUMMYFUNCTION("""COMPUTED_VALUE"""),"")</f>
        <v/>
      </c>
      <c r="C160" s="8" t="str">
        <f>IFERROR(__xludf.DUMMYFUNCTION("""COMPUTED_VALUE"""),"")</f>
        <v/>
      </c>
      <c r="D160" s="8" t="str">
        <f>IFERROR(__xludf.DUMMYFUNCTION("""COMPUTED_VALUE"""),"")</f>
        <v/>
      </c>
      <c r="E160" s="8" t="str">
        <f>IFERROR(__xludf.DUMMYFUNCTION("""COMPUTED_VALUE"""),"")</f>
        <v/>
      </c>
      <c r="F160" s="8" t="str">
        <f>IFERROR(__xludf.DUMMYFUNCTION("""COMPUTED_VALUE"""),"")</f>
        <v/>
      </c>
      <c r="G160" s="8" t="str">
        <f>IFERROR(__xludf.DUMMYFUNCTION("""COMPUTED_VALUE"""),"")</f>
        <v/>
      </c>
      <c r="L160" s="8" t="s">
        <v>299</v>
      </c>
    </row>
    <row r="161">
      <c r="A161" s="10"/>
      <c r="B161" s="8" t="str">
        <f>IFERROR(__xludf.DUMMYFUNCTION("""COMPUTED_VALUE"""),"")</f>
        <v/>
      </c>
      <c r="C161" s="8" t="str">
        <f>IFERROR(__xludf.DUMMYFUNCTION("""COMPUTED_VALUE"""),"")</f>
        <v/>
      </c>
      <c r="D161" s="8" t="str">
        <f>IFERROR(__xludf.DUMMYFUNCTION("""COMPUTED_VALUE"""),"")</f>
        <v/>
      </c>
      <c r="E161" s="8" t="str">
        <f>IFERROR(__xludf.DUMMYFUNCTION("""COMPUTED_VALUE"""),"")</f>
        <v/>
      </c>
      <c r="F161" s="8" t="str">
        <f>IFERROR(__xludf.DUMMYFUNCTION("""COMPUTED_VALUE"""),"")</f>
        <v/>
      </c>
      <c r="G161" s="8" t="str">
        <f>IFERROR(__xludf.DUMMYFUNCTION("""COMPUTED_VALUE"""),"")</f>
        <v/>
      </c>
      <c r="L161" s="8" t="s">
        <v>299</v>
      </c>
    </row>
    <row r="162">
      <c r="A162" s="10"/>
      <c r="B162" s="8" t="str">
        <f>IFERROR(__xludf.DUMMYFUNCTION("""COMPUTED_VALUE"""),"")</f>
        <v/>
      </c>
      <c r="C162" s="8" t="str">
        <f>IFERROR(__xludf.DUMMYFUNCTION("""COMPUTED_VALUE"""),"")</f>
        <v/>
      </c>
      <c r="D162" s="8" t="str">
        <f>IFERROR(__xludf.DUMMYFUNCTION("""COMPUTED_VALUE"""),"")</f>
        <v/>
      </c>
      <c r="E162" s="8" t="str">
        <f>IFERROR(__xludf.DUMMYFUNCTION("""COMPUTED_VALUE"""),"")</f>
        <v/>
      </c>
      <c r="F162" s="8" t="str">
        <f>IFERROR(__xludf.DUMMYFUNCTION("""COMPUTED_VALUE"""),"")</f>
        <v/>
      </c>
      <c r="G162" s="8" t="str">
        <f>IFERROR(__xludf.DUMMYFUNCTION("""COMPUTED_VALUE"""),"")</f>
        <v/>
      </c>
      <c r="L162" s="8" t="s">
        <v>299</v>
      </c>
    </row>
    <row r="163">
      <c r="A163" s="10"/>
      <c r="B163" s="8" t="str">
        <f>IFERROR(__xludf.DUMMYFUNCTION("""COMPUTED_VALUE"""),"")</f>
        <v/>
      </c>
      <c r="C163" s="8" t="str">
        <f>IFERROR(__xludf.DUMMYFUNCTION("""COMPUTED_VALUE"""),"")</f>
        <v/>
      </c>
      <c r="D163" s="8" t="str">
        <f>IFERROR(__xludf.DUMMYFUNCTION("""COMPUTED_VALUE"""),"")</f>
        <v/>
      </c>
      <c r="E163" s="8" t="str">
        <f>IFERROR(__xludf.DUMMYFUNCTION("""COMPUTED_VALUE"""),"")</f>
        <v/>
      </c>
      <c r="F163" s="8" t="str">
        <f>IFERROR(__xludf.DUMMYFUNCTION("""COMPUTED_VALUE"""),"")</f>
        <v/>
      </c>
      <c r="G163" s="8" t="str">
        <f>IFERROR(__xludf.DUMMYFUNCTION("""COMPUTED_VALUE"""),"")</f>
        <v/>
      </c>
      <c r="L163" s="8" t="s">
        <v>299</v>
      </c>
    </row>
    <row r="164">
      <c r="A164" s="10"/>
      <c r="B164" s="8" t="str">
        <f>IFERROR(__xludf.DUMMYFUNCTION("""COMPUTED_VALUE"""),"")</f>
        <v/>
      </c>
      <c r="C164" s="8" t="str">
        <f>IFERROR(__xludf.DUMMYFUNCTION("""COMPUTED_VALUE"""),"")</f>
        <v/>
      </c>
      <c r="D164" s="8" t="str">
        <f>IFERROR(__xludf.DUMMYFUNCTION("""COMPUTED_VALUE"""),"")</f>
        <v/>
      </c>
      <c r="E164" s="8" t="str">
        <f>IFERROR(__xludf.DUMMYFUNCTION("""COMPUTED_VALUE"""),"")</f>
        <v/>
      </c>
      <c r="F164" s="8" t="str">
        <f>IFERROR(__xludf.DUMMYFUNCTION("""COMPUTED_VALUE"""),"")</f>
        <v/>
      </c>
      <c r="G164" s="8" t="str">
        <f>IFERROR(__xludf.DUMMYFUNCTION("""COMPUTED_VALUE"""),"")</f>
        <v/>
      </c>
      <c r="L164" s="8" t="s">
        <v>299</v>
      </c>
    </row>
    <row r="165">
      <c r="A165" s="10"/>
      <c r="B165" s="8" t="str">
        <f>IFERROR(__xludf.DUMMYFUNCTION("""COMPUTED_VALUE"""),"")</f>
        <v/>
      </c>
      <c r="C165" s="8" t="str">
        <f>IFERROR(__xludf.DUMMYFUNCTION("""COMPUTED_VALUE"""),"")</f>
        <v/>
      </c>
      <c r="D165" s="8" t="str">
        <f>IFERROR(__xludf.DUMMYFUNCTION("""COMPUTED_VALUE"""),"")</f>
        <v/>
      </c>
      <c r="E165" s="8" t="str">
        <f>IFERROR(__xludf.DUMMYFUNCTION("""COMPUTED_VALUE"""),"")</f>
        <v/>
      </c>
      <c r="F165" s="8" t="str">
        <f>IFERROR(__xludf.DUMMYFUNCTION("""COMPUTED_VALUE"""),"")</f>
        <v/>
      </c>
      <c r="G165" s="8" t="str">
        <f>IFERROR(__xludf.DUMMYFUNCTION("""COMPUTED_VALUE"""),"")</f>
        <v/>
      </c>
      <c r="L165" s="8" t="s">
        <v>299</v>
      </c>
    </row>
    <row r="166">
      <c r="A166" s="10"/>
      <c r="B166" s="8" t="str">
        <f>IFERROR(__xludf.DUMMYFUNCTION("""COMPUTED_VALUE"""),"")</f>
        <v/>
      </c>
      <c r="C166" s="8" t="str">
        <f>IFERROR(__xludf.DUMMYFUNCTION("""COMPUTED_VALUE"""),"")</f>
        <v/>
      </c>
      <c r="D166" s="8" t="str">
        <f>IFERROR(__xludf.DUMMYFUNCTION("""COMPUTED_VALUE"""),"")</f>
        <v/>
      </c>
      <c r="E166" s="8" t="str">
        <f>IFERROR(__xludf.DUMMYFUNCTION("""COMPUTED_VALUE"""),"")</f>
        <v/>
      </c>
      <c r="F166" s="8" t="str">
        <f>IFERROR(__xludf.DUMMYFUNCTION("""COMPUTED_VALUE"""),"")</f>
        <v/>
      </c>
      <c r="G166" s="8" t="str">
        <f>IFERROR(__xludf.DUMMYFUNCTION("""COMPUTED_VALUE"""),"")</f>
        <v/>
      </c>
      <c r="L166" s="8" t="s">
        <v>299</v>
      </c>
    </row>
    <row r="167">
      <c r="A167" s="10"/>
      <c r="B167" s="8" t="str">
        <f>IFERROR(__xludf.DUMMYFUNCTION("""COMPUTED_VALUE"""),"")</f>
        <v/>
      </c>
      <c r="C167" s="8" t="str">
        <f>IFERROR(__xludf.DUMMYFUNCTION("""COMPUTED_VALUE"""),"")</f>
        <v/>
      </c>
      <c r="D167" s="8" t="str">
        <f>IFERROR(__xludf.DUMMYFUNCTION("""COMPUTED_VALUE"""),"")</f>
        <v/>
      </c>
      <c r="E167" s="8" t="str">
        <f>IFERROR(__xludf.DUMMYFUNCTION("""COMPUTED_VALUE"""),"")</f>
        <v/>
      </c>
      <c r="F167" s="8" t="str">
        <f>IFERROR(__xludf.DUMMYFUNCTION("""COMPUTED_VALUE"""),"")</f>
        <v/>
      </c>
      <c r="G167" s="8" t="str">
        <f>IFERROR(__xludf.DUMMYFUNCTION("""COMPUTED_VALUE"""),"")</f>
        <v/>
      </c>
      <c r="L167" s="8" t="s">
        <v>299</v>
      </c>
    </row>
    <row r="168">
      <c r="A168" s="10"/>
      <c r="B168" s="8" t="str">
        <f>IFERROR(__xludf.DUMMYFUNCTION("""COMPUTED_VALUE"""),"")</f>
        <v/>
      </c>
      <c r="C168" s="8" t="str">
        <f>IFERROR(__xludf.DUMMYFUNCTION("""COMPUTED_VALUE"""),"")</f>
        <v/>
      </c>
      <c r="D168" s="8" t="str">
        <f>IFERROR(__xludf.DUMMYFUNCTION("""COMPUTED_VALUE"""),"")</f>
        <v/>
      </c>
      <c r="E168" s="8" t="str">
        <f>IFERROR(__xludf.DUMMYFUNCTION("""COMPUTED_VALUE"""),"")</f>
        <v/>
      </c>
      <c r="F168" s="8" t="str">
        <f>IFERROR(__xludf.DUMMYFUNCTION("""COMPUTED_VALUE"""),"")</f>
        <v/>
      </c>
      <c r="G168" s="8" t="str">
        <f>IFERROR(__xludf.DUMMYFUNCTION("""COMPUTED_VALUE"""),"")</f>
        <v/>
      </c>
      <c r="L168" s="8" t="s">
        <v>299</v>
      </c>
    </row>
    <row r="169">
      <c r="A169" s="10"/>
      <c r="B169" s="8" t="str">
        <f>IFERROR(__xludf.DUMMYFUNCTION("""COMPUTED_VALUE"""),"")</f>
        <v/>
      </c>
      <c r="C169" s="8" t="str">
        <f>IFERROR(__xludf.DUMMYFUNCTION("""COMPUTED_VALUE"""),"")</f>
        <v/>
      </c>
      <c r="D169" s="8" t="str">
        <f>IFERROR(__xludf.DUMMYFUNCTION("""COMPUTED_VALUE"""),"")</f>
        <v/>
      </c>
      <c r="E169" s="8" t="str">
        <f>IFERROR(__xludf.DUMMYFUNCTION("""COMPUTED_VALUE"""),"")</f>
        <v/>
      </c>
      <c r="F169" s="8" t="str">
        <f>IFERROR(__xludf.DUMMYFUNCTION("""COMPUTED_VALUE"""),"")</f>
        <v/>
      </c>
      <c r="G169" s="8" t="str">
        <f>IFERROR(__xludf.DUMMYFUNCTION("""COMPUTED_VALUE"""),"")</f>
        <v/>
      </c>
      <c r="L169" s="8" t="s">
        <v>299</v>
      </c>
    </row>
    <row r="170">
      <c r="A170" s="10"/>
      <c r="B170" s="8" t="str">
        <f>IFERROR(__xludf.DUMMYFUNCTION("""COMPUTED_VALUE"""),"")</f>
        <v/>
      </c>
      <c r="C170" s="8" t="str">
        <f>IFERROR(__xludf.DUMMYFUNCTION("""COMPUTED_VALUE"""),"")</f>
        <v/>
      </c>
      <c r="D170" s="8" t="str">
        <f>IFERROR(__xludf.DUMMYFUNCTION("""COMPUTED_VALUE"""),"")</f>
        <v/>
      </c>
      <c r="E170" s="8" t="str">
        <f>IFERROR(__xludf.DUMMYFUNCTION("""COMPUTED_VALUE"""),"")</f>
        <v/>
      </c>
      <c r="F170" s="8" t="str">
        <f>IFERROR(__xludf.DUMMYFUNCTION("""COMPUTED_VALUE"""),"")</f>
        <v/>
      </c>
      <c r="G170" s="8" t="str">
        <f>IFERROR(__xludf.DUMMYFUNCTION("""COMPUTED_VALUE"""),"")</f>
        <v/>
      </c>
      <c r="L170" s="8" t="s">
        <v>299</v>
      </c>
    </row>
    <row r="171">
      <c r="A171" s="10"/>
      <c r="B171" s="8" t="str">
        <f>IFERROR(__xludf.DUMMYFUNCTION("""COMPUTED_VALUE"""),"")</f>
        <v/>
      </c>
      <c r="C171" s="8" t="str">
        <f>IFERROR(__xludf.DUMMYFUNCTION("""COMPUTED_VALUE"""),"")</f>
        <v/>
      </c>
      <c r="D171" s="8" t="str">
        <f>IFERROR(__xludf.DUMMYFUNCTION("""COMPUTED_VALUE"""),"")</f>
        <v/>
      </c>
      <c r="E171" s="8" t="str">
        <f>IFERROR(__xludf.DUMMYFUNCTION("""COMPUTED_VALUE"""),"")</f>
        <v/>
      </c>
      <c r="F171" s="8" t="str">
        <f>IFERROR(__xludf.DUMMYFUNCTION("""COMPUTED_VALUE"""),"")</f>
        <v/>
      </c>
      <c r="G171" s="8" t="str">
        <f>IFERROR(__xludf.DUMMYFUNCTION("""COMPUTED_VALUE"""),"")</f>
        <v/>
      </c>
      <c r="L171" s="8" t="s">
        <v>299</v>
      </c>
    </row>
    <row r="172">
      <c r="A172" s="10"/>
      <c r="B172" s="8" t="str">
        <f>IFERROR(__xludf.DUMMYFUNCTION("""COMPUTED_VALUE"""),"")</f>
        <v/>
      </c>
      <c r="C172" s="8" t="str">
        <f>IFERROR(__xludf.DUMMYFUNCTION("""COMPUTED_VALUE"""),"")</f>
        <v/>
      </c>
      <c r="D172" s="8" t="str">
        <f>IFERROR(__xludf.DUMMYFUNCTION("""COMPUTED_VALUE"""),"")</f>
        <v/>
      </c>
      <c r="E172" s="8" t="str">
        <f>IFERROR(__xludf.DUMMYFUNCTION("""COMPUTED_VALUE"""),"")</f>
        <v/>
      </c>
      <c r="F172" s="8" t="str">
        <f>IFERROR(__xludf.DUMMYFUNCTION("""COMPUTED_VALUE"""),"")</f>
        <v/>
      </c>
      <c r="G172" s="8" t="str">
        <f>IFERROR(__xludf.DUMMYFUNCTION("""COMPUTED_VALUE"""),"")</f>
        <v/>
      </c>
      <c r="L172" s="8" t="s">
        <v>299</v>
      </c>
    </row>
    <row r="173">
      <c r="A173" s="10"/>
      <c r="B173" s="8" t="str">
        <f>IFERROR(__xludf.DUMMYFUNCTION("""COMPUTED_VALUE"""),"")</f>
        <v/>
      </c>
      <c r="C173" s="8" t="str">
        <f>IFERROR(__xludf.DUMMYFUNCTION("""COMPUTED_VALUE"""),"")</f>
        <v/>
      </c>
      <c r="D173" s="8" t="str">
        <f>IFERROR(__xludf.DUMMYFUNCTION("""COMPUTED_VALUE"""),"")</f>
        <v/>
      </c>
      <c r="E173" s="8" t="str">
        <f>IFERROR(__xludf.DUMMYFUNCTION("""COMPUTED_VALUE"""),"")</f>
        <v/>
      </c>
      <c r="F173" s="8" t="str">
        <f>IFERROR(__xludf.DUMMYFUNCTION("""COMPUTED_VALUE"""),"")</f>
        <v/>
      </c>
      <c r="G173" s="8" t="str">
        <f>IFERROR(__xludf.DUMMYFUNCTION("""COMPUTED_VALUE"""),"")</f>
        <v/>
      </c>
      <c r="L173" s="8" t="s">
        <v>299</v>
      </c>
    </row>
    <row r="174">
      <c r="A174" s="10"/>
      <c r="B174" s="8" t="str">
        <f>IFERROR(__xludf.DUMMYFUNCTION("""COMPUTED_VALUE"""),"")</f>
        <v/>
      </c>
      <c r="C174" s="8" t="str">
        <f>IFERROR(__xludf.DUMMYFUNCTION("""COMPUTED_VALUE"""),"")</f>
        <v/>
      </c>
      <c r="D174" s="8" t="str">
        <f>IFERROR(__xludf.DUMMYFUNCTION("""COMPUTED_VALUE"""),"")</f>
        <v/>
      </c>
      <c r="E174" s="8" t="str">
        <f>IFERROR(__xludf.DUMMYFUNCTION("""COMPUTED_VALUE"""),"")</f>
        <v/>
      </c>
      <c r="F174" s="8" t="str">
        <f>IFERROR(__xludf.DUMMYFUNCTION("""COMPUTED_VALUE"""),"")</f>
        <v/>
      </c>
      <c r="G174" s="8" t="str">
        <f>IFERROR(__xludf.DUMMYFUNCTION("""COMPUTED_VALUE"""),"")</f>
        <v/>
      </c>
      <c r="L174" s="8" t="s">
        <v>299</v>
      </c>
    </row>
    <row r="175">
      <c r="A175" s="10"/>
      <c r="B175" s="8" t="str">
        <f>IFERROR(__xludf.DUMMYFUNCTION("""COMPUTED_VALUE"""),"")</f>
        <v/>
      </c>
      <c r="C175" s="8" t="str">
        <f>IFERROR(__xludf.DUMMYFUNCTION("""COMPUTED_VALUE"""),"")</f>
        <v/>
      </c>
      <c r="D175" s="8" t="str">
        <f>IFERROR(__xludf.DUMMYFUNCTION("""COMPUTED_VALUE"""),"")</f>
        <v/>
      </c>
      <c r="E175" s="8" t="str">
        <f>IFERROR(__xludf.DUMMYFUNCTION("""COMPUTED_VALUE"""),"")</f>
        <v/>
      </c>
      <c r="F175" s="8" t="str">
        <f>IFERROR(__xludf.DUMMYFUNCTION("""COMPUTED_VALUE"""),"")</f>
        <v/>
      </c>
      <c r="G175" s="8" t="str">
        <f>IFERROR(__xludf.DUMMYFUNCTION("""COMPUTED_VALUE"""),"")</f>
        <v/>
      </c>
      <c r="L175" s="8" t="s">
        <v>299</v>
      </c>
    </row>
    <row r="176">
      <c r="A176" s="10"/>
      <c r="B176" s="8" t="str">
        <f>IFERROR(__xludf.DUMMYFUNCTION("""COMPUTED_VALUE"""),"")</f>
        <v/>
      </c>
      <c r="C176" s="8" t="str">
        <f>IFERROR(__xludf.DUMMYFUNCTION("""COMPUTED_VALUE"""),"")</f>
        <v/>
      </c>
      <c r="D176" s="8" t="str">
        <f>IFERROR(__xludf.DUMMYFUNCTION("""COMPUTED_VALUE"""),"")</f>
        <v/>
      </c>
      <c r="E176" s="8" t="str">
        <f>IFERROR(__xludf.DUMMYFUNCTION("""COMPUTED_VALUE"""),"")</f>
        <v/>
      </c>
      <c r="F176" s="8" t="str">
        <f>IFERROR(__xludf.DUMMYFUNCTION("""COMPUTED_VALUE"""),"")</f>
        <v/>
      </c>
      <c r="G176" s="8" t="str">
        <f>IFERROR(__xludf.DUMMYFUNCTION("""COMPUTED_VALUE"""),"")</f>
        <v/>
      </c>
      <c r="L176" s="8" t="s">
        <v>299</v>
      </c>
    </row>
    <row r="177">
      <c r="A177" s="10"/>
      <c r="B177" s="8" t="str">
        <f>IFERROR(__xludf.DUMMYFUNCTION("""COMPUTED_VALUE"""),"")</f>
        <v/>
      </c>
      <c r="C177" s="8" t="str">
        <f>IFERROR(__xludf.DUMMYFUNCTION("""COMPUTED_VALUE"""),"")</f>
        <v/>
      </c>
      <c r="D177" s="8" t="str">
        <f>IFERROR(__xludf.DUMMYFUNCTION("""COMPUTED_VALUE"""),"")</f>
        <v/>
      </c>
      <c r="E177" s="8" t="str">
        <f>IFERROR(__xludf.DUMMYFUNCTION("""COMPUTED_VALUE"""),"")</f>
        <v/>
      </c>
      <c r="F177" s="8" t="str">
        <f>IFERROR(__xludf.DUMMYFUNCTION("""COMPUTED_VALUE"""),"")</f>
        <v/>
      </c>
      <c r="G177" s="8" t="str">
        <f>IFERROR(__xludf.DUMMYFUNCTION("""COMPUTED_VALUE"""),"")</f>
        <v/>
      </c>
      <c r="L177" s="8" t="s">
        <v>299</v>
      </c>
    </row>
    <row r="178">
      <c r="A178" s="10"/>
      <c r="B178" s="8" t="str">
        <f>IFERROR(__xludf.DUMMYFUNCTION("""COMPUTED_VALUE"""),"")</f>
        <v/>
      </c>
      <c r="C178" s="8" t="str">
        <f>IFERROR(__xludf.DUMMYFUNCTION("""COMPUTED_VALUE"""),"")</f>
        <v/>
      </c>
      <c r="D178" s="8" t="str">
        <f>IFERROR(__xludf.DUMMYFUNCTION("""COMPUTED_VALUE"""),"")</f>
        <v/>
      </c>
      <c r="E178" s="8" t="str">
        <f>IFERROR(__xludf.DUMMYFUNCTION("""COMPUTED_VALUE"""),"")</f>
        <v/>
      </c>
      <c r="F178" s="8" t="str">
        <f>IFERROR(__xludf.DUMMYFUNCTION("""COMPUTED_VALUE"""),"")</f>
        <v/>
      </c>
      <c r="G178" s="8" t="str">
        <f>IFERROR(__xludf.DUMMYFUNCTION("""COMPUTED_VALUE"""),"")</f>
        <v/>
      </c>
      <c r="L178" s="8" t="s">
        <v>299</v>
      </c>
    </row>
    <row r="179">
      <c r="A179" s="10"/>
      <c r="B179" s="8" t="str">
        <f>IFERROR(__xludf.DUMMYFUNCTION("""COMPUTED_VALUE"""),"")</f>
        <v/>
      </c>
      <c r="C179" s="8" t="str">
        <f>IFERROR(__xludf.DUMMYFUNCTION("""COMPUTED_VALUE"""),"")</f>
        <v/>
      </c>
      <c r="D179" s="8" t="str">
        <f>IFERROR(__xludf.DUMMYFUNCTION("""COMPUTED_VALUE"""),"")</f>
        <v/>
      </c>
      <c r="E179" s="8" t="str">
        <f>IFERROR(__xludf.DUMMYFUNCTION("""COMPUTED_VALUE"""),"")</f>
        <v/>
      </c>
      <c r="F179" s="8" t="str">
        <f>IFERROR(__xludf.DUMMYFUNCTION("""COMPUTED_VALUE"""),"")</f>
        <v/>
      </c>
      <c r="G179" s="8" t="str">
        <f>IFERROR(__xludf.DUMMYFUNCTION("""COMPUTED_VALUE"""),"")</f>
        <v/>
      </c>
      <c r="L179" s="8" t="s">
        <v>299</v>
      </c>
    </row>
    <row r="180">
      <c r="A180" s="10"/>
      <c r="B180" s="8" t="str">
        <f>IFERROR(__xludf.DUMMYFUNCTION("""COMPUTED_VALUE"""),"")</f>
        <v/>
      </c>
      <c r="C180" s="8" t="str">
        <f>IFERROR(__xludf.DUMMYFUNCTION("""COMPUTED_VALUE"""),"")</f>
        <v/>
      </c>
      <c r="D180" s="8" t="str">
        <f>IFERROR(__xludf.DUMMYFUNCTION("""COMPUTED_VALUE"""),"")</f>
        <v/>
      </c>
      <c r="E180" s="8" t="str">
        <f>IFERROR(__xludf.DUMMYFUNCTION("""COMPUTED_VALUE"""),"")</f>
        <v/>
      </c>
      <c r="F180" s="8" t="str">
        <f>IFERROR(__xludf.DUMMYFUNCTION("""COMPUTED_VALUE"""),"")</f>
        <v/>
      </c>
      <c r="G180" s="8" t="str">
        <f>IFERROR(__xludf.DUMMYFUNCTION("""COMPUTED_VALUE"""),"")</f>
        <v/>
      </c>
      <c r="L180" s="8" t="s">
        <v>299</v>
      </c>
    </row>
    <row r="181">
      <c r="A181" s="10"/>
      <c r="B181" s="8" t="str">
        <f>IFERROR(__xludf.DUMMYFUNCTION("""COMPUTED_VALUE"""),"")</f>
        <v/>
      </c>
      <c r="C181" s="8" t="str">
        <f>IFERROR(__xludf.DUMMYFUNCTION("""COMPUTED_VALUE"""),"")</f>
        <v/>
      </c>
      <c r="D181" s="8" t="str">
        <f>IFERROR(__xludf.DUMMYFUNCTION("""COMPUTED_VALUE"""),"")</f>
        <v/>
      </c>
      <c r="E181" s="8" t="str">
        <f>IFERROR(__xludf.DUMMYFUNCTION("""COMPUTED_VALUE"""),"")</f>
        <v/>
      </c>
      <c r="F181" s="8" t="str">
        <f>IFERROR(__xludf.DUMMYFUNCTION("""COMPUTED_VALUE"""),"")</f>
        <v/>
      </c>
      <c r="G181" s="8" t="str">
        <f>IFERROR(__xludf.DUMMYFUNCTION("""COMPUTED_VALUE"""),"")</f>
        <v/>
      </c>
      <c r="L181" s="8" t="s">
        <v>299</v>
      </c>
    </row>
    <row r="182">
      <c r="A182" s="10"/>
      <c r="B182" s="8" t="str">
        <f>IFERROR(__xludf.DUMMYFUNCTION("""COMPUTED_VALUE"""),"")</f>
        <v/>
      </c>
      <c r="C182" s="8" t="str">
        <f>IFERROR(__xludf.DUMMYFUNCTION("""COMPUTED_VALUE"""),"")</f>
        <v/>
      </c>
      <c r="D182" s="8" t="str">
        <f>IFERROR(__xludf.DUMMYFUNCTION("""COMPUTED_VALUE"""),"")</f>
        <v/>
      </c>
      <c r="E182" s="8" t="str">
        <f>IFERROR(__xludf.DUMMYFUNCTION("""COMPUTED_VALUE"""),"")</f>
        <v/>
      </c>
      <c r="F182" s="8" t="str">
        <f>IFERROR(__xludf.DUMMYFUNCTION("""COMPUTED_VALUE"""),"")</f>
        <v/>
      </c>
      <c r="G182" s="8" t="str">
        <f>IFERROR(__xludf.DUMMYFUNCTION("""COMPUTED_VALUE"""),"")</f>
        <v/>
      </c>
      <c r="L182" s="8" t="s">
        <v>299</v>
      </c>
    </row>
    <row r="183">
      <c r="A183" s="10"/>
      <c r="B183" s="8" t="str">
        <f>IFERROR(__xludf.DUMMYFUNCTION("""COMPUTED_VALUE"""),"")</f>
        <v/>
      </c>
      <c r="C183" s="8" t="str">
        <f>IFERROR(__xludf.DUMMYFUNCTION("""COMPUTED_VALUE"""),"")</f>
        <v/>
      </c>
      <c r="D183" s="8" t="str">
        <f>IFERROR(__xludf.DUMMYFUNCTION("""COMPUTED_VALUE"""),"")</f>
        <v/>
      </c>
      <c r="E183" s="8" t="str">
        <f>IFERROR(__xludf.DUMMYFUNCTION("""COMPUTED_VALUE"""),"")</f>
        <v/>
      </c>
      <c r="F183" s="8" t="str">
        <f>IFERROR(__xludf.DUMMYFUNCTION("""COMPUTED_VALUE"""),"")</f>
        <v/>
      </c>
      <c r="G183" s="8" t="str">
        <f>IFERROR(__xludf.DUMMYFUNCTION("""COMPUTED_VALUE"""),"")</f>
        <v/>
      </c>
      <c r="L183" s="8" t="s">
        <v>299</v>
      </c>
    </row>
    <row r="184">
      <c r="A184" s="10"/>
      <c r="B184" s="8" t="str">
        <f>IFERROR(__xludf.DUMMYFUNCTION("""COMPUTED_VALUE"""),"")</f>
        <v/>
      </c>
      <c r="C184" s="8" t="str">
        <f>IFERROR(__xludf.DUMMYFUNCTION("""COMPUTED_VALUE"""),"")</f>
        <v/>
      </c>
      <c r="D184" s="8" t="str">
        <f>IFERROR(__xludf.DUMMYFUNCTION("""COMPUTED_VALUE"""),"")</f>
        <v/>
      </c>
      <c r="E184" s="8" t="str">
        <f>IFERROR(__xludf.DUMMYFUNCTION("""COMPUTED_VALUE"""),"")</f>
        <v/>
      </c>
      <c r="F184" s="8" t="str">
        <f>IFERROR(__xludf.DUMMYFUNCTION("""COMPUTED_VALUE"""),"")</f>
        <v/>
      </c>
      <c r="G184" s="8" t="str">
        <f>IFERROR(__xludf.DUMMYFUNCTION("""COMPUTED_VALUE"""),"")</f>
        <v/>
      </c>
      <c r="L184" s="8" t="s">
        <v>299</v>
      </c>
    </row>
    <row r="185">
      <c r="A185" s="10"/>
      <c r="B185" s="8" t="str">
        <f>IFERROR(__xludf.DUMMYFUNCTION("""COMPUTED_VALUE"""),"")</f>
        <v/>
      </c>
      <c r="C185" s="8" t="str">
        <f>IFERROR(__xludf.DUMMYFUNCTION("""COMPUTED_VALUE"""),"")</f>
        <v/>
      </c>
      <c r="D185" s="8" t="str">
        <f>IFERROR(__xludf.DUMMYFUNCTION("""COMPUTED_VALUE"""),"")</f>
        <v/>
      </c>
      <c r="E185" s="8" t="str">
        <f>IFERROR(__xludf.DUMMYFUNCTION("""COMPUTED_VALUE"""),"")</f>
        <v/>
      </c>
      <c r="F185" s="8" t="str">
        <f>IFERROR(__xludf.DUMMYFUNCTION("""COMPUTED_VALUE"""),"")</f>
        <v/>
      </c>
      <c r="G185" s="8" t="str">
        <f>IFERROR(__xludf.DUMMYFUNCTION("""COMPUTED_VALUE"""),"")</f>
        <v/>
      </c>
      <c r="L185" s="8" t="s">
        <v>299</v>
      </c>
    </row>
    <row r="186">
      <c r="A186" s="10"/>
      <c r="B186" s="8" t="str">
        <f>IFERROR(__xludf.DUMMYFUNCTION("""COMPUTED_VALUE"""),"")</f>
        <v/>
      </c>
      <c r="C186" s="8" t="str">
        <f>IFERROR(__xludf.DUMMYFUNCTION("""COMPUTED_VALUE"""),"")</f>
        <v/>
      </c>
      <c r="D186" s="8" t="str">
        <f>IFERROR(__xludf.DUMMYFUNCTION("""COMPUTED_VALUE"""),"")</f>
        <v/>
      </c>
      <c r="E186" s="8" t="str">
        <f>IFERROR(__xludf.DUMMYFUNCTION("""COMPUTED_VALUE"""),"")</f>
        <v/>
      </c>
      <c r="F186" s="8" t="str">
        <f>IFERROR(__xludf.DUMMYFUNCTION("""COMPUTED_VALUE"""),"")</f>
        <v/>
      </c>
      <c r="G186" s="8" t="str">
        <f>IFERROR(__xludf.DUMMYFUNCTION("""COMPUTED_VALUE"""),"")</f>
        <v/>
      </c>
      <c r="L186" s="8" t="s">
        <v>299</v>
      </c>
    </row>
    <row r="187">
      <c r="A187" s="10"/>
      <c r="B187" s="8" t="str">
        <f>IFERROR(__xludf.DUMMYFUNCTION("""COMPUTED_VALUE"""),"")</f>
        <v/>
      </c>
      <c r="C187" s="8" t="str">
        <f>IFERROR(__xludf.DUMMYFUNCTION("""COMPUTED_VALUE"""),"")</f>
        <v/>
      </c>
      <c r="D187" s="8" t="str">
        <f>IFERROR(__xludf.DUMMYFUNCTION("""COMPUTED_VALUE"""),"")</f>
        <v/>
      </c>
      <c r="E187" s="8" t="str">
        <f>IFERROR(__xludf.DUMMYFUNCTION("""COMPUTED_VALUE"""),"")</f>
        <v/>
      </c>
      <c r="F187" s="8" t="str">
        <f>IFERROR(__xludf.DUMMYFUNCTION("""COMPUTED_VALUE"""),"")</f>
        <v/>
      </c>
      <c r="G187" s="8" t="str">
        <f>IFERROR(__xludf.DUMMYFUNCTION("""COMPUTED_VALUE"""),"")</f>
        <v/>
      </c>
      <c r="L187" s="8" t="s">
        <v>299</v>
      </c>
    </row>
    <row r="188">
      <c r="A188" s="10"/>
      <c r="B188" s="8" t="str">
        <f>IFERROR(__xludf.DUMMYFUNCTION("""COMPUTED_VALUE"""),"")</f>
        <v/>
      </c>
      <c r="C188" s="8" t="str">
        <f>IFERROR(__xludf.DUMMYFUNCTION("""COMPUTED_VALUE"""),"")</f>
        <v/>
      </c>
      <c r="D188" s="8" t="str">
        <f>IFERROR(__xludf.DUMMYFUNCTION("""COMPUTED_VALUE"""),"")</f>
        <v/>
      </c>
      <c r="E188" s="8" t="str">
        <f>IFERROR(__xludf.DUMMYFUNCTION("""COMPUTED_VALUE"""),"")</f>
        <v/>
      </c>
      <c r="F188" s="8" t="str">
        <f>IFERROR(__xludf.DUMMYFUNCTION("""COMPUTED_VALUE"""),"")</f>
        <v/>
      </c>
      <c r="G188" s="8" t="str">
        <f>IFERROR(__xludf.DUMMYFUNCTION("""COMPUTED_VALUE"""),"")</f>
        <v/>
      </c>
      <c r="L188" s="8" t="s">
        <v>299</v>
      </c>
    </row>
    <row r="189">
      <c r="A189" s="10"/>
      <c r="B189" s="8" t="str">
        <f>IFERROR(__xludf.DUMMYFUNCTION("""COMPUTED_VALUE"""),"")</f>
        <v/>
      </c>
      <c r="C189" s="8" t="str">
        <f>IFERROR(__xludf.DUMMYFUNCTION("""COMPUTED_VALUE"""),"")</f>
        <v/>
      </c>
      <c r="D189" s="8" t="str">
        <f>IFERROR(__xludf.DUMMYFUNCTION("""COMPUTED_VALUE"""),"")</f>
        <v/>
      </c>
      <c r="E189" s="8" t="str">
        <f>IFERROR(__xludf.DUMMYFUNCTION("""COMPUTED_VALUE"""),"")</f>
        <v/>
      </c>
      <c r="F189" s="8" t="str">
        <f>IFERROR(__xludf.DUMMYFUNCTION("""COMPUTED_VALUE"""),"")</f>
        <v/>
      </c>
      <c r="G189" s="8" t="str">
        <f>IFERROR(__xludf.DUMMYFUNCTION("""COMPUTED_VALUE"""),"")</f>
        <v/>
      </c>
      <c r="L189" s="8" t="s">
        <v>299</v>
      </c>
    </row>
    <row r="190">
      <c r="A190" s="10"/>
      <c r="B190" s="8" t="str">
        <f>IFERROR(__xludf.DUMMYFUNCTION("""COMPUTED_VALUE"""),"")</f>
        <v/>
      </c>
      <c r="C190" s="8" t="str">
        <f>IFERROR(__xludf.DUMMYFUNCTION("""COMPUTED_VALUE"""),"")</f>
        <v/>
      </c>
      <c r="D190" s="8" t="str">
        <f>IFERROR(__xludf.DUMMYFUNCTION("""COMPUTED_VALUE"""),"")</f>
        <v/>
      </c>
      <c r="E190" s="8" t="str">
        <f>IFERROR(__xludf.DUMMYFUNCTION("""COMPUTED_VALUE"""),"")</f>
        <v/>
      </c>
      <c r="F190" s="8" t="str">
        <f>IFERROR(__xludf.DUMMYFUNCTION("""COMPUTED_VALUE"""),"")</f>
        <v/>
      </c>
      <c r="G190" s="8" t="str">
        <f>IFERROR(__xludf.DUMMYFUNCTION("""COMPUTED_VALUE"""),"")</f>
        <v/>
      </c>
      <c r="L190" s="8" t="s">
        <v>299</v>
      </c>
    </row>
    <row r="191">
      <c r="A191" s="10"/>
      <c r="B191" s="8" t="str">
        <f>IFERROR(__xludf.DUMMYFUNCTION("""COMPUTED_VALUE"""),"")</f>
        <v/>
      </c>
      <c r="C191" s="8" t="str">
        <f>IFERROR(__xludf.DUMMYFUNCTION("""COMPUTED_VALUE"""),"")</f>
        <v/>
      </c>
      <c r="D191" s="8" t="str">
        <f>IFERROR(__xludf.DUMMYFUNCTION("""COMPUTED_VALUE"""),"")</f>
        <v/>
      </c>
      <c r="E191" s="8" t="str">
        <f>IFERROR(__xludf.DUMMYFUNCTION("""COMPUTED_VALUE"""),"")</f>
        <v/>
      </c>
      <c r="F191" s="8" t="str">
        <f>IFERROR(__xludf.DUMMYFUNCTION("""COMPUTED_VALUE"""),"")</f>
        <v/>
      </c>
      <c r="G191" s="8" t="str">
        <f>IFERROR(__xludf.DUMMYFUNCTION("""COMPUTED_VALUE"""),"")</f>
        <v/>
      </c>
      <c r="L191" s="8" t="s">
        <v>299</v>
      </c>
    </row>
    <row r="192">
      <c r="A192" s="10"/>
      <c r="B192" s="8" t="str">
        <f>IFERROR(__xludf.DUMMYFUNCTION("""COMPUTED_VALUE"""),"")</f>
        <v/>
      </c>
      <c r="C192" s="8" t="str">
        <f>IFERROR(__xludf.DUMMYFUNCTION("""COMPUTED_VALUE"""),"")</f>
        <v/>
      </c>
      <c r="D192" s="8" t="str">
        <f>IFERROR(__xludf.DUMMYFUNCTION("""COMPUTED_VALUE"""),"")</f>
        <v/>
      </c>
      <c r="E192" s="8" t="str">
        <f>IFERROR(__xludf.DUMMYFUNCTION("""COMPUTED_VALUE"""),"")</f>
        <v/>
      </c>
      <c r="F192" s="8" t="str">
        <f>IFERROR(__xludf.DUMMYFUNCTION("""COMPUTED_VALUE"""),"")</f>
        <v/>
      </c>
      <c r="G192" s="8" t="str">
        <f>IFERROR(__xludf.DUMMYFUNCTION("""COMPUTED_VALUE"""),"")</f>
        <v/>
      </c>
      <c r="L192" s="8" t="s">
        <v>299</v>
      </c>
    </row>
    <row r="193">
      <c r="A193" s="10"/>
      <c r="B193" s="8" t="str">
        <f>IFERROR(__xludf.DUMMYFUNCTION("""COMPUTED_VALUE"""),"")</f>
        <v/>
      </c>
      <c r="C193" s="8" t="str">
        <f>IFERROR(__xludf.DUMMYFUNCTION("""COMPUTED_VALUE"""),"")</f>
        <v/>
      </c>
      <c r="D193" s="8" t="str">
        <f>IFERROR(__xludf.DUMMYFUNCTION("""COMPUTED_VALUE"""),"")</f>
        <v/>
      </c>
      <c r="E193" s="8" t="str">
        <f>IFERROR(__xludf.DUMMYFUNCTION("""COMPUTED_VALUE"""),"")</f>
        <v/>
      </c>
      <c r="F193" s="8" t="str">
        <f>IFERROR(__xludf.DUMMYFUNCTION("""COMPUTED_VALUE"""),"")</f>
        <v/>
      </c>
      <c r="G193" s="8" t="str">
        <f>IFERROR(__xludf.DUMMYFUNCTION("""COMPUTED_VALUE"""),"")</f>
        <v/>
      </c>
      <c r="L193" s="8" t="s">
        <v>299</v>
      </c>
    </row>
    <row r="194">
      <c r="A194" s="10"/>
      <c r="B194" s="8" t="str">
        <f>IFERROR(__xludf.DUMMYFUNCTION("""COMPUTED_VALUE"""),"")</f>
        <v/>
      </c>
      <c r="C194" s="8" t="str">
        <f>IFERROR(__xludf.DUMMYFUNCTION("""COMPUTED_VALUE"""),"")</f>
        <v/>
      </c>
      <c r="D194" s="8" t="str">
        <f>IFERROR(__xludf.DUMMYFUNCTION("""COMPUTED_VALUE"""),"")</f>
        <v/>
      </c>
      <c r="E194" s="8" t="str">
        <f>IFERROR(__xludf.DUMMYFUNCTION("""COMPUTED_VALUE"""),"")</f>
        <v/>
      </c>
      <c r="F194" s="8" t="str">
        <f>IFERROR(__xludf.DUMMYFUNCTION("""COMPUTED_VALUE"""),"")</f>
        <v/>
      </c>
      <c r="G194" s="8" t="str">
        <f>IFERROR(__xludf.DUMMYFUNCTION("""COMPUTED_VALUE"""),"")</f>
        <v/>
      </c>
      <c r="L194" s="8" t="s">
        <v>299</v>
      </c>
    </row>
    <row r="195">
      <c r="A195" s="10"/>
      <c r="B195" s="8" t="str">
        <f>IFERROR(__xludf.DUMMYFUNCTION("""COMPUTED_VALUE"""),"")</f>
        <v/>
      </c>
      <c r="C195" s="8" t="str">
        <f>IFERROR(__xludf.DUMMYFUNCTION("""COMPUTED_VALUE"""),"")</f>
        <v/>
      </c>
      <c r="D195" s="8" t="str">
        <f>IFERROR(__xludf.DUMMYFUNCTION("""COMPUTED_VALUE"""),"")</f>
        <v/>
      </c>
      <c r="E195" s="8" t="str">
        <f>IFERROR(__xludf.DUMMYFUNCTION("""COMPUTED_VALUE"""),"")</f>
        <v/>
      </c>
      <c r="F195" s="8" t="str">
        <f>IFERROR(__xludf.DUMMYFUNCTION("""COMPUTED_VALUE"""),"")</f>
        <v/>
      </c>
      <c r="G195" s="8" t="str">
        <f>IFERROR(__xludf.DUMMYFUNCTION("""COMPUTED_VALUE"""),"")</f>
        <v/>
      </c>
      <c r="L195" s="8" t="s">
        <v>299</v>
      </c>
    </row>
    <row r="196">
      <c r="A196" s="10"/>
      <c r="B196" s="8" t="str">
        <f>IFERROR(__xludf.DUMMYFUNCTION("""COMPUTED_VALUE"""),"")</f>
        <v/>
      </c>
      <c r="C196" s="8" t="str">
        <f>IFERROR(__xludf.DUMMYFUNCTION("""COMPUTED_VALUE"""),"")</f>
        <v/>
      </c>
      <c r="D196" s="8" t="str">
        <f>IFERROR(__xludf.DUMMYFUNCTION("""COMPUTED_VALUE"""),"")</f>
        <v/>
      </c>
      <c r="E196" s="8" t="str">
        <f>IFERROR(__xludf.DUMMYFUNCTION("""COMPUTED_VALUE"""),"")</f>
        <v/>
      </c>
      <c r="F196" s="8" t="str">
        <f>IFERROR(__xludf.DUMMYFUNCTION("""COMPUTED_VALUE"""),"")</f>
        <v/>
      </c>
      <c r="G196" s="8" t="str">
        <f>IFERROR(__xludf.DUMMYFUNCTION("""COMPUTED_VALUE"""),"")</f>
        <v/>
      </c>
      <c r="L196" s="8" t="s">
        <v>299</v>
      </c>
    </row>
    <row r="197">
      <c r="A197" s="10"/>
      <c r="B197" s="8" t="str">
        <f>IFERROR(__xludf.DUMMYFUNCTION("""COMPUTED_VALUE"""),"")</f>
        <v/>
      </c>
      <c r="C197" s="8" t="str">
        <f>IFERROR(__xludf.DUMMYFUNCTION("""COMPUTED_VALUE"""),"")</f>
        <v/>
      </c>
      <c r="D197" s="8" t="str">
        <f>IFERROR(__xludf.DUMMYFUNCTION("""COMPUTED_VALUE"""),"")</f>
        <v/>
      </c>
      <c r="E197" s="8" t="str">
        <f>IFERROR(__xludf.DUMMYFUNCTION("""COMPUTED_VALUE"""),"")</f>
        <v/>
      </c>
      <c r="F197" s="8" t="str">
        <f>IFERROR(__xludf.DUMMYFUNCTION("""COMPUTED_VALUE"""),"")</f>
        <v/>
      </c>
      <c r="G197" s="8" t="str">
        <f>IFERROR(__xludf.DUMMYFUNCTION("""COMPUTED_VALUE"""),"")</f>
        <v/>
      </c>
      <c r="L197" s="8" t="s">
        <v>299</v>
      </c>
    </row>
    <row r="198">
      <c r="A198" s="10"/>
      <c r="B198" s="8" t="str">
        <f>IFERROR(__xludf.DUMMYFUNCTION("""COMPUTED_VALUE"""),"")</f>
        <v/>
      </c>
      <c r="C198" s="8" t="str">
        <f>IFERROR(__xludf.DUMMYFUNCTION("""COMPUTED_VALUE"""),"")</f>
        <v/>
      </c>
      <c r="D198" s="8" t="str">
        <f>IFERROR(__xludf.DUMMYFUNCTION("""COMPUTED_VALUE"""),"")</f>
        <v/>
      </c>
      <c r="E198" s="8" t="str">
        <f>IFERROR(__xludf.DUMMYFUNCTION("""COMPUTED_VALUE"""),"")</f>
        <v/>
      </c>
      <c r="F198" s="8" t="str">
        <f>IFERROR(__xludf.DUMMYFUNCTION("""COMPUTED_VALUE"""),"")</f>
        <v/>
      </c>
      <c r="G198" s="8" t="str">
        <f>IFERROR(__xludf.DUMMYFUNCTION("""COMPUTED_VALUE"""),"")</f>
        <v/>
      </c>
      <c r="L198" s="8" t="s">
        <v>299</v>
      </c>
    </row>
    <row r="199">
      <c r="A199" s="10"/>
      <c r="B199" s="8" t="str">
        <f>IFERROR(__xludf.DUMMYFUNCTION("""COMPUTED_VALUE"""),"")</f>
        <v/>
      </c>
      <c r="C199" s="8" t="str">
        <f>IFERROR(__xludf.DUMMYFUNCTION("""COMPUTED_VALUE"""),"")</f>
        <v/>
      </c>
      <c r="D199" s="8" t="str">
        <f>IFERROR(__xludf.DUMMYFUNCTION("""COMPUTED_VALUE"""),"")</f>
        <v/>
      </c>
      <c r="E199" s="8" t="str">
        <f>IFERROR(__xludf.DUMMYFUNCTION("""COMPUTED_VALUE"""),"")</f>
        <v/>
      </c>
      <c r="F199" s="8" t="str">
        <f>IFERROR(__xludf.DUMMYFUNCTION("""COMPUTED_VALUE"""),"")</f>
        <v/>
      </c>
      <c r="G199" s="8" t="str">
        <f>IFERROR(__xludf.DUMMYFUNCTION("""COMPUTED_VALUE"""),"")</f>
        <v/>
      </c>
      <c r="L199" s="8" t="s">
        <v>299</v>
      </c>
    </row>
    <row r="200">
      <c r="A200" s="10"/>
      <c r="B200" s="8" t="str">
        <f>IFERROR(__xludf.DUMMYFUNCTION("""COMPUTED_VALUE"""),"")</f>
        <v/>
      </c>
      <c r="C200" s="8" t="str">
        <f>IFERROR(__xludf.DUMMYFUNCTION("""COMPUTED_VALUE"""),"")</f>
        <v/>
      </c>
      <c r="D200" s="8" t="str">
        <f>IFERROR(__xludf.DUMMYFUNCTION("""COMPUTED_VALUE"""),"")</f>
        <v/>
      </c>
      <c r="E200" s="8" t="str">
        <f>IFERROR(__xludf.DUMMYFUNCTION("""COMPUTED_VALUE"""),"")</f>
        <v/>
      </c>
      <c r="F200" s="8" t="str">
        <f>IFERROR(__xludf.DUMMYFUNCTION("""COMPUTED_VALUE"""),"")</f>
        <v/>
      </c>
      <c r="G200" s="8" t="str">
        <f>IFERROR(__xludf.DUMMYFUNCTION("""COMPUTED_VALUE"""),"")</f>
        <v/>
      </c>
      <c r="L200" s="8" t="s">
        <v>299</v>
      </c>
    </row>
    <row r="201">
      <c r="A201" s="10"/>
      <c r="B201" s="8" t="str">
        <f>IFERROR(__xludf.DUMMYFUNCTION("""COMPUTED_VALUE"""),"")</f>
        <v/>
      </c>
      <c r="C201" s="8" t="str">
        <f>IFERROR(__xludf.DUMMYFUNCTION("""COMPUTED_VALUE"""),"")</f>
        <v/>
      </c>
      <c r="D201" s="8" t="str">
        <f>IFERROR(__xludf.DUMMYFUNCTION("""COMPUTED_VALUE"""),"")</f>
        <v/>
      </c>
      <c r="E201" s="8" t="str">
        <f>IFERROR(__xludf.DUMMYFUNCTION("""COMPUTED_VALUE"""),"")</f>
        <v/>
      </c>
      <c r="F201" s="8" t="str">
        <f>IFERROR(__xludf.DUMMYFUNCTION("""COMPUTED_VALUE"""),"")</f>
        <v/>
      </c>
      <c r="G201" s="8" t="str">
        <f>IFERROR(__xludf.DUMMYFUNCTION("""COMPUTED_VALUE"""),"")</f>
        <v/>
      </c>
      <c r="L201" s="8" t="s">
        <v>299</v>
      </c>
    </row>
    <row r="202">
      <c r="A202" s="10"/>
      <c r="B202" s="8" t="str">
        <f>IFERROR(__xludf.DUMMYFUNCTION("""COMPUTED_VALUE"""),"")</f>
        <v/>
      </c>
      <c r="C202" s="8" t="str">
        <f>IFERROR(__xludf.DUMMYFUNCTION("""COMPUTED_VALUE"""),"")</f>
        <v/>
      </c>
      <c r="D202" s="8" t="str">
        <f>IFERROR(__xludf.DUMMYFUNCTION("""COMPUTED_VALUE"""),"")</f>
        <v/>
      </c>
      <c r="E202" s="8" t="str">
        <f>IFERROR(__xludf.DUMMYFUNCTION("""COMPUTED_VALUE"""),"")</f>
        <v/>
      </c>
      <c r="F202" s="8" t="str">
        <f>IFERROR(__xludf.DUMMYFUNCTION("""COMPUTED_VALUE"""),"")</f>
        <v/>
      </c>
      <c r="G202" s="8" t="str">
        <f>IFERROR(__xludf.DUMMYFUNCTION("""COMPUTED_VALUE"""),"")</f>
        <v/>
      </c>
      <c r="L202" s="8" t="s">
        <v>299</v>
      </c>
    </row>
    <row r="203">
      <c r="A203" s="10"/>
      <c r="B203" s="8" t="str">
        <f>IFERROR(__xludf.DUMMYFUNCTION("""COMPUTED_VALUE"""),"")</f>
        <v/>
      </c>
      <c r="C203" s="8" t="str">
        <f>IFERROR(__xludf.DUMMYFUNCTION("""COMPUTED_VALUE"""),"")</f>
        <v/>
      </c>
      <c r="D203" s="8" t="str">
        <f>IFERROR(__xludf.DUMMYFUNCTION("""COMPUTED_VALUE"""),"")</f>
        <v/>
      </c>
      <c r="E203" s="8" t="str">
        <f>IFERROR(__xludf.DUMMYFUNCTION("""COMPUTED_VALUE"""),"")</f>
        <v/>
      </c>
      <c r="F203" s="8" t="str">
        <f>IFERROR(__xludf.DUMMYFUNCTION("""COMPUTED_VALUE"""),"")</f>
        <v/>
      </c>
      <c r="G203" s="8" t="str">
        <f>IFERROR(__xludf.DUMMYFUNCTION("""COMPUTED_VALUE"""),"")</f>
        <v/>
      </c>
      <c r="L203" s="8" t="s">
        <v>299</v>
      </c>
    </row>
    <row r="204">
      <c r="A204" s="10"/>
      <c r="B204" s="8" t="str">
        <f>IFERROR(__xludf.DUMMYFUNCTION("""COMPUTED_VALUE"""),"")</f>
        <v/>
      </c>
      <c r="C204" s="8" t="str">
        <f>IFERROR(__xludf.DUMMYFUNCTION("""COMPUTED_VALUE"""),"")</f>
        <v/>
      </c>
      <c r="D204" s="8" t="str">
        <f>IFERROR(__xludf.DUMMYFUNCTION("""COMPUTED_VALUE"""),"")</f>
        <v/>
      </c>
      <c r="E204" s="8" t="str">
        <f>IFERROR(__xludf.DUMMYFUNCTION("""COMPUTED_VALUE"""),"")</f>
        <v/>
      </c>
      <c r="F204" s="8" t="str">
        <f>IFERROR(__xludf.DUMMYFUNCTION("""COMPUTED_VALUE"""),"")</f>
        <v/>
      </c>
      <c r="G204" s="8" t="str">
        <f>IFERROR(__xludf.DUMMYFUNCTION("""COMPUTED_VALUE"""),"")</f>
        <v/>
      </c>
      <c r="L204" s="8" t="s">
        <v>299</v>
      </c>
    </row>
    <row r="205">
      <c r="A205" s="10"/>
      <c r="B205" s="8" t="str">
        <f>IFERROR(__xludf.DUMMYFUNCTION("""COMPUTED_VALUE"""),"")</f>
        <v/>
      </c>
      <c r="C205" s="8" t="str">
        <f>IFERROR(__xludf.DUMMYFUNCTION("""COMPUTED_VALUE"""),"")</f>
        <v/>
      </c>
      <c r="D205" s="8" t="str">
        <f>IFERROR(__xludf.DUMMYFUNCTION("""COMPUTED_VALUE"""),"")</f>
        <v/>
      </c>
      <c r="E205" s="8" t="str">
        <f>IFERROR(__xludf.DUMMYFUNCTION("""COMPUTED_VALUE"""),"")</f>
        <v/>
      </c>
      <c r="F205" s="8" t="str">
        <f>IFERROR(__xludf.DUMMYFUNCTION("""COMPUTED_VALUE"""),"")</f>
        <v/>
      </c>
      <c r="G205" s="8" t="str">
        <f>IFERROR(__xludf.DUMMYFUNCTION("""COMPUTED_VALUE"""),"")</f>
        <v/>
      </c>
      <c r="L205" s="8" t="s">
        <v>299</v>
      </c>
    </row>
    <row r="206">
      <c r="A206" s="10"/>
      <c r="B206" s="8" t="str">
        <f>IFERROR(__xludf.DUMMYFUNCTION("""COMPUTED_VALUE"""),"")</f>
        <v/>
      </c>
      <c r="C206" s="8" t="str">
        <f>IFERROR(__xludf.DUMMYFUNCTION("""COMPUTED_VALUE"""),"")</f>
        <v/>
      </c>
      <c r="D206" s="8" t="str">
        <f>IFERROR(__xludf.DUMMYFUNCTION("""COMPUTED_VALUE"""),"")</f>
        <v/>
      </c>
      <c r="E206" s="8" t="str">
        <f>IFERROR(__xludf.DUMMYFUNCTION("""COMPUTED_VALUE"""),"")</f>
        <v/>
      </c>
      <c r="F206" s="8" t="str">
        <f>IFERROR(__xludf.DUMMYFUNCTION("""COMPUTED_VALUE"""),"")</f>
        <v/>
      </c>
      <c r="G206" s="8" t="str">
        <f>IFERROR(__xludf.DUMMYFUNCTION("""COMPUTED_VALUE"""),"")</f>
        <v/>
      </c>
      <c r="L206" s="8" t="s">
        <v>299</v>
      </c>
    </row>
    <row r="207">
      <c r="A207" s="10"/>
      <c r="B207" s="8" t="str">
        <f>IFERROR(__xludf.DUMMYFUNCTION("""COMPUTED_VALUE"""),"")</f>
        <v/>
      </c>
      <c r="C207" s="8" t="str">
        <f>IFERROR(__xludf.DUMMYFUNCTION("""COMPUTED_VALUE"""),"")</f>
        <v/>
      </c>
      <c r="D207" s="8" t="str">
        <f>IFERROR(__xludf.DUMMYFUNCTION("""COMPUTED_VALUE"""),"")</f>
        <v/>
      </c>
      <c r="E207" s="8" t="str">
        <f>IFERROR(__xludf.DUMMYFUNCTION("""COMPUTED_VALUE"""),"")</f>
        <v/>
      </c>
      <c r="F207" s="8" t="str">
        <f>IFERROR(__xludf.DUMMYFUNCTION("""COMPUTED_VALUE"""),"")</f>
        <v/>
      </c>
      <c r="G207" s="8" t="str">
        <f>IFERROR(__xludf.DUMMYFUNCTION("""COMPUTED_VALUE"""),"")</f>
        <v/>
      </c>
      <c r="L207" s="8" t="s">
        <v>299</v>
      </c>
    </row>
    <row r="208">
      <c r="A208" s="10"/>
      <c r="B208" s="8" t="str">
        <f>IFERROR(__xludf.DUMMYFUNCTION("""COMPUTED_VALUE"""),"")</f>
        <v/>
      </c>
      <c r="C208" s="8" t="str">
        <f>IFERROR(__xludf.DUMMYFUNCTION("""COMPUTED_VALUE"""),"")</f>
        <v/>
      </c>
      <c r="D208" s="8" t="str">
        <f>IFERROR(__xludf.DUMMYFUNCTION("""COMPUTED_VALUE"""),"")</f>
        <v/>
      </c>
      <c r="E208" s="8" t="str">
        <f>IFERROR(__xludf.DUMMYFUNCTION("""COMPUTED_VALUE"""),"")</f>
        <v/>
      </c>
      <c r="F208" s="8" t="str">
        <f>IFERROR(__xludf.DUMMYFUNCTION("""COMPUTED_VALUE"""),"")</f>
        <v/>
      </c>
      <c r="G208" s="8" t="str">
        <f>IFERROR(__xludf.DUMMYFUNCTION("""COMPUTED_VALUE"""),"")</f>
        <v/>
      </c>
      <c r="L208" s="8" t="s">
        <v>299</v>
      </c>
    </row>
    <row r="209">
      <c r="A209" s="10"/>
      <c r="B209" s="8" t="str">
        <f>IFERROR(__xludf.DUMMYFUNCTION("""COMPUTED_VALUE"""),"")</f>
        <v/>
      </c>
      <c r="C209" s="8" t="str">
        <f>IFERROR(__xludf.DUMMYFUNCTION("""COMPUTED_VALUE"""),"")</f>
        <v/>
      </c>
      <c r="D209" s="8" t="str">
        <f>IFERROR(__xludf.DUMMYFUNCTION("""COMPUTED_VALUE"""),"")</f>
        <v/>
      </c>
      <c r="E209" s="8" t="str">
        <f>IFERROR(__xludf.DUMMYFUNCTION("""COMPUTED_VALUE"""),"")</f>
        <v/>
      </c>
      <c r="F209" s="8" t="str">
        <f>IFERROR(__xludf.DUMMYFUNCTION("""COMPUTED_VALUE"""),"")</f>
        <v/>
      </c>
      <c r="G209" s="8" t="str">
        <f>IFERROR(__xludf.DUMMYFUNCTION("""COMPUTED_VALUE"""),"")</f>
        <v/>
      </c>
      <c r="L209" s="8" t="s">
        <v>299</v>
      </c>
    </row>
    <row r="210">
      <c r="A210" s="10"/>
      <c r="B210" s="8" t="str">
        <f>IFERROR(__xludf.DUMMYFUNCTION("""COMPUTED_VALUE"""),"")</f>
        <v/>
      </c>
      <c r="C210" s="8" t="str">
        <f>IFERROR(__xludf.DUMMYFUNCTION("""COMPUTED_VALUE"""),"")</f>
        <v/>
      </c>
      <c r="D210" s="8" t="str">
        <f>IFERROR(__xludf.DUMMYFUNCTION("""COMPUTED_VALUE"""),"")</f>
        <v/>
      </c>
      <c r="E210" s="8" t="str">
        <f>IFERROR(__xludf.DUMMYFUNCTION("""COMPUTED_VALUE"""),"")</f>
        <v/>
      </c>
      <c r="F210" s="8" t="str">
        <f>IFERROR(__xludf.DUMMYFUNCTION("""COMPUTED_VALUE"""),"")</f>
        <v/>
      </c>
      <c r="G210" s="8" t="str">
        <f>IFERROR(__xludf.DUMMYFUNCTION("""COMPUTED_VALUE"""),"")</f>
        <v/>
      </c>
      <c r="L210" s="8" t="s">
        <v>299</v>
      </c>
    </row>
    <row r="211">
      <c r="A211" s="10"/>
      <c r="B211" s="8" t="str">
        <f>IFERROR(__xludf.DUMMYFUNCTION("""COMPUTED_VALUE"""),"")</f>
        <v/>
      </c>
      <c r="C211" s="8" t="str">
        <f>IFERROR(__xludf.DUMMYFUNCTION("""COMPUTED_VALUE"""),"")</f>
        <v/>
      </c>
      <c r="D211" s="8" t="str">
        <f>IFERROR(__xludf.DUMMYFUNCTION("""COMPUTED_VALUE"""),"")</f>
        <v/>
      </c>
      <c r="E211" s="8" t="str">
        <f>IFERROR(__xludf.DUMMYFUNCTION("""COMPUTED_VALUE"""),"")</f>
        <v/>
      </c>
      <c r="F211" s="8" t="str">
        <f>IFERROR(__xludf.DUMMYFUNCTION("""COMPUTED_VALUE"""),"")</f>
        <v/>
      </c>
      <c r="G211" s="8" t="str">
        <f>IFERROR(__xludf.DUMMYFUNCTION("""COMPUTED_VALUE"""),"")</f>
        <v/>
      </c>
      <c r="L211" s="8" t="s">
        <v>299</v>
      </c>
    </row>
    <row r="212">
      <c r="A212" s="10"/>
      <c r="B212" s="8" t="str">
        <f>IFERROR(__xludf.DUMMYFUNCTION("""COMPUTED_VALUE"""),"")</f>
        <v/>
      </c>
      <c r="C212" s="8" t="str">
        <f>IFERROR(__xludf.DUMMYFUNCTION("""COMPUTED_VALUE"""),"")</f>
        <v/>
      </c>
      <c r="D212" s="8" t="str">
        <f>IFERROR(__xludf.DUMMYFUNCTION("""COMPUTED_VALUE"""),"")</f>
        <v/>
      </c>
      <c r="E212" s="8" t="str">
        <f>IFERROR(__xludf.DUMMYFUNCTION("""COMPUTED_VALUE"""),"")</f>
        <v/>
      </c>
      <c r="F212" s="8" t="str">
        <f>IFERROR(__xludf.DUMMYFUNCTION("""COMPUTED_VALUE"""),"")</f>
        <v/>
      </c>
      <c r="G212" s="8" t="str">
        <f>IFERROR(__xludf.DUMMYFUNCTION("""COMPUTED_VALUE"""),"")</f>
        <v/>
      </c>
      <c r="L212" s="8" t="s">
        <v>299</v>
      </c>
    </row>
    <row r="213">
      <c r="A213" s="10"/>
      <c r="B213" s="8" t="str">
        <f>IFERROR(__xludf.DUMMYFUNCTION("""COMPUTED_VALUE"""),"")</f>
        <v/>
      </c>
      <c r="C213" s="8" t="str">
        <f>IFERROR(__xludf.DUMMYFUNCTION("""COMPUTED_VALUE"""),"")</f>
        <v/>
      </c>
      <c r="D213" s="8" t="str">
        <f>IFERROR(__xludf.DUMMYFUNCTION("""COMPUTED_VALUE"""),"")</f>
        <v/>
      </c>
      <c r="E213" s="8" t="str">
        <f>IFERROR(__xludf.DUMMYFUNCTION("""COMPUTED_VALUE"""),"")</f>
        <v/>
      </c>
      <c r="F213" s="8" t="str">
        <f>IFERROR(__xludf.DUMMYFUNCTION("""COMPUTED_VALUE"""),"")</f>
        <v/>
      </c>
      <c r="G213" s="8" t="str">
        <f>IFERROR(__xludf.DUMMYFUNCTION("""COMPUTED_VALUE"""),"")</f>
        <v/>
      </c>
      <c r="L213" s="8" t="s">
        <v>299</v>
      </c>
    </row>
    <row r="214">
      <c r="A214" s="10"/>
      <c r="B214" s="8" t="str">
        <f>IFERROR(__xludf.DUMMYFUNCTION("""COMPUTED_VALUE"""),"")</f>
        <v/>
      </c>
      <c r="C214" s="8" t="str">
        <f>IFERROR(__xludf.DUMMYFUNCTION("""COMPUTED_VALUE"""),"")</f>
        <v/>
      </c>
      <c r="D214" s="8" t="str">
        <f>IFERROR(__xludf.DUMMYFUNCTION("""COMPUTED_VALUE"""),"")</f>
        <v/>
      </c>
      <c r="E214" s="8" t="str">
        <f>IFERROR(__xludf.DUMMYFUNCTION("""COMPUTED_VALUE"""),"")</f>
        <v/>
      </c>
      <c r="F214" s="8" t="str">
        <f>IFERROR(__xludf.DUMMYFUNCTION("""COMPUTED_VALUE"""),"")</f>
        <v/>
      </c>
      <c r="G214" s="8" t="str">
        <f>IFERROR(__xludf.DUMMYFUNCTION("""COMPUTED_VALUE"""),"")</f>
        <v/>
      </c>
      <c r="L214" s="8" t="s">
        <v>299</v>
      </c>
    </row>
    <row r="215">
      <c r="A215" s="10"/>
      <c r="B215" s="8" t="str">
        <f>IFERROR(__xludf.DUMMYFUNCTION("""COMPUTED_VALUE"""),"")</f>
        <v/>
      </c>
      <c r="C215" s="8" t="str">
        <f>IFERROR(__xludf.DUMMYFUNCTION("""COMPUTED_VALUE"""),"")</f>
        <v/>
      </c>
      <c r="D215" s="8" t="str">
        <f>IFERROR(__xludf.DUMMYFUNCTION("""COMPUTED_VALUE"""),"")</f>
        <v/>
      </c>
      <c r="E215" s="8" t="str">
        <f>IFERROR(__xludf.DUMMYFUNCTION("""COMPUTED_VALUE"""),"")</f>
        <v/>
      </c>
      <c r="F215" s="8" t="str">
        <f>IFERROR(__xludf.DUMMYFUNCTION("""COMPUTED_VALUE"""),"")</f>
        <v/>
      </c>
      <c r="G215" s="8" t="str">
        <f>IFERROR(__xludf.DUMMYFUNCTION("""COMPUTED_VALUE"""),"")</f>
        <v/>
      </c>
      <c r="L215" s="8" t="s">
        <v>299</v>
      </c>
    </row>
    <row r="216">
      <c r="A216" s="10"/>
      <c r="B216" s="8" t="str">
        <f>IFERROR(__xludf.DUMMYFUNCTION("""COMPUTED_VALUE"""),"")</f>
        <v/>
      </c>
      <c r="C216" s="8" t="str">
        <f>IFERROR(__xludf.DUMMYFUNCTION("""COMPUTED_VALUE"""),"")</f>
        <v/>
      </c>
      <c r="D216" s="8" t="str">
        <f>IFERROR(__xludf.DUMMYFUNCTION("""COMPUTED_VALUE"""),"")</f>
        <v/>
      </c>
      <c r="E216" s="8" t="str">
        <f>IFERROR(__xludf.DUMMYFUNCTION("""COMPUTED_VALUE"""),"")</f>
        <v/>
      </c>
      <c r="F216" s="8" t="str">
        <f>IFERROR(__xludf.DUMMYFUNCTION("""COMPUTED_VALUE"""),"")</f>
        <v/>
      </c>
      <c r="G216" s="8" t="str">
        <f>IFERROR(__xludf.DUMMYFUNCTION("""COMPUTED_VALUE"""),"")</f>
        <v/>
      </c>
      <c r="L216" s="8" t="s">
        <v>299</v>
      </c>
    </row>
    <row r="217">
      <c r="A217" s="10"/>
      <c r="B217" s="8" t="str">
        <f>IFERROR(__xludf.DUMMYFUNCTION("""COMPUTED_VALUE"""),"")</f>
        <v/>
      </c>
      <c r="C217" s="8" t="str">
        <f>IFERROR(__xludf.DUMMYFUNCTION("""COMPUTED_VALUE"""),"")</f>
        <v/>
      </c>
      <c r="D217" s="8" t="str">
        <f>IFERROR(__xludf.DUMMYFUNCTION("""COMPUTED_VALUE"""),"")</f>
        <v/>
      </c>
      <c r="E217" s="8" t="str">
        <f>IFERROR(__xludf.DUMMYFUNCTION("""COMPUTED_VALUE"""),"")</f>
        <v/>
      </c>
      <c r="F217" s="8" t="str">
        <f>IFERROR(__xludf.DUMMYFUNCTION("""COMPUTED_VALUE"""),"")</f>
        <v/>
      </c>
      <c r="G217" s="8" t="str">
        <f>IFERROR(__xludf.DUMMYFUNCTION("""COMPUTED_VALUE"""),"")</f>
        <v/>
      </c>
      <c r="L217" s="8" t="s">
        <v>299</v>
      </c>
    </row>
    <row r="218">
      <c r="A218" s="10"/>
      <c r="B218" s="8" t="str">
        <f>IFERROR(__xludf.DUMMYFUNCTION("""COMPUTED_VALUE"""),"")</f>
        <v/>
      </c>
      <c r="C218" s="8" t="str">
        <f>IFERROR(__xludf.DUMMYFUNCTION("""COMPUTED_VALUE"""),"")</f>
        <v/>
      </c>
      <c r="D218" s="8" t="str">
        <f>IFERROR(__xludf.DUMMYFUNCTION("""COMPUTED_VALUE"""),"")</f>
        <v/>
      </c>
      <c r="E218" s="8" t="str">
        <f>IFERROR(__xludf.DUMMYFUNCTION("""COMPUTED_VALUE"""),"")</f>
        <v/>
      </c>
      <c r="F218" s="8" t="str">
        <f>IFERROR(__xludf.DUMMYFUNCTION("""COMPUTED_VALUE"""),"")</f>
        <v/>
      </c>
      <c r="G218" s="8" t="str">
        <f>IFERROR(__xludf.DUMMYFUNCTION("""COMPUTED_VALUE"""),"")</f>
        <v/>
      </c>
      <c r="L218" s="8" t="s">
        <v>299</v>
      </c>
    </row>
    <row r="219">
      <c r="A219" s="10"/>
      <c r="B219" s="8" t="str">
        <f>IFERROR(__xludf.DUMMYFUNCTION("""COMPUTED_VALUE"""),"")</f>
        <v/>
      </c>
      <c r="C219" s="8" t="str">
        <f>IFERROR(__xludf.DUMMYFUNCTION("""COMPUTED_VALUE"""),"")</f>
        <v/>
      </c>
      <c r="D219" s="8" t="str">
        <f>IFERROR(__xludf.DUMMYFUNCTION("""COMPUTED_VALUE"""),"")</f>
        <v/>
      </c>
      <c r="E219" s="8" t="str">
        <f>IFERROR(__xludf.DUMMYFUNCTION("""COMPUTED_VALUE"""),"")</f>
        <v/>
      </c>
      <c r="F219" s="8" t="str">
        <f>IFERROR(__xludf.DUMMYFUNCTION("""COMPUTED_VALUE"""),"")</f>
        <v/>
      </c>
      <c r="G219" s="8" t="str">
        <f>IFERROR(__xludf.DUMMYFUNCTION("""COMPUTED_VALUE"""),"")</f>
        <v/>
      </c>
      <c r="L219" s="8" t="s">
        <v>299</v>
      </c>
    </row>
    <row r="220">
      <c r="A220" s="10"/>
      <c r="B220" s="8" t="str">
        <f>IFERROR(__xludf.DUMMYFUNCTION("""COMPUTED_VALUE"""),"")</f>
        <v/>
      </c>
      <c r="C220" s="8" t="str">
        <f>IFERROR(__xludf.DUMMYFUNCTION("""COMPUTED_VALUE"""),"")</f>
        <v/>
      </c>
      <c r="D220" s="8" t="str">
        <f>IFERROR(__xludf.DUMMYFUNCTION("""COMPUTED_VALUE"""),"")</f>
        <v/>
      </c>
      <c r="E220" s="8" t="str">
        <f>IFERROR(__xludf.DUMMYFUNCTION("""COMPUTED_VALUE"""),"")</f>
        <v/>
      </c>
      <c r="F220" s="8" t="str">
        <f>IFERROR(__xludf.DUMMYFUNCTION("""COMPUTED_VALUE"""),"")</f>
        <v/>
      </c>
      <c r="G220" s="8" t="str">
        <f>IFERROR(__xludf.DUMMYFUNCTION("""COMPUTED_VALUE"""),"")</f>
        <v/>
      </c>
      <c r="L220" s="8" t="s">
        <v>299</v>
      </c>
    </row>
    <row r="221">
      <c r="A221" s="10"/>
      <c r="B221" s="8" t="str">
        <f>IFERROR(__xludf.DUMMYFUNCTION("""COMPUTED_VALUE"""),"")</f>
        <v/>
      </c>
      <c r="C221" s="8" t="str">
        <f>IFERROR(__xludf.DUMMYFUNCTION("""COMPUTED_VALUE"""),"")</f>
        <v/>
      </c>
      <c r="D221" s="8" t="str">
        <f>IFERROR(__xludf.DUMMYFUNCTION("""COMPUTED_VALUE"""),"")</f>
        <v/>
      </c>
      <c r="E221" s="8" t="str">
        <f>IFERROR(__xludf.DUMMYFUNCTION("""COMPUTED_VALUE"""),"")</f>
        <v/>
      </c>
      <c r="F221" s="8" t="str">
        <f>IFERROR(__xludf.DUMMYFUNCTION("""COMPUTED_VALUE"""),"")</f>
        <v/>
      </c>
      <c r="G221" s="8" t="str">
        <f>IFERROR(__xludf.DUMMYFUNCTION("""COMPUTED_VALUE"""),"")</f>
        <v/>
      </c>
      <c r="L221" s="8" t="s">
        <v>299</v>
      </c>
    </row>
    <row r="222">
      <c r="A222" s="10"/>
      <c r="B222" s="8" t="str">
        <f>IFERROR(__xludf.DUMMYFUNCTION("""COMPUTED_VALUE"""),"")</f>
        <v/>
      </c>
      <c r="C222" s="8" t="str">
        <f>IFERROR(__xludf.DUMMYFUNCTION("""COMPUTED_VALUE"""),"")</f>
        <v/>
      </c>
      <c r="D222" s="8" t="str">
        <f>IFERROR(__xludf.DUMMYFUNCTION("""COMPUTED_VALUE"""),"")</f>
        <v/>
      </c>
      <c r="E222" s="8" t="str">
        <f>IFERROR(__xludf.DUMMYFUNCTION("""COMPUTED_VALUE"""),"")</f>
        <v/>
      </c>
      <c r="F222" s="8" t="str">
        <f>IFERROR(__xludf.DUMMYFUNCTION("""COMPUTED_VALUE"""),"")</f>
        <v/>
      </c>
      <c r="G222" s="8" t="str">
        <f>IFERROR(__xludf.DUMMYFUNCTION("""COMPUTED_VALUE"""),"")</f>
        <v/>
      </c>
      <c r="L222" s="8" t="s">
        <v>299</v>
      </c>
    </row>
    <row r="223">
      <c r="A223" s="10"/>
      <c r="B223" s="8" t="str">
        <f>IFERROR(__xludf.DUMMYFUNCTION("""COMPUTED_VALUE"""),"")</f>
        <v/>
      </c>
      <c r="C223" s="8" t="str">
        <f>IFERROR(__xludf.DUMMYFUNCTION("""COMPUTED_VALUE"""),"")</f>
        <v/>
      </c>
      <c r="D223" s="8" t="str">
        <f>IFERROR(__xludf.DUMMYFUNCTION("""COMPUTED_VALUE"""),"")</f>
        <v/>
      </c>
      <c r="E223" s="8" t="str">
        <f>IFERROR(__xludf.DUMMYFUNCTION("""COMPUTED_VALUE"""),"")</f>
        <v/>
      </c>
      <c r="F223" s="8" t="str">
        <f>IFERROR(__xludf.DUMMYFUNCTION("""COMPUTED_VALUE"""),"")</f>
        <v/>
      </c>
      <c r="G223" s="8" t="str">
        <f>IFERROR(__xludf.DUMMYFUNCTION("""COMPUTED_VALUE"""),"")</f>
        <v/>
      </c>
      <c r="L223" s="8" t="s">
        <v>299</v>
      </c>
    </row>
    <row r="224">
      <c r="A224" s="10"/>
      <c r="B224" s="8" t="str">
        <f>IFERROR(__xludf.DUMMYFUNCTION("""COMPUTED_VALUE"""),"")</f>
        <v/>
      </c>
      <c r="C224" s="8" t="str">
        <f>IFERROR(__xludf.DUMMYFUNCTION("""COMPUTED_VALUE"""),"")</f>
        <v/>
      </c>
      <c r="D224" s="8" t="str">
        <f>IFERROR(__xludf.DUMMYFUNCTION("""COMPUTED_VALUE"""),"")</f>
        <v/>
      </c>
      <c r="E224" s="8" t="str">
        <f>IFERROR(__xludf.DUMMYFUNCTION("""COMPUTED_VALUE"""),"")</f>
        <v/>
      </c>
      <c r="F224" s="8" t="str">
        <f>IFERROR(__xludf.DUMMYFUNCTION("""COMPUTED_VALUE"""),"")</f>
        <v/>
      </c>
      <c r="G224" s="8" t="str">
        <f>IFERROR(__xludf.DUMMYFUNCTION("""COMPUTED_VALUE"""),"")</f>
        <v/>
      </c>
      <c r="L224" s="8" t="s">
        <v>299</v>
      </c>
    </row>
    <row r="225">
      <c r="A225" s="10"/>
      <c r="B225" s="8" t="str">
        <f>IFERROR(__xludf.DUMMYFUNCTION("""COMPUTED_VALUE"""),"")</f>
        <v/>
      </c>
      <c r="C225" s="8" t="str">
        <f>IFERROR(__xludf.DUMMYFUNCTION("""COMPUTED_VALUE"""),"")</f>
        <v/>
      </c>
      <c r="D225" s="8" t="str">
        <f>IFERROR(__xludf.DUMMYFUNCTION("""COMPUTED_VALUE"""),"")</f>
        <v/>
      </c>
      <c r="E225" s="8" t="str">
        <f>IFERROR(__xludf.DUMMYFUNCTION("""COMPUTED_VALUE"""),"")</f>
        <v/>
      </c>
      <c r="F225" s="8" t="str">
        <f>IFERROR(__xludf.DUMMYFUNCTION("""COMPUTED_VALUE"""),"")</f>
        <v/>
      </c>
      <c r="G225" s="8" t="str">
        <f>IFERROR(__xludf.DUMMYFUNCTION("""COMPUTED_VALUE"""),"")</f>
        <v/>
      </c>
      <c r="L225" s="8" t="s">
        <v>299</v>
      </c>
    </row>
    <row r="226">
      <c r="A226" s="10"/>
      <c r="B226" s="8" t="str">
        <f>IFERROR(__xludf.DUMMYFUNCTION("""COMPUTED_VALUE"""),"")</f>
        <v/>
      </c>
      <c r="C226" s="8" t="str">
        <f>IFERROR(__xludf.DUMMYFUNCTION("""COMPUTED_VALUE"""),"")</f>
        <v/>
      </c>
      <c r="D226" s="8" t="str">
        <f>IFERROR(__xludf.DUMMYFUNCTION("""COMPUTED_VALUE"""),"")</f>
        <v/>
      </c>
      <c r="E226" s="8" t="str">
        <f>IFERROR(__xludf.DUMMYFUNCTION("""COMPUTED_VALUE"""),"")</f>
        <v/>
      </c>
      <c r="F226" s="8" t="str">
        <f>IFERROR(__xludf.DUMMYFUNCTION("""COMPUTED_VALUE"""),"")</f>
        <v/>
      </c>
      <c r="G226" s="8" t="str">
        <f>IFERROR(__xludf.DUMMYFUNCTION("""COMPUTED_VALUE"""),"")</f>
        <v/>
      </c>
      <c r="L226" s="8" t="s">
        <v>299</v>
      </c>
    </row>
    <row r="227">
      <c r="A227" s="10"/>
      <c r="B227" s="8" t="str">
        <f>IFERROR(__xludf.DUMMYFUNCTION("""COMPUTED_VALUE"""),"")</f>
        <v/>
      </c>
      <c r="C227" s="8" t="str">
        <f>IFERROR(__xludf.DUMMYFUNCTION("""COMPUTED_VALUE"""),"")</f>
        <v/>
      </c>
      <c r="D227" s="8" t="str">
        <f>IFERROR(__xludf.DUMMYFUNCTION("""COMPUTED_VALUE"""),"")</f>
        <v/>
      </c>
      <c r="E227" s="8" t="str">
        <f>IFERROR(__xludf.DUMMYFUNCTION("""COMPUTED_VALUE"""),"")</f>
        <v/>
      </c>
      <c r="F227" s="8" t="str">
        <f>IFERROR(__xludf.DUMMYFUNCTION("""COMPUTED_VALUE"""),"")</f>
        <v/>
      </c>
      <c r="G227" s="8" t="str">
        <f>IFERROR(__xludf.DUMMYFUNCTION("""COMPUTED_VALUE"""),"")</f>
        <v/>
      </c>
      <c r="L227" s="8" t="s">
        <v>299</v>
      </c>
    </row>
    <row r="228">
      <c r="A228" s="10"/>
      <c r="B228" s="8" t="str">
        <f>IFERROR(__xludf.DUMMYFUNCTION("""COMPUTED_VALUE"""),"")</f>
        <v/>
      </c>
      <c r="C228" s="8" t="str">
        <f>IFERROR(__xludf.DUMMYFUNCTION("""COMPUTED_VALUE"""),"")</f>
        <v/>
      </c>
      <c r="D228" s="8" t="str">
        <f>IFERROR(__xludf.DUMMYFUNCTION("""COMPUTED_VALUE"""),"")</f>
        <v/>
      </c>
      <c r="E228" s="8" t="str">
        <f>IFERROR(__xludf.DUMMYFUNCTION("""COMPUTED_VALUE"""),"")</f>
        <v/>
      </c>
      <c r="F228" s="8" t="str">
        <f>IFERROR(__xludf.DUMMYFUNCTION("""COMPUTED_VALUE"""),"")</f>
        <v/>
      </c>
      <c r="G228" s="8" t="str">
        <f>IFERROR(__xludf.DUMMYFUNCTION("""COMPUTED_VALUE"""),"")</f>
        <v/>
      </c>
      <c r="L228" s="8" t="s">
        <v>299</v>
      </c>
    </row>
    <row r="229">
      <c r="A229" s="10"/>
      <c r="B229" s="8" t="str">
        <f>IFERROR(__xludf.DUMMYFUNCTION("""COMPUTED_VALUE"""),"")</f>
        <v/>
      </c>
      <c r="C229" s="8" t="str">
        <f>IFERROR(__xludf.DUMMYFUNCTION("""COMPUTED_VALUE"""),"")</f>
        <v/>
      </c>
      <c r="D229" s="8" t="str">
        <f>IFERROR(__xludf.DUMMYFUNCTION("""COMPUTED_VALUE"""),"")</f>
        <v/>
      </c>
      <c r="E229" s="8" t="str">
        <f>IFERROR(__xludf.DUMMYFUNCTION("""COMPUTED_VALUE"""),"")</f>
        <v/>
      </c>
      <c r="F229" s="8" t="str">
        <f>IFERROR(__xludf.DUMMYFUNCTION("""COMPUTED_VALUE"""),"")</f>
        <v/>
      </c>
      <c r="G229" s="8" t="str">
        <f>IFERROR(__xludf.DUMMYFUNCTION("""COMPUTED_VALUE"""),"")</f>
        <v/>
      </c>
      <c r="L229" s="8" t="s">
        <v>299</v>
      </c>
    </row>
    <row r="230">
      <c r="A230" s="10"/>
      <c r="B230" s="8" t="str">
        <f>IFERROR(__xludf.DUMMYFUNCTION("""COMPUTED_VALUE"""),"")</f>
        <v/>
      </c>
      <c r="C230" s="8" t="str">
        <f>IFERROR(__xludf.DUMMYFUNCTION("""COMPUTED_VALUE"""),"")</f>
        <v/>
      </c>
      <c r="D230" s="8" t="str">
        <f>IFERROR(__xludf.DUMMYFUNCTION("""COMPUTED_VALUE"""),"")</f>
        <v/>
      </c>
      <c r="E230" s="8" t="str">
        <f>IFERROR(__xludf.DUMMYFUNCTION("""COMPUTED_VALUE"""),"")</f>
        <v/>
      </c>
      <c r="F230" s="8" t="str">
        <f>IFERROR(__xludf.DUMMYFUNCTION("""COMPUTED_VALUE"""),"")</f>
        <v/>
      </c>
      <c r="G230" s="8" t="str">
        <f>IFERROR(__xludf.DUMMYFUNCTION("""COMPUTED_VALUE"""),"")</f>
        <v/>
      </c>
      <c r="L230" s="8" t="s">
        <v>299</v>
      </c>
    </row>
    <row r="231">
      <c r="A231" s="10"/>
      <c r="B231" s="8" t="str">
        <f>IFERROR(__xludf.DUMMYFUNCTION("""COMPUTED_VALUE"""),"")</f>
        <v/>
      </c>
      <c r="C231" s="8" t="str">
        <f>IFERROR(__xludf.DUMMYFUNCTION("""COMPUTED_VALUE"""),"")</f>
        <v/>
      </c>
      <c r="D231" s="8" t="str">
        <f>IFERROR(__xludf.DUMMYFUNCTION("""COMPUTED_VALUE"""),"")</f>
        <v/>
      </c>
      <c r="E231" s="8" t="str">
        <f>IFERROR(__xludf.DUMMYFUNCTION("""COMPUTED_VALUE"""),"")</f>
        <v/>
      </c>
      <c r="F231" s="8" t="str">
        <f>IFERROR(__xludf.DUMMYFUNCTION("""COMPUTED_VALUE"""),"")</f>
        <v/>
      </c>
      <c r="G231" s="8" t="str">
        <f>IFERROR(__xludf.DUMMYFUNCTION("""COMPUTED_VALUE"""),"")</f>
        <v/>
      </c>
      <c r="L231" s="8" t="s">
        <v>299</v>
      </c>
    </row>
    <row r="232">
      <c r="A232" s="10"/>
      <c r="B232" s="8" t="str">
        <f>IFERROR(__xludf.DUMMYFUNCTION("""COMPUTED_VALUE"""),"")</f>
        <v/>
      </c>
      <c r="C232" s="8" t="str">
        <f>IFERROR(__xludf.DUMMYFUNCTION("""COMPUTED_VALUE"""),"")</f>
        <v/>
      </c>
      <c r="D232" s="8" t="str">
        <f>IFERROR(__xludf.DUMMYFUNCTION("""COMPUTED_VALUE"""),"")</f>
        <v/>
      </c>
      <c r="E232" s="8" t="str">
        <f>IFERROR(__xludf.DUMMYFUNCTION("""COMPUTED_VALUE"""),"")</f>
        <v/>
      </c>
      <c r="F232" s="8" t="str">
        <f>IFERROR(__xludf.DUMMYFUNCTION("""COMPUTED_VALUE"""),"")</f>
        <v/>
      </c>
      <c r="G232" s="8" t="str">
        <f>IFERROR(__xludf.DUMMYFUNCTION("""COMPUTED_VALUE"""),"")</f>
        <v/>
      </c>
      <c r="L232" s="8" t="s">
        <v>299</v>
      </c>
    </row>
    <row r="233">
      <c r="A233" s="10"/>
      <c r="B233" s="8" t="str">
        <f>IFERROR(__xludf.DUMMYFUNCTION("""COMPUTED_VALUE"""),"")</f>
        <v/>
      </c>
      <c r="C233" s="8" t="str">
        <f>IFERROR(__xludf.DUMMYFUNCTION("""COMPUTED_VALUE"""),"")</f>
        <v/>
      </c>
      <c r="D233" s="8" t="str">
        <f>IFERROR(__xludf.DUMMYFUNCTION("""COMPUTED_VALUE"""),"")</f>
        <v/>
      </c>
      <c r="E233" s="8" t="str">
        <f>IFERROR(__xludf.DUMMYFUNCTION("""COMPUTED_VALUE"""),"")</f>
        <v/>
      </c>
      <c r="F233" s="8" t="str">
        <f>IFERROR(__xludf.DUMMYFUNCTION("""COMPUTED_VALUE"""),"")</f>
        <v/>
      </c>
      <c r="G233" s="8" t="str">
        <f>IFERROR(__xludf.DUMMYFUNCTION("""COMPUTED_VALUE"""),"")</f>
        <v/>
      </c>
      <c r="L233" s="8" t="s">
        <v>299</v>
      </c>
    </row>
    <row r="234">
      <c r="A234" s="10"/>
      <c r="B234" s="8" t="str">
        <f>IFERROR(__xludf.DUMMYFUNCTION("""COMPUTED_VALUE"""),"")</f>
        <v/>
      </c>
      <c r="C234" s="8" t="str">
        <f>IFERROR(__xludf.DUMMYFUNCTION("""COMPUTED_VALUE"""),"")</f>
        <v/>
      </c>
      <c r="D234" s="8" t="str">
        <f>IFERROR(__xludf.DUMMYFUNCTION("""COMPUTED_VALUE"""),"")</f>
        <v/>
      </c>
      <c r="E234" s="8" t="str">
        <f>IFERROR(__xludf.DUMMYFUNCTION("""COMPUTED_VALUE"""),"")</f>
        <v/>
      </c>
      <c r="F234" s="8" t="str">
        <f>IFERROR(__xludf.DUMMYFUNCTION("""COMPUTED_VALUE"""),"")</f>
        <v/>
      </c>
      <c r="G234" s="8" t="str">
        <f>IFERROR(__xludf.DUMMYFUNCTION("""COMPUTED_VALUE"""),"")</f>
        <v/>
      </c>
      <c r="L234" s="8" t="s">
        <v>299</v>
      </c>
    </row>
    <row r="235">
      <c r="A235" s="10"/>
      <c r="B235" s="8" t="str">
        <f>IFERROR(__xludf.DUMMYFUNCTION("""COMPUTED_VALUE"""),"")</f>
        <v/>
      </c>
      <c r="C235" s="8" t="str">
        <f>IFERROR(__xludf.DUMMYFUNCTION("""COMPUTED_VALUE"""),"")</f>
        <v/>
      </c>
      <c r="D235" s="8" t="str">
        <f>IFERROR(__xludf.DUMMYFUNCTION("""COMPUTED_VALUE"""),"")</f>
        <v/>
      </c>
      <c r="E235" s="8" t="str">
        <f>IFERROR(__xludf.DUMMYFUNCTION("""COMPUTED_VALUE"""),"")</f>
        <v/>
      </c>
      <c r="F235" s="8" t="str">
        <f>IFERROR(__xludf.DUMMYFUNCTION("""COMPUTED_VALUE"""),"")</f>
        <v/>
      </c>
      <c r="G235" s="8" t="str">
        <f>IFERROR(__xludf.DUMMYFUNCTION("""COMPUTED_VALUE"""),"")</f>
        <v/>
      </c>
      <c r="L235" s="8" t="s">
        <v>299</v>
      </c>
    </row>
    <row r="236">
      <c r="A236" s="10"/>
      <c r="B236" s="8" t="str">
        <f>IFERROR(__xludf.DUMMYFUNCTION("""COMPUTED_VALUE"""),"")</f>
        <v/>
      </c>
      <c r="C236" s="8" t="str">
        <f>IFERROR(__xludf.DUMMYFUNCTION("""COMPUTED_VALUE"""),"")</f>
        <v/>
      </c>
      <c r="D236" s="8" t="str">
        <f>IFERROR(__xludf.DUMMYFUNCTION("""COMPUTED_VALUE"""),"")</f>
        <v/>
      </c>
      <c r="E236" s="8" t="str">
        <f>IFERROR(__xludf.DUMMYFUNCTION("""COMPUTED_VALUE"""),"")</f>
        <v/>
      </c>
      <c r="F236" s="8" t="str">
        <f>IFERROR(__xludf.DUMMYFUNCTION("""COMPUTED_VALUE"""),"")</f>
        <v/>
      </c>
      <c r="G236" s="8" t="str">
        <f>IFERROR(__xludf.DUMMYFUNCTION("""COMPUTED_VALUE"""),"")</f>
        <v/>
      </c>
      <c r="L236" s="8" t="s">
        <v>299</v>
      </c>
    </row>
    <row r="237">
      <c r="A237" s="10"/>
      <c r="B237" s="8" t="str">
        <f>IFERROR(__xludf.DUMMYFUNCTION("""COMPUTED_VALUE"""),"")</f>
        <v/>
      </c>
      <c r="C237" s="8" t="str">
        <f>IFERROR(__xludf.DUMMYFUNCTION("""COMPUTED_VALUE"""),"")</f>
        <v/>
      </c>
      <c r="D237" s="8" t="str">
        <f>IFERROR(__xludf.DUMMYFUNCTION("""COMPUTED_VALUE"""),"")</f>
        <v/>
      </c>
      <c r="E237" s="8" t="str">
        <f>IFERROR(__xludf.DUMMYFUNCTION("""COMPUTED_VALUE"""),"")</f>
        <v/>
      </c>
      <c r="F237" s="8" t="str">
        <f>IFERROR(__xludf.DUMMYFUNCTION("""COMPUTED_VALUE"""),"")</f>
        <v/>
      </c>
      <c r="G237" s="8" t="str">
        <f>IFERROR(__xludf.DUMMYFUNCTION("""COMPUTED_VALUE"""),"")</f>
        <v/>
      </c>
      <c r="L237" s="8" t="s">
        <v>299</v>
      </c>
    </row>
    <row r="238">
      <c r="A238" s="10"/>
      <c r="B238" s="8" t="str">
        <f>IFERROR(__xludf.DUMMYFUNCTION("""COMPUTED_VALUE"""),"")</f>
        <v/>
      </c>
      <c r="C238" s="8" t="str">
        <f>IFERROR(__xludf.DUMMYFUNCTION("""COMPUTED_VALUE"""),"")</f>
        <v/>
      </c>
      <c r="D238" s="8" t="str">
        <f>IFERROR(__xludf.DUMMYFUNCTION("""COMPUTED_VALUE"""),"")</f>
        <v/>
      </c>
      <c r="E238" s="8" t="str">
        <f>IFERROR(__xludf.DUMMYFUNCTION("""COMPUTED_VALUE"""),"")</f>
        <v/>
      </c>
      <c r="F238" s="8" t="str">
        <f>IFERROR(__xludf.DUMMYFUNCTION("""COMPUTED_VALUE"""),"")</f>
        <v/>
      </c>
      <c r="G238" s="8" t="str">
        <f>IFERROR(__xludf.DUMMYFUNCTION("""COMPUTED_VALUE"""),"")</f>
        <v/>
      </c>
      <c r="L238" s="8" t="s">
        <v>299</v>
      </c>
    </row>
    <row r="239">
      <c r="A239" s="10"/>
      <c r="B239" s="8" t="str">
        <f>IFERROR(__xludf.DUMMYFUNCTION("""COMPUTED_VALUE"""),"")</f>
        <v/>
      </c>
      <c r="C239" s="8" t="str">
        <f>IFERROR(__xludf.DUMMYFUNCTION("""COMPUTED_VALUE"""),"")</f>
        <v/>
      </c>
      <c r="D239" s="8" t="str">
        <f>IFERROR(__xludf.DUMMYFUNCTION("""COMPUTED_VALUE"""),"")</f>
        <v/>
      </c>
      <c r="E239" s="8" t="str">
        <f>IFERROR(__xludf.DUMMYFUNCTION("""COMPUTED_VALUE"""),"")</f>
        <v/>
      </c>
      <c r="F239" s="8" t="str">
        <f>IFERROR(__xludf.DUMMYFUNCTION("""COMPUTED_VALUE"""),"")</f>
        <v/>
      </c>
      <c r="G239" s="8" t="str">
        <f>IFERROR(__xludf.DUMMYFUNCTION("""COMPUTED_VALUE"""),"")</f>
        <v/>
      </c>
      <c r="L239" s="8" t="s">
        <v>299</v>
      </c>
    </row>
    <row r="240">
      <c r="A240" s="10"/>
      <c r="B240" s="8" t="str">
        <f>IFERROR(__xludf.DUMMYFUNCTION("""COMPUTED_VALUE"""),"")</f>
        <v/>
      </c>
      <c r="C240" s="8" t="str">
        <f>IFERROR(__xludf.DUMMYFUNCTION("""COMPUTED_VALUE"""),"")</f>
        <v/>
      </c>
      <c r="D240" s="8" t="str">
        <f>IFERROR(__xludf.DUMMYFUNCTION("""COMPUTED_VALUE"""),"")</f>
        <v/>
      </c>
      <c r="E240" s="8" t="str">
        <f>IFERROR(__xludf.DUMMYFUNCTION("""COMPUTED_VALUE"""),"")</f>
        <v/>
      </c>
      <c r="F240" s="8" t="str">
        <f>IFERROR(__xludf.DUMMYFUNCTION("""COMPUTED_VALUE"""),"")</f>
        <v/>
      </c>
      <c r="G240" s="8" t="str">
        <f>IFERROR(__xludf.DUMMYFUNCTION("""COMPUTED_VALUE"""),"")</f>
        <v/>
      </c>
      <c r="L240" s="8" t="s">
        <v>299</v>
      </c>
    </row>
    <row r="241">
      <c r="A241" s="10"/>
      <c r="B241" s="8" t="str">
        <f>IFERROR(__xludf.DUMMYFUNCTION("""COMPUTED_VALUE"""),"")</f>
        <v/>
      </c>
      <c r="C241" s="8" t="str">
        <f>IFERROR(__xludf.DUMMYFUNCTION("""COMPUTED_VALUE"""),"")</f>
        <v/>
      </c>
      <c r="D241" s="8" t="str">
        <f>IFERROR(__xludf.DUMMYFUNCTION("""COMPUTED_VALUE"""),"")</f>
        <v/>
      </c>
      <c r="E241" s="8" t="str">
        <f>IFERROR(__xludf.DUMMYFUNCTION("""COMPUTED_VALUE"""),"")</f>
        <v/>
      </c>
      <c r="F241" s="8" t="str">
        <f>IFERROR(__xludf.DUMMYFUNCTION("""COMPUTED_VALUE"""),"")</f>
        <v/>
      </c>
      <c r="G241" s="8" t="str">
        <f>IFERROR(__xludf.DUMMYFUNCTION("""COMPUTED_VALUE"""),"")</f>
        <v/>
      </c>
      <c r="L241" s="8" t="s">
        <v>299</v>
      </c>
    </row>
    <row r="242">
      <c r="A242" s="10"/>
      <c r="B242" s="8" t="str">
        <f>IFERROR(__xludf.DUMMYFUNCTION("""COMPUTED_VALUE"""),"")</f>
        <v/>
      </c>
      <c r="C242" s="8" t="str">
        <f>IFERROR(__xludf.DUMMYFUNCTION("""COMPUTED_VALUE"""),"")</f>
        <v/>
      </c>
      <c r="D242" s="8" t="str">
        <f>IFERROR(__xludf.DUMMYFUNCTION("""COMPUTED_VALUE"""),"")</f>
        <v/>
      </c>
      <c r="E242" s="8" t="str">
        <f>IFERROR(__xludf.DUMMYFUNCTION("""COMPUTED_VALUE"""),"")</f>
        <v/>
      </c>
      <c r="F242" s="8" t="str">
        <f>IFERROR(__xludf.DUMMYFUNCTION("""COMPUTED_VALUE"""),"")</f>
        <v/>
      </c>
      <c r="G242" s="8" t="str">
        <f>IFERROR(__xludf.DUMMYFUNCTION("""COMPUTED_VALUE"""),"")</f>
        <v/>
      </c>
      <c r="L242" s="8" t="s">
        <v>299</v>
      </c>
    </row>
    <row r="243">
      <c r="A243" s="10"/>
      <c r="B243" s="8" t="str">
        <f>IFERROR(__xludf.DUMMYFUNCTION("""COMPUTED_VALUE"""),"")</f>
        <v/>
      </c>
      <c r="C243" s="8" t="str">
        <f>IFERROR(__xludf.DUMMYFUNCTION("""COMPUTED_VALUE"""),"")</f>
        <v/>
      </c>
      <c r="D243" s="8" t="str">
        <f>IFERROR(__xludf.DUMMYFUNCTION("""COMPUTED_VALUE"""),"")</f>
        <v/>
      </c>
      <c r="E243" s="8" t="str">
        <f>IFERROR(__xludf.DUMMYFUNCTION("""COMPUTED_VALUE"""),"")</f>
        <v/>
      </c>
      <c r="F243" s="8" t="str">
        <f>IFERROR(__xludf.DUMMYFUNCTION("""COMPUTED_VALUE"""),"")</f>
        <v/>
      </c>
      <c r="G243" s="8" t="str">
        <f>IFERROR(__xludf.DUMMYFUNCTION("""COMPUTED_VALUE"""),"")</f>
        <v/>
      </c>
      <c r="L243" s="8" t="s">
        <v>299</v>
      </c>
    </row>
    <row r="244">
      <c r="A244" s="10"/>
      <c r="B244" s="8" t="str">
        <f>IFERROR(__xludf.DUMMYFUNCTION("""COMPUTED_VALUE"""),"")</f>
        <v/>
      </c>
      <c r="C244" s="8" t="str">
        <f>IFERROR(__xludf.DUMMYFUNCTION("""COMPUTED_VALUE"""),"")</f>
        <v/>
      </c>
      <c r="D244" s="8" t="str">
        <f>IFERROR(__xludf.DUMMYFUNCTION("""COMPUTED_VALUE"""),"")</f>
        <v/>
      </c>
      <c r="E244" s="8" t="str">
        <f>IFERROR(__xludf.DUMMYFUNCTION("""COMPUTED_VALUE"""),"")</f>
        <v/>
      </c>
      <c r="F244" s="8" t="str">
        <f>IFERROR(__xludf.DUMMYFUNCTION("""COMPUTED_VALUE"""),"")</f>
        <v/>
      </c>
      <c r="G244" s="8" t="str">
        <f>IFERROR(__xludf.DUMMYFUNCTION("""COMPUTED_VALUE"""),"")</f>
        <v/>
      </c>
      <c r="L244" s="8" t="s">
        <v>299</v>
      </c>
    </row>
    <row r="245">
      <c r="A245" s="10"/>
      <c r="B245" s="8" t="str">
        <f>IFERROR(__xludf.DUMMYFUNCTION("""COMPUTED_VALUE"""),"")</f>
        <v/>
      </c>
      <c r="C245" s="8" t="str">
        <f>IFERROR(__xludf.DUMMYFUNCTION("""COMPUTED_VALUE"""),"")</f>
        <v/>
      </c>
      <c r="D245" s="8" t="str">
        <f>IFERROR(__xludf.DUMMYFUNCTION("""COMPUTED_VALUE"""),"")</f>
        <v/>
      </c>
      <c r="E245" s="8" t="str">
        <f>IFERROR(__xludf.DUMMYFUNCTION("""COMPUTED_VALUE"""),"")</f>
        <v/>
      </c>
      <c r="F245" s="8" t="str">
        <f>IFERROR(__xludf.DUMMYFUNCTION("""COMPUTED_VALUE"""),"")</f>
        <v/>
      </c>
      <c r="G245" s="8" t="str">
        <f>IFERROR(__xludf.DUMMYFUNCTION("""COMPUTED_VALUE"""),"")</f>
        <v/>
      </c>
      <c r="L245" s="8" t="s">
        <v>299</v>
      </c>
    </row>
    <row r="246">
      <c r="A246" s="10"/>
      <c r="B246" s="8" t="str">
        <f>IFERROR(__xludf.DUMMYFUNCTION("""COMPUTED_VALUE"""),"")</f>
        <v/>
      </c>
      <c r="C246" s="8" t="str">
        <f>IFERROR(__xludf.DUMMYFUNCTION("""COMPUTED_VALUE"""),"")</f>
        <v/>
      </c>
      <c r="D246" s="8" t="str">
        <f>IFERROR(__xludf.DUMMYFUNCTION("""COMPUTED_VALUE"""),"")</f>
        <v/>
      </c>
      <c r="E246" s="8" t="str">
        <f>IFERROR(__xludf.DUMMYFUNCTION("""COMPUTED_VALUE"""),"")</f>
        <v/>
      </c>
      <c r="F246" s="8" t="str">
        <f>IFERROR(__xludf.DUMMYFUNCTION("""COMPUTED_VALUE"""),"")</f>
        <v/>
      </c>
      <c r="G246" s="8" t="str">
        <f>IFERROR(__xludf.DUMMYFUNCTION("""COMPUTED_VALUE"""),"")</f>
        <v/>
      </c>
      <c r="L246" s="8" t="s">
        <v>299</v>
      </c>
    </row>
    <row r="247">
      <c r="A247" s="10"/>
      <c r="B247" s="8" t="str">
        <f>IFERROR(__xludf.DUMMYFUNCTION("""COMPUTED_VALUE"""),"")</f>
        <v/>
      </c>
      <c r="C247" s="8" t="str">
        <f>IFERROR(__xludf.DUMMYFUNCTION("""COMPUTED_VALUE"""),"")</f>
        <v/>
      </c>
      <c r="D247" s="8" t="str">
        <f>IFERROR(__xludf.DUMMYFUNCTION("""COMPUTED_VALUE"""),"")</f>
        <v/>
      </c>
      <c r="E247" s="8" t="str">
        <f>IFERROR(__xludf.DUMMYFUNCTION("""COMPUTED_VALUE"""),"")</f>
        <v/>
      </c>
      <c r="F247" s="8" t="str">
        <f>IFERROR(__xludf.DUMMYFUNCTION("""COMPUTED_VALUE"""),"")</f>
        <v/>
      </c>
      <c r="G247" s="8" t="str">
        <f>IFERROR(__xludf.DUMMYFUNCTION("""COMPUTED_VALUE"""),"")</f>
        <v/>
      </c>
      <c r="L247" s="8" t="s">
        <v>299</v>
      </c>
    </row>
    <row r="248">
      <c r="A248" s="10"/>
      <c r="B248" s="8" t="str">
        <f>IFERROR(__xludf.DUMMYFUNCTION("""COMPUTED_VALUE"""),"")</f>
        <v/>
      </c>
      <c r="C248" s="8" t="str">
        <f>IFERROR(__xludf.DUMMYFUNCTION("""COMPUTED_VALUE"""),"")</f>
        <v/>
      </c>
      <c r="D248" s="8" t="str">
        <f>IFERROR(__xludf.DUMMYFUNCTION("""COMPUTED_VALUE"""),"")</f>
        <v/>
      </c>
      <c r="E248" s="8" t="str">
        <f>IFERROR(__xludf.DUMMYFUNCTION("""COMPUTED_VALUE"""),"")</f>
        <v/>
      </c>
      <c r="F248" s="8" t="str">
        <f>IFERROR(__xludf.DUMMYFUNCTION("""COMPUTED_VALUE"""),"")</f>
        <v/>
      </c>
      <c r="G248" s="8" t="str">
        <f>IFERROR(__xludf.DUMMYFUNCTION("""COMPUTED_VALUE"""),"")</f>
        <v/>
      </c>
      <c r="L248" s="8" t="s">
        <v>299</v>
      </c>
    </row>
    <row r="249">
      <c r="A249" s="10"/>
      <c r="B249" s="8" t="str">
        <f>IFERROR(__xludf.DUMMYFUNCTION("""COMPUTED_VALUE"""),"")</f>
        <v/>
      </c>
      <c r="C249" s="8" t="str">
        <f>IFERROR(__xludf.DUMMYFUNCTION("""COMPUTED_VALUE"""),"")</f>
        <v/>
      </c>
      <c r="D249" s="8" t="str">
        <f>IFERROR(__xludf.DUMMYFUNCTION("""COMPUTED_VALUE"""),"")</f>
        <v/>
      </c>
      <c r="E249" s="8" t="str">
        <f>IFERROR(__xludf.DUMMYFUNCTION("""COMPUTED_VALUE"""),"")</f>
        <v/>
      </c>
      <c r="F249" s="8" t="str">
        <f>IFERROR(__xludf.DUMMYFUNCTION("""COMPUTED_VALUE"""),"")</f>
        <v/>
      </c>
      <c r="G249" s="8" t="str">
        <f>IFERROR(__xludf.DUMMYFUNCTION("""COMPUTED_VALUE"""),"")</f>
        <v/>
      </c>
      <c r="L249" s="8" t="s">
        <v>299</v>
      </c>
    </row>
    <row r="250">
      <c r="A250" s="10"/>
      <c r="B250" s="8" t="str">
        <f>IFERROR(__xludf.DUMMYFUNCTION("""COMPUTED_VALUE"""),"")</f>
        <v/>
      </c>
      <c r="C250" s="8" t="str">
        <f>IFERROR(__xludf.DUMMYFUNCTION("""COMPUTED_VALUE"""),"")</f>
        <v/>
      </c>
      <c r="D250" s="8" t="str">
        <f>IFERROR(__xludf.DUMMYFUNCTION("""COMPUTED_VALUE"""),"")</f>
        <v/>
      </c>
      <c r="E250" s="8" t="str">
        <f>IFERROR(__xludf.DUMMYFUNCTION("""COMPUTED_VALUE"""),"")</f>
        <v/>
      </c>
      <c r="F250" s="8" t="str">
        <f>IFERROR(__xludf.DUMMYFUNCTION("""COMPUTED_VALUE"""),"")</f>
        <v/>
      </c>
      <c r="G250" s="8" t="str">
        <f>IFERROR(__xludf.DUMMYFUNCTION("""COMPUTED_VALUE"""),"")</f>
        <v/>
      </c>
      <c r="L250" s="8" t="s">
        <v>299</v>
      </c>
    </row>
    <row r="251">
      <c r="A251" s="10"/>
      <c r="B251" s="8" t="str">
        <f>IFERROR(__xludf.DUMMYFUNCTION("""COMPUTED_VALUE"""),"")</f>
        <v/>
      </c>
      <c r="C251" s="8" t="str">
        <f>IFERROR(__xludf.DUMMYFUNCTION("""COMPUTED_VALUE"""),"")</f>
        <v/>
      </c>
      <c r="D251" s="8" t="str">
        <f>IFERROR(__xludf.DUMMYFUNCTION("""COMPUTED_VALUE"""),"")</f>
        <v/>
      </c>
      <c r="E251" s="8" t="str">
        <f>IFERROR(__xludf.DUMMYFUNCTION("""COMPUTED_VALUE"""),"")</f>
        <v/>
      </c>
      <c r="F251" s="8" t="str">
        <f>IFERROR(__xludf.DUMMYFUNCTION("""COMPUTED_VALUE"""),"")</f>
        <v/>
      </c>
      <c r="G251" s="8" t="str">
        <f>IFERROR(__xludf.DUMMYFUNCTION("""COMPUTED_VALUE"""),"")</f>
        <v/>
      </c>
      <c r="L251" s="8" t="s">
        <v>299</v>
      </c>
    </row>
    <row r="252">
      <c r="A252" s="10"/>
      <c r="B252" s="8" t="str">
        <f>IFERROR(__xludf.DUMMYFUNCTION("""COMPUTED_VALUE"""),"")</f>
        <v/>
      </c>
      <c r="C252" s="8" t="str">
        <f>IFERROR(__xludf.DUMMYFUNCTION("""COMPUTED_VALUE"""),"")</f>
        <v/>
      </c>
      <c r="D252" s="8" t="str">
        <f>IFERROR(__xludf.DUMMYFUNCTION("""COMPUTED_VALUE"""),"")</f>
        <v/>
      </c>
      <c r="E252" s="8" t="str">
        <f>IFERROR(__xludf.DUMMYFUNCTION("""COMPUTED_VALUE"""),"")</f>
        <v/>
      </c>
      <c r="F252" s="8" t="str">
        <f>IFERROR(__xludf.DUMMYFUNCTION("""COMPUTED_VALUE"""),"")</f>
        <v/>
      </c>
      <c r="G252" s="8" t="str">
        <f>IFERROR(__xludf.DUMMYFUNCTION("""COMPUTED_VALUE"""),"")</f>
        <v/>
      </c>
      <c r="L252" s="8" t="s">
        <v>299</v>
      </c>
    </row>
    <row r="253">
      <c r="A253" s="10"/>
      <c r="B253" s="8" t="str">
        <f>IFERROR(__xludf.DUMMYFUNCTION("""COMPUTED_VALUE"""),"")</f>
        <v/>
      </c>
      <c r="C253" s="8" t="str">
        <f>IFERROR(__xludf.DUMMYFUNCTION("""COMPUTED_VALUE"""),"")</f>
        <v/>
      </c>
      <c r="D253" s="8" t="str">
        <f>IFERROR(__xludf.DUMMYFUNCTION("""COMPUTED_VALUE"""),"")</f>
        <v/>
      </c>
      <c r="E253" s="8" t="str">
        <f>IFERROR(__xludf.DUMMYFUNCTION("""COMPUTED_VALUE"""),"")</f>
        <v/>
      </c>
      <c r="F253" s="8" t="str">
        <f>IFERROR(__xludf.DUMMYFUNCTION("""COMPUTED_VALUE"""),"")</f>
        <v/>
      </c>
      <c r="G253" s="8" t="str">
        <f>IFERROR(__xludf.DUMMYFUNCTION("""COMPUTED_VALUE"""),"")</f>
        <v/>
      </c>
      <c r="L253" s="8" t="s">
        <v>299</v>
      </c>
    </row>
    <row r="254">
      <c r="A254" s="10"/>
      <c r="B254" s="8" t="str">
        <f>IFERROR(__xludf.DUMMYFUNCTION("""COMPUTED_VALUE"""),"")</f>
        <v/>
      </c>
      <c r="C254" s="8" t="str">
        <f>IFERROR(__xludf.DUMMYFUNCTION("""COMPUTED_VALUE"""),"")</f>
        <v/>
      </c>
      <c r="D254" s="8" t="str">
        <f>IFERROR(__xludf.DUMMYFUNCTION("""COMPUTED_VALUE"""),"")</f>
        <v/>
      </c>
      <c r="E254" s="8" t="str">
        <f>IFERROR(__xludf.DUMMYFUNCTION("""COMPUTED_VALUE"""),"")</f>
        <v/>
      </c>
      <c r="F254" s="8" t="str">
        <f>IFERROR(__xludf.DUMMYFUNCTION("""COMPUTED_VALUE"""),"")</f>
        <v/>
      </c>
      <c r="G254" s="8" t="str">
        <f>IFERROR(__xludf.DUMMYFUNCTION("""COMPUTED_VALUE"""),"")</f>
        <v/>
      </c>
      <c r="L254" s="8" t="s">
        <v>299</v>
      </c>
    </row>
    <row r="255">
      <c r="A255" s="10"/>
      <c r="B255" s="8" t="str">
        <f>IFERROR(__xludf.DUMMYFUNCTION("""COMPUTED_VALUE"""),"")</f>
        <v/>
      </c>
      <c r="C255" s="8" t="str">
        <f>IFERROR(__xludf.DUMMYFUNCTION("""COMPUTED_VALUE"""),"")</f>
        <v/>
      </c>
      <c r="D255" s="8" t="str">
        <f>IFERROR(__xludf.DUMMYFUNCTION("""COMPUTED_VALUE"""),"")</f>
        <v/>
      </c>
      <c r="E255" s="8" t="str">
        <f>IFERROR(__xludf.DUMMYFUNCTION("""COMPUTED_VALUE"""),"")</f>
        <v/>
      </c>
      <c r="F255" s="8" t="str">
        <f>IFERROR(__xludf.DUMMYFUNCTION("""COMPUTED_VALUE"""),"")</f>
        <v/>
      </c>
      <c r="G255" s="8" t="str">
        <f>IFERROR(__xludf.DUMMYFUNCTION("""COMPUTED_VALUE"""),"")</f>
        <v/>
      </c>
      <c r="L255" s="8" t="s">
        <v>299</v>
      </c>
    </row>
    <row r="256">
      <c r="A256" s="10"/>
      <c r="B256" s="8" t="str">
        <f>IFERROR(__xludf.DUMMYFUNCTION("""COMPUTED_VALUE"""),"")</f>
        <v/>
      </c>
      <c r="C256" s="8" t="str">
        <f>IFERROR(__xludf.DUMMYFUNCTION("""COMPUTED_VALUE"""),"")</f>
        <v/>
      </c>
      <c r="D256" s="8" t="str">
        <f>IFERROR(__xludf.DUMMYFUNCTION("""COMPUTED_VALUE"""),"")</f>
        <v/>
      </c>
      <c r="E256" s="8" t="str">
        <f>IFERROR(__xludf.DUMMYFUNCTION("""COMPUTED_VALUE"""),"")</f>
        <v/>
      </c>
      <c r="F256" s="8" t="str">
        <f>IFERROR(__xludf.DUMMYFUNCTION("""COMPUTED_VALUE"""),"")</f>
        <v/>
      </c>
      <c r="G256" s="8" t="str">
        <f>IFERROR(__xludf.DUMMYFUNCTION("""COMPUTED_VALUE"""),"")</f>
        <v/>
      </c>
      <c r="L256" s="8" t="s">
        <v>299</v>
      </c>
    </row>
    <row r="257">
      <c r="A257" s="10"/>
      <c r="B257" s="8" t="str">
        <f>IFERROR(__xludf.DUMMYFUNCTION("""COMPUTED_VALUE"""),"")</f>
        <v/>
      </c>
      <c r="C257" s="8" t="str">
        <f>IFERROR(__xludf.DUMMYFUNCTION("""COMPUTED_VALUE"""),"")</f>
        <v/>
      </c>
      <c r="D257" s="8" t="str">
        <f>IFERROR(__xludf.DUMMYFUNCTION("""COMPUTED_VALUE"""),"")</f>
        <v/>
      </c>
      <c r="E257" s="8" t="str">
        <f>IFERROR(__xludf.DUMMYFUNCTION("""COMPUTED_VALUE"""),"")</f>
        <v/>
      </c>
      <c r="F257" s="8" t="str">
        <f>IFERROR(__xludf.DUMMYFUNCTION("""COMPUTED_VALUE"""),"")</f>
        <v/>
      </c>
      <c r="G257" s="8" t="str">
        <f>IFERROR(__xludf.DUMMYFUNCTION("""COMPUTED_VALUE"""),"")</f>
        <v/>
      </c>
      <c r="L257" s="8" t="s">
        <v>299</v>
      </c>
    </row>
    <row r="258">
      <c r="A258" s="10"/>
      <c r="B258" s="8" t="str">
        <f>IFERROR(__xludf.DUMMYFUNCTION("""COMPUTED_VALUE"""),"")</f>
        <v/>
      </c>
      <c r="C258" s="8" t="str">
        <f>IFERROR(__xludf.DUMMYFUNCTION("""COMPUTED_VALUE"""),"")</f>
        <v/>
      </c>
      <c r="D258" s="8" t="str">
        <f>IFERROR(__xludf.DUMMYFUNCTION("""COMPUTED_VALUE"""),"")</f>
        <v/>
      </c>
      <c r="E258" s="8" t="str">
        <f>IFERROR(__xludf.DUMMYFUNCTION("""COMPUTED_VALUE"""),"")</f>
        <v/>
      </c>
      <c r="F258" s="8" t="str">
        <f>IFERROR(__xludf.DUMMYFUNCTION("""COMPUTED_VALUE"""),"")</f>
        <v/>
      </c>
      <c r="G258" s="8" t="str">
        <f>IFERROR(__xludf.DUMMYFUNCTION("""COMPUTED_VALUE"""),"")</f>
        <v/>
      </c>
      <c r="L258" s="8" t="s">
        <v>299</v>
      </c>
    </row>
    <row r="259">
      <c r="A259" s="10"/>
      <c r="B259" s="8" t="str">
        <f>IFERROR(__xludf.DUMMYFUNCTION("""COMPUTED_VALUE"""),"")</f>
        <v/>
      </c>
      <c r="C259" s="8" t="str">
        <f>IFERROR(__xludf.DUMMYFUNCTION("""COMPUTED_VALUE"""),"")</f>
        <v/>
      </c>
      <c r="D259" s="8" t="str">
        <f>IFERROR(__xludf.DUMMYFUNCTION("""COMPUTED_VALUE"""),"")</f>
        <v/>
      </c>
      <c r="E259" s="8" t="str">
        <f>IFERROR(__xludf.DUMMYFUNCTION("""COMPUTED_VALUE"""),"")</f>
        <v/>
      </c>
      <c r="F259" s="8" t="str">
        <f>IFERROR(__xludf.DUMMYFUNCTION("""COMPUTED_VALUE"""),"")</f>
        <v/>
      </c>
      <c r="G259" s="8" t="str">
        <f>IFERROR(__xludf.DUMMYFUNCTION("""COMPUTED_VALUE"""),"")</f>
        <v/>
      </c>
      <c r="L259" s="8" t="s">
        <v>299</v>
      </c>
    </row>
    <row r="260">
      <c r="A260" s="10"/>
      <c r="B260" s="8" t="str">
        <f>IFERROR(__xludf.DUMMYFUNCTION("""COMPUTED_VALUE"""),"")</f>
        <v/>
      </c>
      <c r="C260" s="8" t="str">
        <f>IFERROR(__xludf.DUMMYFUNCTION("""COMPUTED_VALUE"""),"")</f>
        <v/>
      </c>
      <c r="D260" s="8" t="str">
        <f>IFERROR(__xludf.DUMMYFUNCTION("""COMPUTED_VALUE"""),"")</f>
        <v/>
      </c>
      <c r="E260" s="8" t="str">
        <f>IFERROR(__xludf.DUMMYFUNCTION("""COMPUTED_VALUE"""),"")</f>
        <v/>
      </c>
      <c r="F260" s="8" t="str">
        <f>IFERROR(__xludf.DUMMYFUNCTION("""COMPUTED_VALUE"""),"")</f>
        <v/>
      </c>
      <c r="G260" s="8" t="str">
        <f>IFERROR(__xludf.DUMMYFUNCTION("""COMPUTED_VALUE"""),"")</f>
        <v/>
      </c>
      <c r="L260" s="8" t="s">
        <v>299</v>
      </c>
    </row>
    <row r="261">
      <c r="A261" s="10"/>
      <c r="B261" s="8" t="str">
        <f>IFERROR(__xludf.DUMMYFUNCTION("""COMPUTED_VALUE"""),"")</f>
        <v/>
      </c>
      <c r="C261" s="8" t="str">
        <f>IFERROR(__xludf.DUMMYFUNCTION("""COMPUTED_VALUE"""),"")</f>
        <v/>
      </c>
      <c r="D261" s="8" t="str">
        <f>IFERROR(__xludf.DUMMYFUNCTION("""COMPUTED_VALUE"""),"")</f>
        <v/>
      </c>
      <c r="E261" s="8" t="str">
        <f>IFERROR(__xludf.DUMMYFUNCTION("""COMPUTED_VALUE"""),"")</f>
        <v/>
      </c>
      <c r="F261" s="8" t="str">
        <f>IFERROR(__xludf.DUMMYFUNCTION("""COMPUTED_VALUE"""),"")</f>
        <v/>
      </c>
      <c r="G261" s="8" t="str">
        <f>IFERROR(__xludf.DUMMYFUNCTION("""COMPUTED_VALUE"""),"")</f>
        <v/>
      </c>
      <c r="L261" s="8" t="s">
        <v>299</v>
      </c>
    </row>
    <row r="262">
      <c r="A262" s="10"/>
      <c r="B262" s="8" t="str">
        <f>IFERROR(__xludf.DUMMYFUNCTION("""COMPUTED_VALUE"""),"")</f>
        <v/>
      </c>
      <c r="C262" s="8" t="str">
        <f>IFERROR(__xludf.DUMMYFUNCTION("""COMPUTED_VALUE"""),"")</f>
        <v/>
      </c>
      <c r="D262" s="8" t="str">
        <f>IFERROR(__xludf.DUMMYFUNCTION("""COMPUTED_VALUE"""),"")</f>
        <v/>
      </c>
      <c r="E262" s="8" t="str">
        <f>IFERROR(__xludf.DUMMYFUNCTION("""COMPUTED_VALUE"""),"")</f>
        <v/>
      </c>
      <c r="F262" s="8" t="str">
        <f>IFERROR(__xludf.DUMMYFUNCTION("""COMPUTED_VALUE"""),"")</f>
        <v/>
      </c>
      <c r="G262" s="8" t="str">
        <f>IFERROR(__xludf.DUMMYFUNCTION("""COMPUTED_VALUE"""),"")</f>
        <v/>
      </c>
      <c r="L262" s="8" t="s">
        <v>299</v>
      </c>
    </row>
    <row r="263">
      <c r="A263" s="10"/>
      <c r="B263" s="8" t="str">
        <f>IFERROR(__xludf.DUMMYFUNCTION("""COMPUTED_VALUE"""),"")</f>
        <v/>
      </c>
      <c r="C263" s="8" t="str">
        <f>IFERROR(__xludf.DUMMYFUNCTION("""COMPUTED_VALUE"""),"")</f>
        <v/>
      </c>
      <c r="D263" s="8" t="str">
        <f>IFERROR(__xludf.DUMMYFUNCTION("""COMPUTED_VALUE"""),"")</f>
        <v/>
      </c>
      <c r="E263" s="8" t="str">
        <f>IFERROR(__xludf.DUMMYFUNCTION("""COMPUTED_VALUE"""),"")</f>
        <v/>
      </c>
      <c r="F263" s="8" t="str">
        <f>IFERROR(__xludf.DUMMYFUNCTION("""COMPUTED_VALUE"""),"")</f>
        <v/>
      </c>
      <c r="G263" s="8" t="str">
        <f>IFERROR(__xludf.DUMMYFUNCTION("""COMPUTED_VALUE"""),"")</f>
        <v/>
      </c>
      <c r="L263" s="8" t="s">
        <v>299</v>
      </c>
    </row>
    <row r="264">
      <c r="A264" s="10"/>
      <c r="B264" s="8" t="str">
        <f>IFERROR(__xludf.DUMMYFUNCTION("""COMPUTED_VALUE"""),"")</f>
        <v/>
      </c>
      <c r="C264" s="8" t="str">
        <f>IFERROR(__xludf.DUMMYFUNCTION("""COMPUTED_VALUE"""),"")</f>
        <v/>
      </c>
      <c r="D264" s="8" t="str">
        <f>IFERROR(__xludf.DUMMYFUNCTION("""COMPUTED_VALUE"""),"")</f>
        <v/>
      </c>
      <c r="E264" s="8" t="str">
        <f>IFERROR(__xludf.DUMMYFUNCTION("""COMPUTED_VALUE"""),"")</f>
        <v/>
      </c>
      <c r="F264" s="8" t="str">
        <f>IFERROR(__xludf.DUMMYFUNCTION("""COMPUTED_VALUE"""),"")</f>
        <v/>
      </c>
      <c r="G264" s="8" t="str">
        <f>IFERROR(__xludf.DUMMYFUNCTION("""COMPUTED_VALUE"""),"")</f>
        <v/>
      </c>
      <c r="L264" s="8" t="s">
        <v>299</v>
      </c>
    </row>
    <row r="265">
      <c r="A265" s="10"/>
      <c r="B265" s="8" t="str">
        <f>IFERROR(__xludf.DUMMYFUNCTION("""COMPUTED_VALUE"""),"")</f>
        <v/>
      </c>
      <c r="C265" s="8" t="str">
        <f>IFERROR(__xludf.DUMMYFUNCTION("""COMPUTED_VALUE"""),"")</f>
        <v/>
      </c>
      <c r="D265" s="8" t="str">
        <f>IFERROR(__xludf.DUMMYFUNCTION("""COMPUTED_VALUE"""),"")</f>
        <v/>
      </c>
      <c r="E265" s="8" t="str">
        <f>IFERROR(__xludf.DUMMYFUNCTION("""COMPUTED_VALUE"""),"")</f>
        <v/>
      </c>
      <c r="F265" s="8" t="str">
        <f>IFERROR(__xludf.DUMMYFUNCTION("""COMPUTED_VALUE"""),"")</f>
        <v/>
      </c>
      <c r="G265" s="8" t="str">
        <f>IFERROR(__xludf.DUMMYFUNCTION("""COMPUTED_VALUE"""),"")</f>
        <v/>
      </c>
      <c r="L265" s="8" t="s">
        <v>299</v>
      </c>
    </row>
    <row r="266">
      <c r="A266" s="10"/>
      <c r="B266" s="8" t="str">
        <f>IFERROR(__xludf.DUMMYFUNCTION("""COMPUTED_VALUE"""),"")</f>
        <v/>
      </c>
      <c r="C266" s="8" t="str">
        <f>IFERROR(__xludf.DUMMYFUNCTION("""COMPUTED_VALUE"""),"")</f>
        <v/>
      </c>
      <c r="D266" s="8" t="str">
        <f>IFERROR(__xludf.DUMMYFUNCTION("""COMPUTED_VALUE"""),"")</f>
        <v/>
      </c>
      <c r="E266" s="8" t="str">
        <f>IFERROR(__xludf.DUMMYFUNCTION("""COMPUTED_VALUE"""),"")</f>
        <v/>
      </c>
      <c r="F266" s="8" t="str">
        <f>IFERROR(__xludf.DUMMYFUNCTION("""COMPUTED_VALUE"""),"")</f>
        <v/>
      </c>
      <c r="G266" s="8" t="str">
        <f>IFERROR(__xludf.DUMMYFUNCTION("""COMPUTED_VALUE"""),"")</f>
        <v/>
      </c>
      <c r="L266" s="8" t="s">
        <v>299</v>
      </c>
    </row>
    <row r="267">
      <c r="A267" s="10"/>
      <c r="B267" s="8" t="str">
        <f>IFERROR(__xludf.DUMMYFUNCTION("""COMPUTED_VALUE"""),"")</f>
        <v/>
      </c>
      <c r="C267" s="8" t="str">
        <f>IFERROR(__xludf.DUMMYFUNCTION("""COMPUTED_VALUE"""),"")</f>
        <v/>
      </c>
      <c r="D267" s="8" t="str">
        <f>IFERROR(__xludf.DUMMYFUNCTION("""COMPUTED_VALUE"""),"")</f>
        <v/>
      </c>
      <c r="E267" s="8" t="str">
        <f>IFERROR(__xludf.DUMMYFUNCTION("""COMPUTED_VALUE"""),"")</f>
        <v/>
      </c>
      <c r="F267" s="8" t="str">
        <f>IFERROR(__xludf.DUMMYFUNCTION("""COMPUTED_VALUE"""),"")</f>
        <v/>
      </c>
      <c r="G267" s="8" t="str">
        <f>IFERROR(__xludf.DUMMYFUNCTION("""COMPUTED_VALUE"""),"")</f>
        <v/>
      </c>
      <c r="L267" s="8" t="s">
        <v>299</v>
      </c>
    </row>
    <row r="268">
      <c r="A268" s="10"/>
      <c r="B268" s="8" t="str">
        <f>IFERROR(__xludf.DUMMYFUNCTION("""COMPUTED_VALUE"""),"")</f>
        <v/>
      </c>
      <c r="C268" s="8" t="str">
        <f>IFERROR(__xludf.DUMMYFUNCTION("""COMPUTED_VALUE"""),"")</f>
        <v/>
      </c>
      <c r="D268" s="8" t="str">
        <f>IFERROR(__xludf.DUMMYFUNCTION("""COMPUTED_VALUE"""),"")</f>
        <v/>
      </c>
      <c r="E268" s="8" t="str">
        <f>IFERROR(__xludf.DUMMYFUNCTION("""COMPUTED_VALUE"""),"")</f>
        <v/>
      </c>
      <c r="F268" s="8" t="str">
        <f>IFERROR(__xludf.DUMMYFUNCTION("""COMPUTED_VALUE"""),"")</f>
        <v/>
      </c>
      <c r="G268" s="8" t="str">
        <f>IFERROR(__xludf.DUMMYFUNCTION("""COMPUTED_VALUE"""),"")</f>
        <v/>
      </c>
      <c r="L268" s="8" t="s">
        <v>299</v>
      </c>
    </row>
    <row r="269">
      <c r="A269" s="10"/>
      <c r="B269" s="8" t="str">
        <f>IFERROR(__xludf.DUMMYFUNCTION("""COMPUTED_VALUE"""),"")</f>
        <v/>
      </c>
      <c r="C269" s="8" t="str">
        <f>IFERROR(__xludf.DUMMYFUNCTION("""COMPUTED_VALUE"""),"")</f>
        <v/>
      </c>
      <c r="D269" s="8" t="str">
        <f>IFERROR(__xludf.DUMMYFUNCTION("""COMPUTED_VALUE"""),"")</f>
        <v/>
      </c>
      <c r="E269" s="8" t="str">
        <f>IFERROR(__xludf.DUMMYFUNCTION("""COMPUTED_VALUE"""),"")</f>
        <v/>
      </c>
      <c r="F269" s="8" t="str">
        <f>IFERROR(__xludf.DUMMYFUNCTION("""COMPUTED_VALUE"""),"")</f>
        <v/>
      </c>
      <c r="G269" s="8" t="str">
        <f>IFERROR(__xludf.DUMMYFUNCTION("""COMPUTED_VALUE"""),"")</f>
        <v/>
      </c>
      <c r="L269" s="8" t="s">
        <v>299</v>
      </c>
    </row>
    <row r="270">
      <c r="A270" s="10"/>
      <c r="B270" s="8" t="str">
        <f>IFERROR(__xludf.DUMMYFUNCTION("""COMPUTED_VALUE"""),"")</f>
        <v/>
      </c>
      <c r="C270" s="8" t="str">
        <f>IFERROR(__xludf.DUMMYFUNCTION("""COMPUTED_VALUE"""),"")</f>
        <v/>
      </c>
      <c r="D270" s="8" t="str">
        <f>IFERROR(__xludf.DUMMYFUNCTION("""COMPUTED_VALUE"""),"")</f>
        <v/>
      </c>
      <c r="E270" s="8" t="str">
        <f>IFERROR(__xludf.DUMMYFUNCTION("""COMPUTED_VALUE"""),"")</f>
        <v/>
      </c>
      <c r="F270" s="8" t="str">
        <f>IFERROR(__xludf.DUMMYFUNCTION("""COMPUTED_VALUE"""),"")</f>
        <v/>
      </c>
      <c r="G270" s="8" t="str">
        <f>IFERROR(__xludf.DUMMYFUNCTION("""COMPUTED_VALUE"""),"")</f>
        <v/>
      </c>
      <c r="L270" s="8" t="s">
        <v>299</v>
      </c>
    </row>
    <row r="271">
      <c r="A271" s="10"/>
      <c r="B271" s="8" t="str">
        <f>IFERROR(__xludf.DUMMYFUNCTION("""COMPUTED_VALUE"""),"")</f>
        <v/>
      </c>
      <c r="C271" s="8" t="str">
        <f>IFERROR(__xludf.DUMMYFUNCTION("""COMPUTED_VALUE"""),"")</f>
        <v/>
      </c>
      <c r="D271" s="8" t="str">
        <f>IFERROR(__xludf.DUMMYFUNCTION("""COMPUTED_VALUE"""),"")</f>
        <v/>
      </c>
      <c r="E271" s="8" t="str">
        <f>IFERROR(__xludf.DUMMYFUNCTION("""COMPUTED_VALUE"""),"")</f>
        <v/>
      </c>
      <c r="F271" s="8" t="str">
        <f>IFERROR(__xludf.DUMMYFUNCTION("""COMPUTED_VALUE"""),"")</f>
        <v/>
      </c>
      <c r="G271" s="8" t="str">
        <f>IFERROR(__xludf.DUMMYFUNCTION("""COMPUTED_VALUE"""),"")</f>
        <v/>
      </c>
      <c r="L271" s="8" t="s">
        <v>299</v>
      </c>
    </row>
    <row r="272">
      <c r="A272" s="10"/>
      <c r="B272" s="8" t="str">
        <f>IFERROR(__xludf.DUMMYFUNCTION("""COMPUTED_VALUE"""),"")</f>
        <v/>
      </c>
      <c r="C272" s="8" t="str">
        <f>IFERROR(__xludf.DUMMYFUNCTION("""COMPUTED_VALUE"""),"")</f>
        <v/>
      </c>
      <c r="D272" s="8" t="str">
        <f>IFERROR(__xludf.DUMMYFUNCTION("""COMPUTED_VALUE"""),"")</f>
        <v/>
      </c>
      <c r="E272" s="8" t="str">
        <f>IFERROR(__xludf.DUMMYFUNCTION("""COMPUTED_VALUE"""),"")</f>
        <v/>
      </c>
      <c r="F272" s="8" t="str">
        <f>IFERROR(__xludf.DUMMYFUNCTION("""COMPUTED_VALUE"""),"")</f>
        <v/>
      </c>
      <c r="G272" s="8" t="str">
        <f>IFERROR(__xludf.DUMMYFUNCTION("""COMPUTED_VALUE"""),"")</f>
        <v/>
      </c>
      <c r="L272" s="8" t="s">
        <v>299</v>
      </c>
    </row>
    <row r="273">
      <c r="A273" s="10"/>
      <c r="B273" s="8" t="str">
        <f>IFERROR(__xludf.DUMMYFUNCTION("""COMPUTED_VALUE"""),"")</f>
        <v/>
      </c>
      <c r="C273" s="8" t="str">
        <f>IFERROR(__xludf.DUMMYFUNCTION("""COMPUTED_VALUE"""),"")</f>
        <v/>
      </c>
      <c r="D273" s="8" t="str">
        <f>IFERROR(__xludf.DUMMYFUNCTION("""COMPUTED_VALUE"""),"")</f>
        <v/>
      </c>
      <c r="E273" s="8" t="str">
        <f>IFERROR(__xludf.DUMMYFUNCTION("""COMPUTED_VALUE"""),"")</f>
        <v/>
      </c>
      <c r="F273" s="8" t="str">
        <f>IFERROR(__xludf.DUMMYFUNCTION("""COMPUTED_VALUE"""),"")</f>
        <v/>
      </c>
      <c r="G273" s="8" t="str">
        <f>IFERROR(__xludf.DUMMYFUNCTION("""COMPUTED_VALUE"""),"")</f>
        <v/>
      </c>
      <c r="L273" s="8" t="s">
        <v>299</v>
      </c>
    </row>
    <row r="274">
      <c r="A274" s="10"/>
      <c r="B274" s="8" t="str">
        <f>IFERROR(__xludf.DUMMYFUNCTION("""COMPUTED_VALUE"""),"")</f>
        <v/>
      </c>
      <c r="C274" s="8" t="str">
        <f>IFERROR(__xludf.DUMMYFUNCTION("""COMPUTED_VALUE"""),"")</f>
        <v/>
      </c>
      <c r="D274" s="8" t="str">
        <f>IFERROR(__xludf.DUMMYFUNCTION("""COMPUTED_VALUE"""),"")</f>
        <v/>
      </c>
      <c r="E274" s="8" t="str">
        <f>IFERROR(__xludf.DUMMYFUNCTION("""COMPUTED_VALUE"""),"")</f>
        <v/>
      </c>
      <c r="F274" s="8" t="str">
        <f>IFERROR(__xludf.DUMMYFUNCTION("""COMPUTED_VALUE"""),"")</f>
        <v/>
      </c>
      <c r="G274" s="8" t="str">
        <f>IFERROR(__xludf.DUMMYFUNCTION("""COMPUTED_VALUE"""),"")</f>
        <v/>
      </c>
      <c r="L274" s="8" t="s">
        <v>299</v>
      </c>
    </row>
    <row r="275">
      <c r="A275" s="10"/>
      <c r="B275" s="8" t="str">
        <f>IFERROR(__xludf.DUMMYFUNCTION("""COMPUTED_VALUE"""),"")</f>
        <v/>
      </c>
      <c r="C275" s="8" t="str">
        <f>IFERROR(__xludf.DUMMYFUNCTION("""COMPUTED_VALUE"""),"")</f>
        <v/>
      </c>
      <c r="D275" s="8" t="str">
        <f>IFERROR(__xludf.DUMMYFUNCTION("""COMPUTED_VALUE"""),"")</f>
        <v/>
      </c>
      <c r="E275" s="8" t="str">
        <f>IFERROR(__xludf.DUMMYFUNCTION("""COMPUTED_VALUE"""),"")</f>
        <v/>
      </c>
      <c r="F275" s="8" t="str">
        <f>IFERROR(__xludf.DUMMYFUNCTION("""COMPUTED_VALUE"""),"")</f>
        <v/>
      </c>
      <c r="G275" s="8" t="str">
        <f>IFERROR(__xludf.DUMMYFUNCTION("""COMPUTED_VALUE"""),"")</f>
        <v/>
      </c>
      <c r="L275" s="8" t="s">
        <v>299</v>
      </c>
    </row>
    <row r="276">
      <c r="A276" s="10"/>
      <c r="B276" s="8" t="str">
        <f>IFERROR(__xludf.DUMMYFUNCTION("""COMPUTED_VALUE"""),"")</f>
        <v/>
      </c>
      <c r="C276" s="8" t="str">
        <f>IFERROR(__xludf.DUMMYFUNCTION("""COMPUTED_VALUE"""),"")</f>
        <v/>
      </c>
      <c r="D276" s="8" t="str">
        <f>IFERROR(__xludf.DUMMYFUNCTION("""COMPUTED_VALUE"""),"")</f>
        <v/>
      </c>
      <c r="E276" s="8" t="str">
        <f>IFERROR(__xludf.DUMMYFUNCTION("""COMPUTED_VALUE"""),"")</f>
        <v/>
      </c>
      <c r="F276" s="8" t="str">
        <f>IFERROR(__xludf.DUMMYFUNCTION("""COMPUTED_VALUE"""),"")</f>
        <v/>
      </c>
      <c r="G276" s="8" t="str">
        <f>IFERROR(__xludf.DUMMYFUNCTION("""COMPUTED_VALUE"""),"")</f>
        <v/>
      </c>
      <c r="L276" s="8" t="s">
        <v>299</v>
      </c>
    </row>
    <row r="277">
      <c r="A277" s="10"/>
      <c r="B277" s="8" t="str">
        <f>IFERROR(__xludf.DUMMYFUNCTION("""COMPUTED_VALUE"""),"")</f>
        <v/>
      </c>
      <c r="C277" s="8" t="str">
        <f>IFERROR(__xludf.DUMMYFUNCTION("""COMPUTED_VALUE"""),"")</f>
        <v/>
      </c>
      <c r="D277" s="8" t="str">
        <f>IFERROR(__xludf.DUMMYFUNCTION("""COMPUTED_VALUE"""),"")</f>
        <v/>
      </c>
      <c r="E277" s="8" t="str">
        <f>IFERROR(__xludf.DUMMYFUNCTION("""COMPUTED_VALUE"""),"")</f>
        <v/>
      </c>
      <c r="F277" s="8" t="str">
        <f>IFERROR(__xludf.DUMMYFUNCTION("""COMPUTED_VALUE"""),"")</f>
        <v/>
      </c>
      <c r="G277" s="8" t="str">
        <f>IFERROR(__xludf.DUMMYFUNCTION("""COMPUTED_VALUE"""),"")</f>
        <v/>
      </c>
      <c r="L277" s="8" t="s">
        <v>299</v>
      </c>
    </row>
    <row r="278">
      <c r="A278" s="10"/>
      <c r="B278" s="8" t="str">
        <f>IFERROR(__xludf.DUMMYFUNCTION("""COMPUTED_VALUE"""),"")</f>
        <v/>
      </c>
      <c r="C278" s="8" t="str">
        <f>IFERROR(__xludf.DUMMYFUNCTION("""COMPUTED_VALUE"""),"")</f>
        <v/>
      </c>
      <c r="D278" s="8" t="str">
        <f>IFERROR(__xludf.DUMMYFUNCTION("""COMPUTED_VALUE"""),"")</f>
        <v/>
      </c>
      <c r="E278" s="8" t="str">
        <f>IFERROR(__xludf.DUMMYFUNCTION("""COMPUTED_VALUE"""),"")</f>
        <v/>
      </c>
      <c r="F278" s="8" t="str">
        <f>IFERROR(__xludf.DUMMYFUNCTION("""COMPUTED_VALUE"""),"")</f>
        <v/>
      </c>
      <c r="G278" s="8" t="str">
        <f>IFERROR(__xludf.DUMMYFUNCTION("""COMPUTED_VALUE"""),"")</f>
        <v/>
      </c>
      <c r="L278" s="8" t="s">
        <v>299</v>
      </c>
    </row>
    <row r="279">
      <c r="A279" s="10"/>
      <c r="B279" s="8" t="str">
        <f>IFERROR(__xludf.DUMMYFUNCTION("""COMPUTED_VALUE"""),"")</f>
        <v/>
      </c>
      <c r="C279" s="8" t="str">
        <f>IFERROR(__xludf.DUMMYFUNCTION("""COMPUTED_VALUE"""),"")</f>
        <v/>
      </c>
      <c r="D279" s="8" t="str">
        <f>IFERROR(__xludf.DUMMYFUNCTION("""COMPUTED_VALUE"""),"")</f>
        <v/>
      </c>
      <c r="E279" s="8" t="str">
        <f>IFERROR(__xludf.DUMMYFUNCTION("""COMPUTED_VALUE"""),"")</f>
        <v/>
      </c>
      <c r="F279" s="8" t="str">
        <f>IFERROR(__xludf.DUMMYFUNCTION("""COMPUTED_VALUE"""),"")</f>
        <v/>
      </c>
      <c r="G279" s="8" t="str">
        <f>IFERROR(__xludf.DUMMYFUNCTION("""COMPUTED_VALUE"""),"")</f>
        <v/>
      </c>
      <c r="L279" s="8" t="s">
        <v>299</v>
      </c>
    </row>
    <row r="280">
      <c r="A280" s="10"/>
      <c r="B280" s="8" t="str">
        <f>IFERROR(__xludf.DUMMYFUNCTION("""COMPUTED_VALUE"""),"")</f>
        <v/>
      </c>
      <c r="C280" s="8" t="str">
        <f>IFERROR(__xludf.DUMMYFUNCTION("""COMPUTED_VALUE"""),"")</f>
        <v/>
      </c>
      <c r="D280" s="8" t="str">
        <f>IFERROR(__xludf.DUMMYFUNCTION("""COMPUTED_VALUE"""),"")</f>
        <v/>
      </c>
      <c r="E280" s="8" t="str">
        <f>IFERROR(__xludf.DUMMYFUNCTION("""COMPUTED_VALUE"""),"")</f>
        <v/>
      </c>
      <c r="F280" s="8" t="str">
        <f>IFERROR(__xludf.DUMMYFUNCTION("""COMPUTED_VALUE"""),"")</f>
        <v/>
      </c>
      <c r="G280" s="8" t="str">
        <f>IFERROR(__xludf.DUMMYFUNCTION("""COMPUTED_VALUE"""),"")</f>
        <v/>
      </c>
      <c r="L280" s="8" t="s">
        <v>299</v>
      </c>
    </row>
    <row r="281">
      <c r="A281" s="10"/>
      <c r="B281" s="8" t="str">
        <f>IFERROR(__xludf.DUMMYFUNCTION("""COMPUTED_VALUE"""),"")</f>
        <v/>
      </c>
      <c r="C281" s="8" t="str">
        <f>IFERROR(__xludf.DUMMYFUNCTION("""COMPUTED_VALUE"""),"")</f>
        <v/>
      </c>
      <c r="D281" s="8" t="str">
        <f>IFERROR(__xludf.DUMMYFUNCTION("""COMPUTED_VALUE"""),"")</f>
        <v/>
      </c>
      <c r="E281" s="8" t="str">
        <f>IFERROR(__xludf.DUMMYFUNCTION("""COMPUTED_VALUE"""),"")</f>
        <v/>
      </c>
      <c r="F281" s="8" t="str">
        <f>IFERROR(__xludf.DUMMYFUNCTION("""COMPUTED_VALUE"""),"")</f>
        <v/>
      </c>
      <c r="G281" s="8" t="str">
        <f>IFERROR(__xludf.DUMMYFUNCTION("""COMPUTED_VALUE"""),"")</f>
        <v/>
      </c>
      <c r="L281" s="8" t="s">
        <v>299</v>
      </c>
    </row>
    <row r="282">
      <c r="A282" s="10"/>
      <c r="B282" s="8" t="str">
        <f>IFERROR(__xludf.DUMMYFUNCTION("""COMPUTED_VALUE"""),"")</f>
        <v/>
      </c>
      <c r="C282" s="8" t="str">
        <f>IFERROR(__xludf.DUMMYFUNCTION("""COMPUTED_VALUE"""),"")</f>
        <v/>
      </c>
      <c r="D282" s="8" t="str">
        <f>IFERROR(__xludf.DUMMYFUNCTION("""COMPUTED_VALUE"""),"")</f>
        <v/>
      </c>
      <c r="E282" s="8" t="str">
        <f>IFERROR(__xludf.DUMMYFUNCTION("""COMPUTED_VALUE"""),"")</f>
        <v/>
      </c>
      <c r="F282" s="8" t="str">
        <f>IFERROR(__xludf.DUMMYFUNCTION("""COMPUTED_VALUE"""),"")</f>
        <v/>
      </c>
      <c r="G282" s="8" t="str">
        <f>IFERROR(__xludf.DUMMYFUNCTION("""COMPUTED_VALUE"""),"")</f>
        <v/>
      </c>
      <c r="L282" s="8" t="s">
        <v>299</v>
      </c>
    </row>
    <row r="283">
      <c r="A283" s="10"/>
      <c r="B283" s="8" t="str">
        <f>IFERROR(__xludf.DUMMYFUNCTION("""COMPUTED_VALUE"""),"")</f>
        <v/>
      </c>
      <c r="C283" s="8" t="str">
        <f>IFERROR(__xludf.DUMMYFUNCTION("""COMPUTED_VALUE"""),"")</f>
        <v/>
      </c>
      <c r="D283" s="8" t="str">
        <f>IFERROR(__xludf.DUMMYFUNCTION("""COMPUTED_VALUE"""),"")</f>
        <v/>
      </c>
      <c r="E283" s="8" t="str">
        <f>IFERROR(__xludf.DUMMYFUNCTION("""COMPUTED_VALUE"""),"")</f>
        <v/>
      </c>
      <c r="F283" s="8" t="str">
        <f>IFERROR(__xludf.DUMMYFUNCTION("""COMPUTED_VALUE"""),"")</f>
        <v/>
      </c>
      <c r="G283" s="8" t="str">
        <f>IFERROR(__xludf.DUMMYFUNCTION("""COMPUTED_VALUE"""),"")</f>
        <v/>
      </c>
      <c r="L283" s="8" t="s">
        <v>299</v>
      </c>
    </row>
    <row r="284">
      <c r="A284" s="10"/>
      <c r="B284" s="8" t="str">
        <f>IFERROR(__xludf.DUMMYFUNCTION("""COMPUTED_VALUE"""),"")</f>
        <v/>
      </c>
      <c r="C284" s="8" t="str">
        <f>IFERROR(__xludf.DUMMYFUNCTION("""COMPUTED_VALUE"""),"")</f>
        <v/>
      </c>
      <c r="D284" s="8" t="str">
        <f>IFERROR(__xludf.DUMMYFUNCTION("""COMPUTED_VALUE"""),"")</f>
        <v/>
      </c>
      <c r="E284" s="8" t="str">
        <f>IFERROR(__xludf.DUMMYFUNCTION("""COMPUTED_VALUE"""),"")</f>
        <v/>
      </c>
      <c r="F284" s="8" t="str">
        <f>IFERROR(__xludf.DUMMYFUNCTION("""COMPUTED_VALUE"""),"")</f>
        <v/>
      </c>
      <c r="G284" s="8" t="str">
        <f>IFERROR(__xludf.DUMMYFUNCTION("""COMPUTED_VALUE"""),"")</f>
        <v/>
      </c>
      <c r="L284" s="8" t="s">
        <v>299</v>
      </c>
    </row>
    <row r="285">
      <c r="A285" s="10"/>
      <c r="B285" s="8" t="str">
        <f>IFERROR(__xludf.DUMMYFUNCTION("""COMPUTED_VALUE"""),"")</f>
        <v/>
      </c>
      <c r="C285" s="8" t="str">
        <f>IFERROR(__xludf.DUMMYFUNCTION("""COMPUTED_VALUE"""),"")</f>
        <v/>
      </c>
      <c r="D285" s="8" t="str">
        <f>IFERROR(__xludf.DUMMYFUNCTION("""COMPUTED_VALUE"""),"")</f>
        <v/>
      </c>
      <c r="E285" s="8" t="str">
        <f>IFERROR(__xludf.DUMMYFUNCTION("""COMPUTED_VALUE"""),"")</f>
        <v/>
      </c>
      <c r="F285" s="8" t="str">
        <f>IFERROR(__xludf.DUMMYFUNCTION("""COMPUTED_VALUE"""),"")</f>
        <v/>
      </c>
      <c r="G285" s="8" t="str">
        <f>IFERROR(__xludf.DUMMYFUNCTION("""COMPUTED_VALUE"""),"")</f>
        <v/>
      </c>
      <c r="L285" s="8" t="s">
        <v>299</v>
      </c>
    </row>
    <row r="286">
      <c r="A286" s="10"/>
      <c r="B286" s="8" t="str">
        <f>IFERROR(__xludf.DUMMYFUNCTION("""COMPUTED_VALUE"""),"")</f>
        <v/>
      </c>
      <c r="C286" s="8" t="str">
        <f>IFERROR(__xludf.DUMMYFUNCTION("""COMPUTED_VALUE"""),"")</f>
        <v/>
      </c>
      <c r="D286" s="8" t="str">
        <f>IFERROR(__xludf.DUMMYFUNCTION("""COMPUTED_VALUE"""),"")</f>
        <v/>
      </c>
      <c r="E286" s="8" t="str">
        <f>IFERROR(__xludf.DUMMYFUNCTION("""COMPUTED_VALUE"""),"")</f>
        <v/>
      </c>
      <c r="F286" s="8" t="str">
        <f>IFERROR(__xludf.DUMMYFUNCTION("""COMPUTED_VALUE"""),"")</f>
        <v/>
      </c>
      <c r="G286" s="8" t="str">
        <f>IFERROR(__xludf.DUMMYFUNCTION("""COMPUTED_VALUE"""),"")</f>
        <v/>
      </c>
      <c r="L286" s="8" t="s">
        <v>299</v>
      </c>
    </row>
    <row r="287">
      <c r="A287" s="10"/>
      <c r="B287" s="8" t="str">
        <f>IFERROR(__xludf.DUMMYFUNCTION("""COMPUTED_VALUE"""),"")</f>
        <v/>
      </c>
      <c r="C287" s="8" t="str">
        <f>IFERROR(__xludf.DUMMYFUNCTION("""COMPUTED_VALUE"""),"")</f>
        <v/>
      </c>
      <c r="D287" s="8" t="str">
        <f>IFERROR(__xludf.DUMMYFUNCTION("""COMPUTED_VALUE"""),"")</f>
        <v/>
      </c>
      <c r="E287" s="8" t="str">
        <f>IFERROR(__xludf.DUMMYFUNCTION("""COMPUTED_VALUE"""),"")</f>
        <v/>
      </c>
      <c r="F287" s="8" t="str">
        <f>IFERROR(__xludf.DUMMYFUNCTION("""COMPUTED_VALUE"""),"")</f>
        <v/>
      </c>
      <c r="G287" s="8" t="str">
        <f>IFERROR(__xludf.DUMMYFUNCTION("""COMPUTED_VALUE"""),"")</f>
        <v/>
      </c>
      <c r="L287" s="8" t="s">
        <v>299</v>
      </c>
    </row>
    <row r="288">
      <c r="A288" s="10"/>
      <c r="B288" s="8" t="str">
        <f>IFERROR(__xludf.DUMMYFUNCTION("""COMPUTED_VALUE"""),"")</f>
        <v/>
      </c>
      <c r="C288" s="8" t="str">
        <f>IFERROR(__xludf.DUMMYFUNCTION("""COMPUTED_VALUE"""),"")</f>
        <v/>
      </c>
      <c r="D288" s="8" t="str">
        <f>IFERROR(__xludf.DUMMYFUNCTION("""COMPUTED_VALUE"""),"")</f>
        <v/>
      </c>
      <c r="E288" s="8" t="str">
        <f>IFERROR(__xludf.DUMMYFUNCTION("""COMPUTED_VALUE"""),"")</f>
        <v/>
      </c>
      <c r="F288" s="8" t="str">
        <f>IFERROR(__xludf.DUMMYFUNCTION("""COMPUTED_VALUE"""),"")</f>
        <v/>
      </c>
      <c r="G288" s="8" t="str">
        <f>IFERROR(__xludf.DUMMYFUNCTION("""COMPUTED_VALUE"""),"")</f>
        <v/>
      </c>
      <c r="L288" s="8" t="s">
        <v>299</v>
      </c>
    </row>
    <row r="289">
      <c r="A289" s="10"/>
      <c r="B289" s="8" t="str">
        <f>IFERROR(__xludf.DUMMYFUNCTION("""COMPUTED_VALUE"""),"")</f>
        <v/>
      </c>
      <c r="C289" s="8" t="str">
        <f>IFERROR(__xludf.DUMMYFUNCTION("""COMPUTED_VALUE"""),"")</f>
        <v/>
      </c>
      <c r="D289" s="8" t="str">
        <f>IFERROR(__xludf.DUMMYFUNCTION("""COMPUTED_VALUE"""),"")</f>
        <v/>
      </c>
      <c r="E289" s="8" t="str">
        <f>IFERROR(__xludf.DUMMYFUNCTION("""COMPUTED_VALUE"""),"")</f>
        <v/>
      </c>
      <c r="F289" s="8" t="str">
        <f>IFERROR(__xludf.DUMMYFUNCTION("""COMPUTED_VALUE"""),"")</f>
        <v/>
      </c>
      <c r="G289" s="8" t="str">
        <f>IFERROR(__xludf.DUMMYFUNCTION("""COMPUTED_VALUE"""),"")</f>
        <v/>
      </c>
      <c r="L289" s="8" t="s">
        <v>299</v>
      </c>
    </row>
    <row r="290">
      <c r="A290" s="10"/>
      <c r="B290" s="8" t="str">
        <f>IFERROR(__xludf.DUMMYFUNCTION("""COMPUTED_VALUE"""),"")</f>
        <v/>
      </c>
      <c r="C290" s="8" t="str">
        <f>IFERROR(__xludf.DUMMYFUNCTION("""COMPUTED_VALUE"""),"")</f>
        <v/>
      </c>
      <c r="D290" s="8" t="str">
        <f>IFERROR(__xludf.DUMMYFUNCTION("""COMPUTED_VALUE"""),"")</f>
        <v/>
      </c>
      <c r="E290" s="8" t="str">
        <f>IFERROR(__xludf.DUMMYFUNCTION("""COMPUTED_VALUE"""),"")</f>
        <v/>
      </c>
      <c r="F290" s="8" t="str">
        <f>IFERROR(__xludf.DUMMYFUNCTION("""COMPUTED_VALUE"""),"")</f>
        <v/>
      </c>
      <c r="G290" s="8" t="str">
        <f>IFERROR(__xludf.DUMMYFUNCTION("""COMPUTED_VALUE"""),"")</f>
        <v/>
      </c>
      <c r="L290" s="8" t="s">
        <v>299</v>
      </c>
    </row>
    <row r="291">
      <c r="A291" s="10"/>
      <c r="B291" s="8" t="str">
        <f>IFERROR(__xludf.DUMMYFUNCTION("""COMPUTED_VALUE"""),"")</f>
        <v/>
      </c>
      <c r="C291" s="8" t="str">
        <f>IFERROR(__xludf.DUMMYFUNCTION("""COMPUTED_VALUE"""),"")</f>
        <v/>
      </c>
      <c r="D291" s="8" t="str">
        <f>IFERROR(__xludf.DUMMYFUNCTION("""COMPUTED_VALUE"""),"")</f>
        <v/>
      </c>
      <c r="E291" s="8" t="str">
        <f>IFERROR(__xludf.DUMMYFUNCTION("""COMPUTED_VALUE"""),"")</f>
        <v/>
      </c>
      <c r="F291" s="8" t="str">
        <f>IFERROR(__xludf.DUMMYFUNCTION("""COMPUTED_VALUE"""),"")</f>
        <v/>
      </c>
      <c r="G291" s="8" t="str">
        <f>IFERROR(__xludf.DUMMYFUNCTION("""COMPUTED_VALUE"""),"")</f>
        <v/>
      </c>
      <c r="L291" s="8" t="s">
        <v>299</v>
      </c>
    </row>
    <row r="292">
      <c r="A292" s="10"/>
      <c r="B292" s="8" t="str">
        <f>IFERROR(__xludf.DUMMYFUNCTION("""COMPUTED_VALUE"""),"")</f>
        <v/>
      </c>
      <c r="C292" s="8" t="str">
        <f>IFERROR(__xludf.DUMMYFUNCTION("""COMPUTED_VALUE"""),"")</f>
        <v/>
      </c>
      <c r="D292" s="8" t="str">
        <f>IFERROR(__xludf.DUMMYFUNCTION("""COMPUTED_VALUE"""),"")</f>
        <v/>
      </c>
      <c r="E292" s="8" t="str">
        <f>IFERROR(__xludf.DUMMYFUNCTION("""COMPUTED_VALUE"""),"")</f>
        <v/>
      </c>
      <c r="F292" s="8" t="str">
        <f>IFERROR(__xludf.DUMMYFUNCTION("""COMPUTED_VALUE"""),"")</f>
        <v/>
      </c>
      <c r="G292" s="8" t="str">
        <f>IFERROR(__xludf.DUMMYFUNCTION("""COMPUTED_VALUE"""),"")</f>
        <v/>
      </c>
      <c r="L292" s="8" t="s">
        <v>299</v>
      </c>
    </row>
    <row r="293">
      <c r="A293" s="10"/>
      <c r="B293" s="8" t="str">
        <f>IFERROR(__xludf.DUMMYFUNCTION("""COMPUTED_VALUE"""),"")</f>
        <v/>
      </c>
      <c r="C293" s="8" t="str">
        <f>IFERROR(__xludf.DUMMYFUNCTION("""COMPUTED_VALUE"""),"")</f>
        <v/>
      </c>
      <c r="D293" s="8" t="str">
        <f>IFERROR(__xludf.DUMMYFUNCTION("""COMPUTED_VALUE"""),"")</f>
        <v/>
      </c>
      <c r="E293" s="8" t="str">
        <f>IFERROR(__xludf.DUMMYFUNCTION("""COMPUTED_VALUE"""),"")</f>
        <v/>
      </c>
      <c r="F293" s="8" t="str">
        <f>IFERROR(__xludf.DUMMYFUNCTION("""COMPUTED_VALUE"""),"")</f>
        <v/>
      </c>
      <c r="G293" s="8" t="str">
        <f>IFERROR(__xludf.DUMMYFUNCTION("""COMPUTED_VALUE"""),"")</f>
        <v/>
      </c>
      <c r="L293" s="8" t="s">
        <v>299</v>
      </c>
    </row>
    <row r="294">
      <c r="A294" s="10"/>
      <c r="B294" s="8" t="str">
        <f>IFERROR(__xludf.DUMMYFUNCTION("""COMPUTED_VALUE"""),"")</f>
        <v/>
      </c>
      <c r="C294" s="8" t="str">
        <f>IFERROR(__xludf.DUMMYFUNCTION("""COMPUTED_VALUE"""),"")</f>
        <v/>
      </c>
      <c r="D294" s="8" t="str">
        <f>IFERROR(__xludf.DUMMYFUNCTION("""COMPUTED_VALUE"""),"")</f>
        <v/>
      </c>
      <c r="E294" s="8" t="str">
        <f>IFERROR(__xludf.DUMMYFUNCTION("""COMPUTED_VALUE"""),"")</f>
        <v/>
      </c>
      <c r="F294" s="8" t="str">
        <f>IFERROR(__xludf.DUMMYFUNCTION("""COMPUTED_VALUE"""),"")</f>
        <v/>
      </c>
      <c r="G294" s="8" t="str">
        <f>IFERROR(__xludf.DUMMYFUNCTION("""COMPUTED_VALUE"""),"")</f>
        <v/>
      </c>
      <c r="L294" s="8" t="s">
        <v>299</v>
      </c>
    </row>
    <row r="295">
      <c r="A295" s="10"/>
      <c r="B295" s="8" t="str">
        <f>IFERROR(__xludf.DUMMYFUNCTION("""COMPUTED_VALUE"""),"")</f>
        <v/>
      </c>
      <c r="C295" s="8" t="str">
        <f>IFERROR(__xludf.DUMMYFUNCTION("""COMPUTED_VALUE"""),"")</f>
        <v/>
      </c>
      <c r="D295" s="8" t="str">
        <f>IFERROR(__xludf.DUMMYFUNCTION("""COMPUTED_VALUE"""),"")</f>
        <v/>
      </c>
      <c r="E295" s="8" t="str">
        <f>IFERROR(__xludf.DUMMYFUNCTION("""COMPUTED_VALUE"""),"")</f>
        <v/>
      </c>
      <c r="F295" s="8" t="str">
        <f>IFERROR(__xludf.DUMMYFUNCTION("""COMPUTED_VALUE"""),"")</f>
        <v/>
      </c>
      <c r="G295" s="8" t="str">
        <f>IFERROR(__xludf.DUMMYFUNCTION("""COMPUTED_VALUE"""),"")</f>
        <v/>
      </c>
      <c r="L295" s="8" t="s">
        <v>299</v>
      </c>
    </row>
    <row r="296">
      <c r="A296" s="10"/>
      <c r="B296" s="8" t="str">
        <f>IFERROR(__xludf.DUMMYFUNCTION("""COMPUTED_VALUE"""),"")</f>
        <v/>
      </c>
      <c r="C296" s="8" t="str">
        <f>IFERROR(__xludf.DUMMYFUNCTION("""COMPUTED_VALUE"""),"")</f>
        <v/>
      </c>
      <c r="D296" s="8" t="str">
        <f>IFERROR(__xludf.DUMMYFUNCTION("""COMPUTED_VALUE"""),"")</f>
        <v/>
      </c>
      <c r="E296" s="8" t="str">
        <f>IFERROR(__xludf.DUMMYFUNCTION("""COMPUTED_VALUE"""),"")</f>
        <v/>
      </c>
      <c r="F296" s="8" t="str">
        <f>IFERROR(__xludf.DUMMYFUNCTION("""COMPUTED_VALUE"""),"")</f>
        <v/>
      </c>
      <c r="G296" s="8" t="str">
        <f>IFERROR(__xludf.DUMMYFUNCTION("""COMPUTED_VALUE"""),"")</f>
        <v/>
      </c>
      <c r="L296" s="8" t="s">
        <v>299</v>
      </c>
    </row>
    <row r="297">
      <c r="A297" s="10"/>
      <c r="B297" s="8" t="str">
        <f>IFERROR(__xludf.DUMMYFUNCTION("""COMPUTED_VALUE"""),"")</f>
        <v/>
      </c>
      <c r="C297" s="8" t="str">
        <f>IFERROR(__xludf.DUMMYFUNCTION("""COMPUTED_VALUE"""),"")</f>
        <v/>
      </c>
      <c r="D297" s="8" t="str">
        <f>IFERROR(__xludf.DUMMYFUNCTION("""COMPUTED_VALUE"""),"")</f>
        <v/>
      </c>
      <c r="E297" s="8" t="str">
        <f>IFERROR(__xludf.DUMMYFUNCTION("""COMPUTED_VALUE"""),"")</f>
        <v/>
      </c>
      <c r="F297" s="8" t="str">
        <f>IFERROR(__xludf.DUMMYFUNCTION("""COMPUTED_VALUE"""),"")</f>
        <v/>
      </c>
      <c r="G297" s="8" t="str">
        <f>IFERROR(__xludf.DUMMYFUNCTION("""COMPUTED_VALUE"""),"")</f>
        <v/>
      </c>
      <c r="L297" s="8" t="s">
        <v>299</v>
      </c>
    </row>
    <row r="298">
      <c r="A298" s="10"/>
      <c r="B298" s="8" t="str">
        <f>IFERROR(__xludf.DUMMYFUNCTION("""COMPUTED_VALUE"""),"")</f>
        <v/>
      </c>
      <c r="C298" s="8" t="str">
        <f>IFERROR(__xludf.DUMMYFUNCTION("""COMPUTED_VALUE"""),"")</f>
        <v/>
      </c>
      <c r="D298" s="8" t="str">
        <f>IFERROR(__xludf.DUMMYFUNCTION("""COMPUTED_VALUE"""),"")</f>
        <v/>
      </c>
      <c r="E298" s="8" t="str">
        <f>IFERROR(__xludf.DUMMYFUNCTION("""COMPUTED_VALUE"""),"")</f>
        <v/>
      </c>
      <c r="F298" s="8" t="str">
        <f>IFERROR(__xludf.DUMMYFUNCTION("""COMPUTED_VALUE"""),"")</f>
        <v/>
      </c>
      <c r="G298" s="8" t="str">
        <f>IFERROR(__xludf.DUMMYFUNCTION("""COMPUTED_VALUE"""),"")</f>
        <v/>
      </c>
      <c r="L298" s="8" t="s">
        <v>299</v>
      </c>
    </row>
    <row r="299">
      <c r="A299" s="10"/>
      <c r="B299" s="8" t="str">
        <f>IFERROR(__xludf.DUMMYFUNCTION("""COMPUTED_VALUE"""),"")</f>
        <v/>
      </c>
      <c r="C299" s="8" t="str">
        <f>IFERROR(__xludf.DUMMYFUNCTION("""COMPUTED_VALUE"""),"")</f>
        <v/>
      </c>
      <c r="D299" s="8" t="str">
        <f>IFERROR(__xludf.DUMMYFUNCTION("""COMPUTED_VALUE"""),"")</f>
        <v/>
      </c>
      <c r="E299" s="8" t="str">
        <f>IFERROR(__xludf.DUMMYFUNCTION("""COMPUTED_VALUE"""),"")</f>
        <v/>
      </c>
      <c r="F299" s="8" t="str">
        <f>IFERROR(__xludf.DUMMYFUNCTION("""COMPUTED_VALUE"""),"")</f>
        <v/>
      </c>
      <c r="G299" s="8" t="str">
        <f>IFERROR(__xludf.DUMMYFUNCTION("""COMPUTED_VALUE"""),"")</f>
        <v/>
      </c>
      <c r="L299" s="8" t="s">
        <v>299</v>
      </c>
    </row>
    <row r="300">
      <c r="A300" s="10"/>
      <c r="B300" s="8" t="str">
        <f>IFERROR(__xludf.DUMMYFUNCTION("""COMPUTED_VALUE"""),"")</f>
        <v/>
      </c>
      <c r="C300" s="8" t="str">
        <f>IFERROR(__xludf.DUMMYFUNCTION("""COMPUTED_VALUE"""),"")</f>
        <v/>
      </c>
      <c r="D300" s="8" t="str">
        <f>IFERROR(__xludf.DUMMYFUNCTION("""COMPUTED_VALUE"""),"")</f>
        <v/>
      </c>
      <c r="E300" s="8" t="str">
        <f>IFERROR(__xludf.DUMMYFUNCTION("""COMPUTED_VALUE"""),"")</f>
        <v/>
      </c>
      <c r="F300" s="8" t="str">
        <f>IFERROR(__xludf.DUMMYFUNCTION("""COMPUTED_VALUE"""),"")</f>
        <v/>
      </c>
      <c r="G300" s="8" t="str">
        <f>IFERROR(__xludf.DUMMYFUNCTION("""COMPUTED_VALUE"""),"")</f>
        <v/>
      </c>
      <c r="L300" s="8" t="s">
        <v>299</v>
      </c>
    </row>
    <row r="301">
      <c r="A301" s="10"/>
      <c r="B301" s="8" t="str">
        <f>IFERROR(__xludf.DUMMYFUNCTION("""COMPUTED_VALUE"""),"")</f>
        <v/>
      </c>
      <c r="C301" s="8" t="str">
        <f>IFERROR(__xludf.DUMMYFUNCTION("""COMPUTED_VALUE"""),"")</f>
        <v/>
      </c>
      <c r="D301" s="8" t="str">
        <f>IFERROR(__xludf.DUMMYFUNCTION("""COMPUTED_VALUE"""),"")</f>
        <v/>
      </c>
      <c r="E301" s="8" t="str">
        <f>IFERROR(__xludf.DUMMYFUNCTION("""COMPUTED_VALUE"""),"")</f>
        <v/>
      </c>
      <c r="F301" s="8" t="str">
        <f>IFERROR(__xludf.DUMMYFUNCTION("""COMPUTED_VALUE"""),"")</f>
        <v/>
      </c>
      <c r="G301" s="8" t="str">
        <f>IFERROR(__xludf.DUMMYFUNCTION("""COMPUTED_VALUE"""),"")</f>
        <v/>
      </c>
      <c r="L301" s="8" t="s">
        <v>299</v>
      </c>
    </row>
    <row r="302">
      <c r="A302" s="10"/>
      <c r="B302" s="8" t="str">
        <f>IFERROR(__xludf.DUMMYFUNCTION("""COMPUTED_VALUE"""),"")</f>
        <v/>
      </c>
      <c r="C302" s="8" t="str">
        <f>IFERROR(__xludf.DUMMYFUNCTION("""COMPUTED_VALUE"""),"")</f>
        <v/>
      </c>
      <c r="D302" s="8" t="str">
        <f>IFERROR(__xludf.DUMMYFUNCTION("""COMPUTED_VALUE"""),"")</f>
        <v/>
      </c>
      <c r="E302" s="8" t="str">
        <f>IFERROR(__xludf.DUMMYFUNCTION("""COMPUTED_VALUE"""),"")</f>
        <v/>
      </c>
      <c r="F302" s="8" t="str">
        <f>IFERROR(__xludf.DUMMYFUNCTION("""COMPUTED_VALUE"""),"")</f>
        <v/>
      </c>
      <c r="G302" s="8" t="str">
        <f>IFERROR(__xludf.DUMMYFUNCTION("""COMPUTED_VALUE"""),"")</f>
        <v/>
      </c>
      <c r="L302" s="8" t="s">
        <v>299</v>
      </c>
    </row>
    <row r="303">
      <c r="A303" s="10"/>
      <c r="B303" s="8" t="str">
        <f>IFERROR(__xludf.DUMMYFUNCTION("""COMPUTED_VALUE"""),"")</f>
        <v/>
      </c>
      <c r="C303" s="8" t="str">
        <f>IFERROR(__xludf.DUMMYFUNCTION("""COMPUTED_VALUE"""),"")</f>
        <v/>
      </c>
      <c r="D303" s="8" t="str">
        <f>IFERROR(__xludf.DUMMYFUNCTION("""COMPUTED_VALUE"""),"")</f>
        <v/>
      </c>
      <c r="E303" s="8" t="str">
        <f>IFERROR(__xludf.DUMMYFUNCTION("""COMPUTED_VALUE"""),"")</f>
        <v/>
      </c>
      <c r="F303" s="8" t="str">
        <f>IFERROR(__xludf.DUMMYFUNCTION("""COMPUTED_VALUE"""),"")</f>
        <v/>
      </c>
      <c r="G303" s="8" t="str">
        <f>IFERROR(__xludf.DUMMYFUNCTION("""COMPUTED_VALUE"""),"")</f>
        <v/>
      </c>
      <c r="L303" s="8" t="s">
        <v>299</v>
      </c>
    </row>
    <row r="304">
      <c r="A304" s="10"/>
      <c r="B304" s="8" t="str">
        <f>IFERROR(__xludf.DUMMYFUNCTION("""COMPUTED_VALUE"""),"")</f>
        <v/>
      </c>
      <c r="C304" s="8" t="str">
        <f>IFERROR(__xludf.DUMMYFUNCTION("""COMPUTED_VALUE"""),"")</f>
        <v/>
      </c>
      <c r="D304" s="8" t="str">
        <f>IFERROR(__xludf.DUMMYFUNCTION("""COMPUTED_VALUE"""),"")</f>
        <v/>
      </c>
      <c r="E304" s="8" t="str">
        <f>IFERROR(__xludf.DUMMYFUNCTION("""COMPUTED_VALUE"""),"")</f>
        <v/>
      </c>
      <c r="F304" s="8" t="str">
        <f>IFERROR(__xludf.DUMMYFUNCTION("""COMPUTED_VALUE"""),"")</f>
        <v/>
      </c>
      <c r="G304" s="8" t="str">
        <f>IFERROR(__xludf.DUMMYFUNCTION("""COMPUTED_VALUE"""),"")</f>
        <v/>
      </c>
      <c r="L304" s="8" t="s">
        <v>299</v>
      </c>
    </row>
    <row r="305">
      <c r="A305" s="10"/>
      <c r="B305" s="8" t="str">
        <f>IFERROR(__xludf.DUMMYFUNCTION("""COMPUTED_VALUE"""),"")</f>
        <v/>
      </c>
      <c r="C305" s="8" t="str">
        <f>IFERROR(__xludf.DUMMYFUNCTION("""COMPUTED_VALUE"""),"")</f>
        <v/>
      </c>
      <c r="D305" s="8" t="str">
        <f>IFERROR(__xludf.DUMMYFUNCTION("""COMPUTED_VALUE"""),"")</f>
        <v/>
      </c>
      <c r="E305" s="8" t="str">
        <f>IFERROR(__xludf.DUMMYFUNCTION("""COMPUTED_VALUE"""),"")</f>
        <v/>
      </c>
      <c r="F305" s="8" t="str">
        <f>IFERROR(__xludf.DUMMYFUNCTION("""COMPUTED_VALUE"""),"")</f>
        <v/>
      </c>
      <c r="G305" s="8" t="str">
        <f>IFERROR(__xludf.DUMMYFUNCTION("""COMPUTED_VALUE"""),"")</f>
        <v/>
      </c>
      <c r="L305" s="8" t="s">
        <v>299</v>
      </c>
    </row>
    <row r="306">
      <c r="A306" s="10"/>
      <c r="B306" s="8" t="str">
        <f>IFERROR(__xludf.DUMMYFUNCTION("""COMPUTED_VALUE"""),"")</f>
        <v/>
      </c>
      <c r="C306" s="8" t="str">
        <f>IFERROR(__xludf.DUMMYFUNCTION("""COMPUTED_VALUE"""),"")</f>
        <v/>
      </c>
      <c r="D306" s="8" t="str">
        <f>IFERROR(__xludf.DUMMYFUNCTION("""COMPUTED_VALUE"""),"")</f>
        <v/>
      </c>
      <c r="E306" s="8" t="str">
        <f>IFERROR(__xludf.DUMMYFUNCTION("""COMPUTED_VALUE"""),"")</f>
        <v/>
      </c>
      <c r="F306" s="8" t="str">
        <f>IFERROR(__xludf.DUMMYFUNCTION("""COMPUTED_VALUE"""),"")</f>
        <v/>
      </c>
      <c r="G306" s="8" t="str">
        <f>IFERROR(__xludf.DUMMYFUNCTION("""COMPUTED_VALUE"""),"")</f>
        <v/>
      </c>
      <c r="L306" s="8" t="s">
        <v>299</v>
      </c>
    </row>
    <row r="307">
      <c r="A307" s="10"/>
      <c r="B307" s="8" t="str">
        <f>IFERROR(__xludf.DUMMYFUNCTION("""COMPUTED_VALUE"""),"")</f>
        <v/>
      </c>
      <c r="C307" s="8" t="str">
        <f>IFERROR(__xludf.DUMMYFUNCTION("""COMPUTED_VALUE"""),"")</f>
        <v/>
      </c>
      <c r="D307" s="8" t="str">
        <f>IFERROR(__xludf.DUMMYFUNCTION("""COMPUTED_VALUE"""),"")</f>
        <v/>
      </c>
      <c r="E307" s="8" t="str">
        <f>IFERROR(__xludf.DUMMYFUNCTION("""COMPUTED_VALUE"""),"")</f>
        <v/>
      </c>
      <c r="F307" s="8" t="str">
        <f>IFERROR(__xludf.DUMMYFUNCTION("""COMPUTED_VALUE"""),"")</f>
        <v/>
      </c>
      <c r="G307" s="8" t="str">
        <f>IFERROR(__xludf.DUMMYFUNCTION("""COMPUTED_VALUE"""),"")</f>
        <v/>
      </c>
      <c r="L307" s="8" t="s">
        <v>299</v>
      </c>
    </row>
    <row r="308">
      <c r="A308" s="10"/>
      <c r="B308" s="8" t="str">
        <f>IFERROR(__xludf.DUMMYFUNCTION("""COMPUTED_VALUE"""),"")</f>
        <v/>
      </c>
      <c r="C308" s="8" t="str">
        <f>IFERROR(__xludf.DUMMYFUNCTION("""COMPUTED_VALUE"""),"")</f>
        <v/>
      </c>
      <c r="D308" s="8" t="str">
        <f>IFERROR(__xludf.DUMMYFUNCTION("""COMPUTED_VALUE"""),"")</f>
        <v/>
      </c>
      <c r="E308" s="8" t="str">
        <f>IFERROR(__xludf.DUMMYFUNCTION("""COMPUTED_VALUE"""),"")</f>
        <v/>
      </c>
      <c r="F308" s="8" t="str">
        <f>IFERROR(__xludf.DUMMYFUNCTION("""COMPUTED_VALUE"""),"")</f>
        <v/>
      </c>
      <c r="G308" s="8" t="str">
        <f>IFERROR(__xludf.DUMMYFUNCTION("""COMPUTED_VALUE"""),"")</f>
        <v/>
      </c>
      <c r="L308" s="8" t="s">
        <v>299</v>
      </c>
    </row>
    <row r="309">
      <c r="A309" s="10"/>
      <c r="B309" s="8" t="str">
        <f>IFERROR(__xludf.DUMMYFUNCTION("""COMPUTED_VALUE"""),"")</f>
        <v/>
      </c>
      <c r="C309" s="8" t="str">
        <f>IFERROR(__xludf.DUMMYFUNCTION("""COMPUTED_VALUE"""),"")</f>
        <v/>
      </c>
      <c r="D309" s="8" t="str">
        <f>IFERROR(__xludf.DUMMYFUNCTION("""COMPUTED_VALUE"""),"")</f>
        <v/>
      </c>
      <c r="E309" s="8" t="str">
        <f>IFERROR(__xludf.DUMMYFUNCTION("""COMPUTED_VALUE"""),"")</f>
        <v/>
      </c>
      <c r="F309" s="8" t="str">
        <f>IFERROR(__xludf.DUMMYFUNCTION("""COMPUTED_VALUE"""),"")</f>
        <v/>
      </c>
      <c r="G309" s="8" t="str">
        <f>IFERROR(__xludf.DUMMYFUNCTION("""COMPUTED_VALUE"""),"")</f>
        <v/>
      </c>
      <c r="L309" s="8" t="s">
        <v>299</v>
      </c>
    </row>
    <row r="310">
      <c r="A310" s="10"/>
      <c r="B310" s="8" t="str">
        <f>IFERROR(__xludf.DUMMYFUNCTION("""COMPUTED_VALUE"""),"")</f>
        <v/>
      </c>
      <c r="C310" s="8" t="str">
        <f>IFERROR(__xludf.DUMMYFUNCTION("""COMPUTED_VALUE"""),"")</f>
        <v/>
      </c>
      <c r="D310" s="8" t="str">
        <f>IFERROR(__xludf.DUMMYFUNCTION("""COMPUTED_VALUE"""),"")</f>
        <v/>
      </c>
      <c r="E310" s="8" t="str">
        <f>IFERROR(__xludf.DUMMYFUNCTION("""COMPUTED_VALUE"""),"")</f>
        <v/>
      </c>
      <c r="F310" s="8" t="str">
        <f>IFERROR(__xludf.DUMMYFUNCTION("""COMPUTED_VALUE"""),"")</f>
        <v/>
      </c>
      <c r="G310" s="8" t="str">
        <f>IFERROR(__xludf.DUMMYFUNCTION("""COMPUTED_VALUE"""),"")</f>
        <v/>
      </c>
      <c r="L310" s="8" t="s">
        <v>299</v>
      </c>
    </row>
    <row r="311">
      <c r="A311" s="10"/>
      <c r="B311" s="8" t="str">
        <f>IFERROR(__xludf.DUMMYFUNCTION("""COMPUTED_VALUE"""),"")</f>
        <v/>
      </c>
      <c r="C311" s="8" t="str">
        <f>IFERROR(__xludf.DUMMYFUNCTION("""COMPUTED_VALUE"""),"")</f>
        <v/>
      </c>
      <c r="D311" s="8" t="str">
        <f>IFERROR(__xludf.DUMMYFUNCTION("""COMPUTED_VALUE"""),"")</f>
        <v/>
      </c>
      <c r="E311" s="8" t="str">
        <f>IFERROR(__xludf.DUMMYFUNCTION("""COMPUTED_VALUE"""),"")</f>
        <v/>
      </c>
      <c r="F311" s="8" t="str">
        <f>IFERROR(__xludf.DUMMYFUNCTION("""COMPUTED_VALUE"""),"")</f>
        <v/>
      </c>
      <c r="G311" s="8" t="str">
        <f>IFERROR(__xludf.DUMMYFUNCTION("""COMPUTED_VALUE"""),"")</f>
        <v/>
      </c>
      <c r="L311" s="8" t="s">
        <v>299</v>
      </c>
    </row>
    <row r="312">
      <c r="A312" s="10"/>
      <c r="B312" s="8" t="str">
        <f>IFERROR(__xludf.DUMMYFUNCTION("""COMPUTED_VALUE"""),"")</f>
        <v/>
      </c>
      <c r="C312" s="8" t="str">
        <f>IFERROR(__xludf.DUMMYFUNCTION("""COMPUTED_VALUE"""),"")</f>
        <v/>
      </c>
      <c r="D312" s="8" t="str">
        <f>IFERROR(__xludf.DUMMYFUNCTION("""COMPUTED_VALUE"""),"")</f>
        <v/>
      </c>
      <c r="E312" s="8" t="str">
        <f>IFERROR(__xludf.DUMMYFUNCTION("""COMPUTED_VALUE"""),"")</f>
        <v/>
      </c>
      <c r="F312" s="8" t="str">
        <f>IFERROR(__xludf.DUMMYFUNCTION("""COMPUTED_VALUE"""),"")</f>
        <v/>
      </c>
      <c r="G312" s="8" t="str">
        <f>IFERROR(__xludf.DUMMYFUNCTION("""COMPUTED_VALUE"""),"")</f>
        <v/>
      </c>
      <c r="L312" s="8" t="s">
        <v>299</v>
      </c>
    </row>
    <row r="313">
      <c r="A313" s="10"/>
      <c r="B313" s="8" t="str">
        <f>IFERROR(__xludf.DUMMYFUNCTION("""COMPUTED_VALUE"""),"")</f>
        <v/>
      </c>
      <c r="C313" s="8" t="str">
        <f>IFERROR(__xludf.DUMMYFUNCTION("""COMPUTED_VALUE"""),"")</f>
        <v/>
      </c>
      <c r="D313" s="8" t="str">
        <f>IFERROR(__xludf.DUMMYFUNCTION("""COMPUTED_VALUE"""),"")</f>
        <v/>
      </c>
      <c r="E313" s="8" t="str">
        <f>IFERROR(__xludf.DUMMYFUNCTION("""COMPUTED_VALUE"""),"")</f>
        <v/>
      </c>
      <c r="F313" s="8" t="str">
        <f>IFERROR(__xludf.DUMMYFUNCTION("""COMPUTED_VALUE"""),"")</f>
        <v/>
      </c>
      <c r="G313" s="8" t="str">
        <f>IFERROR(__xludf.DUMMYFUNCTION("""COMPUTED_VALUE"""),"")</f>
        <v/>
      </c>
      <c r="L313" s="8" t="s">
        <v>299</v>
      </c>
    </row>
    <row r="314">
      <c r="A314" s="10"/>
      <c r="B314" s="8" t="str">
        <f>IFERROR(__xludf.DUMMYFUNCTION("""COMPUTED_VALUE"""),"")</f>
        <v/>
      </c>
      <c r="C314" s="8" t="str">
        <f>IFERROR(__xludf.DUMMYFUNCTION("""COMPUTED_VALUE"""),"")</f>
        <v/>
      </c>
      <c r="D314" s="8" t="str">
        <f>IFERROR(__xludf.DUMMYFUNCTION("""COMPUTED_VALUE"""),"")</f>
        <v/>
      </c>
      <c r="E314" s="8" t="str">
        <f>IFERROR(__xludf.DUMMYFUNCTION("""COMPUTED_VALUE"""),"")</f>
        <v/>
      </c>
      <c r="F314" s="8" t="str">
        <f>IFERROR(__xludf.DUMMYFUNCTION("""COMPUTED_VALUE"""),"")</f>
        <v/>
      </c>
      <c r="G314" s="8" t="str">
        <f>IFERROR(__xludf.DUMMYFUNCTION("""COMPUTED_VALUE"""),"")</f>
        <v/>
      </c>
      <c r="L314" s="8" t="s">
        <v>299</v>
      </c>
    </row>
    <row r="315">
      <c r="A315" s="10"/>
      <c r="B315" s="8" t="str">
        <f>IFERROR(__xludf.DUMMYFUNCTION("""COMPUTED_VALUE"""),"")</f>
        <v/>
      </c>
      <c r="C315" s="8" t="str">
        <f>IFERROR(__xludf.DUMMYFUNCTION("""COMPUTED_VALUE"""),"")</f>
        <v/>
      </c>
      <c r="D315" s="8" t="str">
        <f>IFERROR(__xludf.DUMMYFUNCTION("""COMPUTED_VALUE"""),"")</f>
        <v/>
      </c>
      <c r="E315" s="8" t="str">
        <f>IFERROR(__xludf.DUMMYFUNCTION("""COMPUTED_VALUE"""),"")</f>
        <v/>
      </c>
      <c r="F315" s="8" t="str">
        <f>IFERROR(__xludf.DUMMYFUNCTION("""COMPUTED_VALUE"""),"")</f>
        <v/>
      </c>
      <c r="G315" s="8" t="str">
        <f>IFERROR(__xludf.DUMMYFUNCTION("""COMPUTED_VALUE"""),"")</f>
        <v/>
      </c>
      <c r="L315" s="8" t="s">
        <v>299</v>
      </c>
    </row>
    <row r="316">
      <c r="A316" s="10"/>
      <c r="B316" s="8" t="str">
        <f>IFERROR(__xludf.DUMMYFUNCTION("""COMPUTED_VALUE"""),"")</f>
        <v/>
      </c>
      <c r="C316" s="8" t="str">
        <f>IFERROR(__xludf.DUMMYFUNCTION("""COMPUTED_VALUE"""),"")</f>
        <v/>
      </c>
      <c r="D316" s="8" t="str">
        <f>IFERROR(__xludf.DUMMYFUNCTION("""COMPUTED_VALUE"""),"")</f>
        <v/>
      </c>
      <c r="E316" s="8" t="str">
        <f>IFERROR(__xludf.DUMMYFUNCTION("""COMPUTED_VALUE"""),"")</f>
        <v/>
      </c>
      <c r="F316" s="8" t="str">
        <f>IFERROR(__xludf.DUMMYFUNCTION("""COMPUTED_VALUE"""),"")</f>
        <v/>
      </c>
      <c r="G316" s="8" t="str">
        <f>IFERROR(__xludf.DUMMYFUNCTION("""COMPUTED_VALUE"""),"")</f>
        <v/>
      </c>
      <c r="L316" s="8" t="s">
        <v>299</v>
      </c>
    </row>
    <row r="317">
      <c r="A317" s="10"/>
      <c r="B317" s="8" t="str">
        <f>IFERROR(__xludf.DUMMYFUNCTION("""COMPUTED_VALUE"""),"")</f>
        <v/>
      </c>
      <c r="C317" s="8" t="str">
        <f>IFERROR(__xludf.DUMMYFUNCTION("""COMPUTED_VALUE"""),"")</f>
        <v/>
      </c>
      <c r="D317" s="8" t="str">
        <f>IFERROR(__xludf.DUMMYFUNCTION("""COMPUTED_VALUE"""),"")</f>
        <v/>
      </c>
      <c r="E317" s="8" t="str">
        <f>IFERROR(__xludf.DUMMYFUNCTION("""COMPUTED_VALUE"""),"")</f>
        <v/>
      </c>
      <c r="F317" s="8" t="str">
        <f>IFERROR(__xludf.DUMMYFUNCTION("""COMPUTED_VALUE"""),"")</f>
        <v/>
      </c>
      <c r="G317" s="8" t="str">
        <f>IFERROR(__xludf.DUMMYFUNCTION("""COMPUTED_VALUE"""),"")</f>
        <v/>
      </c>
      <c r="L317" s="8" t="s">
        <v>299</v>
      </c>
    </row>
    <row r="318">
      <c r="A318" s="10"/>
      <c r="B318" s="8" t="str">
        <f>IFERROR(__xludf.DUMMYFUNCTION("""COMPUTED_VALUE"""),"")</f>
        <v/>
      </c>
      <c r="C318" s="8" t="str">
        <f>IFERROR(__xludf.DUMMYFUNCTION("""COMPUTED_VALUE"""),"")</f>
        <v/>
      </c>
      <c r="D318" s="8" t="str">
        <f>IFERROR(__xludf.DUMMYFUNCTION("""COMPUTED_VALUE"""),"")</f>
        <v/>
      </c>
      <c r="E318" s="8" t="str">
        <f>IFERROR(__xludf.DUMMYFUNCTION("""COMPUTED_VALUE"""),"")</f>
        <v/>
      </c>
      <c r="F318" s="8" t="str">
        <f>IFERROR(__xludf.DUMMYFUNCTION("""COMPUTED_VALUE"""),"")</f>
        <v/>
      </c>
      <c r="G318" s="8" t="str">
        <f>IFERROR(__xludf.DUMMYFUNCTION("""COMPUTED_VALUE"""),"")</f>
        <v/>
      </c>
      <c r="L318" s="8" t="s">
        <v>299</v>
      </c>
    </row>
    <row r="319">
      <c r="A319" s="10"/>
      <c r="B319" s="8" t="str">
        <f>IFERROR(__xludf.DUMMYFUNCTION("""COMPUTED_VALUE"""),"")</f>
        <v/>
      </c>
      <c r="C319" s="8" t="str">
        <f>IFERROR(__xludf.DUMMYFUNCTION("""COMPUTED_VALUE"""),"")</f>
        <v/>
      </c>
      <c r="D319" s="8" t="str">
        <f>IFERROR(__xludf.DUMMYFUNCTION("""COMPUTED_VALUE"""),"")</f>
        <v/>
      </c>
      <c r="E319" s="8" t="str">
        <f>IFERROR(__xludf.DUMMYFUNCTION("""COMPUTED_VALUE"""),"")</f>
        <v/>
      </c>
      <c r="F319" s="8" t="str">
        <f>IFERROR(__xludf.DUMMYFUNCTION("""COMPUTED_VALUE"""),"")</f>
        <v/>
      </c>
      <c r="G319" s="8" t="str">
        <f>IFERROR(__xludf.DUMMYFUNCTION("""COMPUTED_VALUE"""),"")</f>
        <v/>
      </c>
      <c r="L319" s="8" t="s">
        <v>299</v>
      </c>
    </row>
    <row r="320">
      <c r="A320" s="10"/>
      <c r="B320" s="8" t="str">
        <f>IFERROR(__xludf.DUMMYFUNCTION("""COMPUTED_VALUE"""),"")</f>
        <v/>
      </c>
      <c r="C320" s="8" t="str">
        <f>IFERROR(__xludf.DUMMYFUNCTION("""COMPUTED_VALUE"""),"")</f>
        <v/>
      </c>
      <c r="D320" s="8" t="str">
        <f>IFERROR(__xludf.DUMMYFUNCTION("""COMPUTED_VALUE"""),"")</f>
        <v/>
      </c>
      <c r="E320" s="8" t="str">
        <f>IFERROR(__xludf.DUMMYFUNCTION("""COMPUTED_VALUE"""),"")</f>
        <v/>
      </c>
      <c r="F320" s="8" t="str">
        <f>IFERROR(__xludf.DUMMYFUNCTION("""COMPUTED_VALUE"""),"")</f>
        <v/>
      </c>
      <c r="G320" s="8" t="str">
        <f>IFERROR(__xludf.DUMMYFUNCTION("""COMPUTED_VALUE"""),"")</f>
        <v/>
      </c>
      <c r="L320" s="8" t="s">
        <v>299</v>
      </c>
    </row>
    <row r="321">
      <c r="A321" s="10"/>
      <c r="B321" s="8" t="str">
        <f>IFERROR(__xludf.DUMMYFUNCTION("""COMPUTED_VALUE"""),"")</f>
        <v/>
      </c>
      <c r="C321" s="8" t="str">
        <f>IFERROR(__xludf.DUMMYFUNCTION("""COMPUTED_VALUE"""),"")</f>
        <v/>
      </c>
      <c r="D321" s="8" t="str">
        <f>IFERROR(__xludf.DUMMYFUNCTION("""COMPUTED_VALUE"""),"")</f>
        <v/>
      </c>
      <c r="E321" s="8" t="str">
        <f>IFERROR(__xludf.DUMMYFUNCTION("""COMPUTED_VALUE"""),"")</f>
        <v/>
      </c>
      <c r="F321" s="8" t="str">
        <f>IFERROR(__xludf.DUMMYFUNCTION("""COMPUTED_VALUE"""),"")</f>
        <v/>
      </c>
      <c r="G321" s="8" t="str">
        <f>IFERROR(__xludf.DUMMYFUNCTION("""COMPUTED_VALUE"""),"")</f>
        <v/>
      </c>
      <c r="L321" s="8" t="s">
        <v>299</v>
      </c>
    </row>
    <row r="322">
      <c r="A322" s="10"/>
      <c r="B322" s="8" t="str">
        <f>IFERROR(__xludf.DUMMYFUNCTION("""COMPUTED_VALUE"""),"")</f>
        <v/>
      </c>
      <c r="C322" s="8" t="str">
        <f>IFERROR(__xludf.DUMMYFUNCTION("""COMPUTED_VALUE"""),"")</f>
        <v/>
      </c>
      <c r="D322" s="8" t="str">
        <f>IFERROR(__xludf.DUMMYFUNCTION("""COMPUTED_VALUE"""),"")</f>
        <v/>
      </c>
      <c r="E322" s="8" t="str">
        <f>IFERROR(__xludf.DUMMYFUNCTION("""COMPUTED_VALUE"""),"")</f>
        <v/>
      </c>
      <c r="F322" s="8" t="str">
        <f>IFERROR(__xludf.DUMMYFUNCTION("""COMPUTED_VALUE"""),"")</f>
        <v/>
      </c>
      <c r="G322" s="8" t="str">
        <f>IFERROR(__xludf.DUMMYFUNCTION("""COMPUTED_VALUE"""),"")</f>
        <v/>
      </c>
      <c r="L322" s="8" t="s">
        <v>299</v>
      </c>
    </row>
    <row r="323">
      <c r="A323" s="10"/>
      <c r="B323" s="8" t="str">
        <f>IFERROR(__xludf.DUMMYFUNCTION("""COMPUTED_VALUE"""),"")</f>
        <v/>
      </c>
      <c r="C323" s="8" t="str">
        <f>IFERROR(__xludf.DUMMYFUNCTION("""COMPUTED_VALUE"""),"")</f>
        <v/>
      </c>
      <c r="D323" s="8" t="str">
        <f>IFERROR(__xludf.DUMMYFUNCTION("""COMPUTED_VALUE"""),"")</f>
        <v/>
      </c>
      <c r="E323" s="8" t="str">
        <f>IFERROR(__xludf.DUMMYFUNCTION("""COMPUTED_VALUE"""),"")</f>
        <v/>
      </c>
      <c r="F323" s="8" t="str">
        <f>IFERROR(__xludf.DUMMYFUNCTION("""COMPUTED_VALUE"""),"")</f>
        <v/>
      </c>
      <c r="G323" s="8" t="str">
        <f>IFERROR(__xludf.DUMMYFUNCTION("""COMPUTED_VALUE"""),"")</f>
        <v/>
      </c>
      <c r="L323" s="8" t="s">
        <v>299</v>
      </c>
    </row>
    <row r="324">
      <c r="A324" s="10"/>
      <c r="B324" s="8" t="str">
        <f>IFERROR(__xludf.DUMMYFUNCTION("""COMPUTED_VALUE"""),"")</f>
        <v/>
      </c>
      <c r="C324" s="8" t="str">
        <f>IFERROR(__xludf.DUMMYFUNCTION("""COMPUTED_VALUE"""),"")</f>
        <v/>
      </c>
      <c r="D324" s="8" t="str">
        <f>IFERROR(__xludf.DUMMYFUNCTION("""COMPUTED_VALUE"""),"")</f>
        <v/>
      </c>
      <c r="E324" s="8" t="str">
        <f>IFERROR(__xludf.DUMMYFUNCTION("""COMPUTED_VALUE"""),"")</f>
        <v/>
      </c>
      <c r="F324" s="8" t="str">
        <f>IFERROR(__xludf.DUMMYFUNCTION("""COMPUTED_VALUE"""),"")</f>
        <v/>
      </c>
      <c r="G324" s="8" t="str">
        <f>IFERROR(__xludf.DUMMYFUNCTION("""COMPUTED_VALUE"""),"")</f>
        <v/>
      </c>
      <c r="L324" s="8" t="s">
        <v>299</v>
      </c>
    </row>
    <row r="325">
      <c r="A325" s="10"/>
      <c r="B325" s="8" t="str">
        <f>IFERROR(__xludf.DUMMYFUNCTION("""COMPUTED_VALUE"""),"")</f>
        <v/>
      </c>
      <c r="C325" s="8" t="str">
        <f>IFERROR(__xludf.DUMMYFUNCTION("""COMPUTED_VALUE"""),"")</f>
        <v/>
      </c>
      <c r="D325" s="8" t="str">
        <f>IFERROR(__xludf.DUMMYFUNCTION("""COMPUTED_VALUE"""),"")</f>
        <v/>
      </c>
      <c r="E325" s="8" t="str">
        <f>IFERROR(__xludf.DUMMYFUNCTION("""COMPUTED_VALUE"""),"")</f>
        <v/>
      </c>
      <c r="F325" s="8" t="str">
        <f>IFERROR(__xludf.DUMMYFUNCTION("""COMPUTED_VALUE"""),"")</f>
        <v/>
      </c>
      <c r="G325" s="8" t="str">
        <f>IFERROR(__xludf.DUMMYFUNCTION("""COMPUTED_VALUE"""),"")</f>
        <v/>
      </c>
      <c r="L325" s="8" t="s">
        <v>299</v>
      </c>
    </row>
    <row r="326">
      <c r="A326" s="10"/>
      <c r="B326" s="8" t="str">
        <f>IFERROR(__xludf.DUMMYFUNCTION("""COMPUTED_VALUE"""),"")</f>
        <v/>
      </c>
      <c r="C326" s="8" t="str">
        <f>IFERROR(__xludf.DUMMYFUNCTION("""COMPUTED_VALUE"""),"")</f>
        <v/>
      </c>
      <c r="D326" s="8" t="str">
        <f>IFERROR(__xludf.DUMMYFUNCTION("""COMPUTED_VALUE"""),"")</f>
        <v/>
      </c>
      <c r="E326" s="8" t="str">
        <f>IFERROR(__xludf.DUMMYFUNCTION("""COMPUTED_VALUE"""),"")</f>
        <v/>
      </c>
      <c r="F326" s="8" t="str">
        <f>IFERROR(__xludf.DUMMYFUNCTION("""COMPUTED_VALUE"""),"")</f>
        <v/>
      </c>
      <c r="G326" s="8" t="str">
        <f>IFERROR(__xludf.DUMMYFUNCTION("""COMPUTED_VALUE"""),"")</f>
        <v/>
      </c>
      <c r="L326" s="8" t="s">
        <v>299</v>
      </c>
    </row>
    <row r="327">
      <c r="A327" s="10"/>
      <c r="B327" s="8" t="str">
        <f>IFERROR(__xludf.DUMMYFUNCTION("""COMPUTED_VALUE"""),"")</f>
        <v/>
      </c>
      <c r="C327" s="8" t="str">
        <f>IFERROR(__xludf.DUMMYFUNCTION("""COMPUTED_VALUE"""),"")</f>
        <v/>
      </c>
      <c r="D327" s="8" t="str">
        <f>IFERROR(__xludf.DUMMYFUNCTION("""COMPUTED_VALUE"""),"")</f>
        <v/>
      </c>
      <c r="E327" s="8" t="str">
        <f>IFERROR(__xludf.DUMMYFUNCTION("""COMPUTED_VALUE"""),"")</f>
        <v/>
      </c>
      <c r="F327" s="8" t="str">
        <f>IFERROR(__xludf.DUMMYFUNCTION("""COMPUTED_VALUE"""),"")</f>
        <v/>
      </c>
      <c r="G327" s="8" t="str">
        <f>IFERROR(__xludf.DUMMYFUNCTION("""COMPUTED_VALUE"""),"")</f>
        <v/>
      </c>
      <c r="L327" s="8" t="s">
        <v>299</v>
      </c>
    </row>
    <row r="328">
      <c r="A328" s="10"/>
      <c r="B328" s="8" t="str">
        <f>IFERROR(__xludf.DUMMYFUNCTION("""COMPUTED_VALUE"""),"")</f>
        <v/>
      </c>
      <c r="C328" s="8" t="str">
        <f>IFERROR(__xludf.DUMMYFUNCTION("""COMPUTED_VALUE"""),"")</f>
        <v/>
      </c>
      <c r="D328" s="8" t="str">
        <f>IFERROR(__xludf.DUMMYFUNCTION("""COMPUTED_VALUE"""),"")</f>
        <v/>
      </c>
      <c r="E328" s="8" t="str">
        <f>IFERROR(__xludf.DUMMYFUNCTION("""COMPUTED_VALUE"""),"")</f>
        <v/>
      </c>
      <c r="F328" s="8" t="str">
        <f>IFERROR(__xludf.DUMMYFUNCTION("""COMPUTED_VALUE"""),"")</f>
        <v/>
      </c>
      <c r="G328" s="8" t="str">
        <f>IFERROR(__xludf.DUMMYFUNCTION("""COMPUTED_VALUE"""),"")</f>
        <v/>
      </c>
      <c r="L328" s="8" t="s">
        <v>299</v>
      </c>
    </row>
    <row r="329">
      <c r="A329" s="10"/>
      <c r="B329" s="8" t="str">
        <f>IFERROR(__xludf.DUMMYFUNCTION("""COMPUTED_VALUE"""),"")</f>
        <v/>
      </c>
      <c r="C329" s="8" t="str">
        <f>IFERROR(__xludf.DUMMYFUNCTION("""COMPUTED_VALUE"""),"")</f>
        <v/>
      </c>
      <c r="D329" s="8" t="str">
        <f>IFERROR(__xludf.DUMMYFUNCTION("""COMPUTED_VALUE"""),"")</f>
        <v/>
      </c>
      <c r="E329" s="8" t="str">
        <f>IFERROR(__xludf.DUMMYFUNCTION("""COMPUTED_VALUE"""),"")</f>
        <v/>
      </c>
      <c r="F329" s="8" t="str">
        <f>IFERROR(__xludf.DUMMYFUNCTION("""COMPUTED_VALUE"""),"")</f>
        <v/>
      </c>
      <c r="G329" s="8" t="str">
        <f>IFERROR(__xludf.DUMMYFUNCTION("""COMPUTED_VALUE"""),"")</f>
        <v/>
      </c>
      <c r="L329" s="8" t="s">
        <v>299</v>
      </c>
    </row>
    <row r="330">
      <c r="A330" s="10"/>
      <c r="B330" s="8" t="str">
        <f>IFERROR(__xludf.DUMMYFUNCTION("""COMPUTED_VALUE"""),"")</f>
        <v/>
      </c>
      <c r="C330" s="8" t="str">
        <f>IFERROR(__xludf.DUMMYFUNCTION("""COMPUTED_VALUE"""),"")</f>
        <v/>
      </c>
      <c r="D330" s="8" t="str">
        <f>IFERROR(__xludf.DUMMYFUNCTION("""COMPUTED_VALUE"""),"")</f>
        <v/>
      </c>
      <c r="E330" s="8" t="str">
        <f>IFERROR(__xludf.DUMMYFUNCTION("""COMPUTED_VALUE"""),"")</f>
        <v/>
      </c>
      <c r="F330" s="8" t="str">
        <f>IFERROR(__xludf.DUMMYFUNCTION("""COMPUTED_VALUE"""),"")</f>
        <v/>
      </c>
      <c r="G330" s="8" t="str">
        <f>IFERROR(__xludf.DUMMYFUNCTION("""COMPUTED_VALUE"""),"")</f>
        <v/>
      </c>
      <c r="L330" s="8" t="s">
        <v>299</v>
      </c>
    </row>
    <row r="331">
      <c r="A331" s="10"/>
      <c r="B331" s="8" t="str">
        <f>IFERROR(__xludf.DUMMYFUNCTION("""COMPUTED_VALUE"""),"")</f>
        <v/>
      </c>
      <c r="C331" s="8" t="str">
        <f>IFERROR(__xludf.DUMMYFUNCTION("""COMPUTED_VALUE"""),"")</f>
        <v/>
      </c>
      <c r="D331" s="8" t="str">
        <f>IFERROR(__xludf.DUMMYFUNCTION("""COMPUTED_VALUE"""),"")</f>
        <v/>
      </c>
      <c r="E331" s="8" t="str">
        <f>IFERROR(__xludf.DUMMYFUNCTION("""COMPUTED_VALUE"""),"")</f>
        <v/>
      </c>
      <c r="F331" s="8" t="str">
        <f>IFERROR(__xludf.DUMMYFUNCTION("""COMPUTED_VALUE"""),"")</f>
        <v/>
      </c>
      <c r="G331" s="8" t="str">
        <f>IFERROR(__xludf.DUMMYFUNCTION("""COMPUTED_VALUE"""),"")</f>
        <v/>
      </c>
      <c r="L331" s="8" t="s">
        <v>299</v>
      </c>
    </row>
    <row r="332">
      <c r="A332" s="10"/>
      <c r="B332" s="8" t="str">
        <f>IFERROR(__xludf.DUMMYFUNCTION("""COMPUTED_VALUE"""),"")</f>
        <v/>
      </c>
      <c r="C332" s="8" t="str">
        <f>IFERROR(__xludf.DUMMYFUNCTION("""COMPUTED_VALUE"""),"")</f>
        <v/>
      </c>
      <c r="D332" s="8" t="str">
        <f>IFERROR(__xludf.DUMMYFUNCTION("""COMPUTED_VALUE"""),"")</f>
        <v/>
      </c>
      <c r="E332" s="8" t="str">
        <f>IFERROR(__xludf.DUMMYFUNCTION("""COMPUTED_VALUE"""),"")</f>
        <v/>
      </c>
      <c r="F332" s="8" t="str">
        <f>IFERROR(__xludf.DUMMYFUNCTION("""COMPUTED_VALUE"""),"")</f>
        <v/>
      </c>
      <c r="G332" s="8" t="str">
        <f>IFERROR(__xludf.DUMMYFUNCTION("""COMPUTED_VALUE"""),"")</f>
        <v/>
      </c>
      <c r="L332" s="8" t="s">
        <v>299</v>
      </c>
    </row>
    <row r="333">
      <c r="A333" s="10"/>
      <c r="B333" s="8" t="str">
        <f>IFERROR(__xludf.DUMMYFUNCTION("""COMPUTED_VALUE"""),"")</f>
        <v/>
      </c>
      <c r="C333" s="8" t="str">
        <f>IFERROR(__xludf.DUMMYFUNCTION("""COMPUTED_VALUE"""),"")</f>
        <v/>
      </c>
      <c r="D333" s="8" t="str">
        <f>IFERROR(__xludf.DUMMYFUNCTION("""COMPUTED_VALUE"""),"")</f>
        <v/>
      </c>
      <c r="E333" s="8" t="str">
        <f>IFERROR(__xludf.DUMMYFUNCTION("""COMPUTED_VALUE"""),"")</f>
        <v/>
      </c>
      <c r="F333" s="8" t="str">
        <f>IFERROR(__xludf.DUMMYFUNCTION("""COMPUTED_VALUE"""),"")</f>
        <v/>
      </c>
      <c r="G333" s="8" t="str">
        <f>IFERROR(__xludf.DUMMYFUNCTION("""COMPUTED_VALUE"""),"")</f>
        <v/>
      </c>
      <c r="L333" s="8" t="s">
        <v>299</v>
      </c>
    </row>
    <row r="334">
      <c r="A334" s="10"/>
      <c r="B334" s="8" t="str">
        <f>IFERROR(__xludf.DUMMYFUNCTION("""COMPUTED_VALUE"""),"")</f>
        <v/>
      </c>
      <c r="C334" s="8" t="str">
        <f>IFERROR(__xludf.DUMMYFUNCTION("""COMPUTED_VALUE"""),"")</f>
        <v/>
      </c>
      <c r="D334" s="8" t="str">
        <f>IFERROR(__xludf.DUMMYFUNCTION("""COMPUTED_VALUE"""),"")</f>
        <v/>
      </c>
      <c r="E334" s="8" t="str">
        <f>IFERROR(__xludf.DUMMYFUNCTION("""COMPUTED_VALUE"""),"")</f>
        <v/>
      </c>
      <c r="F334" s="8" t="str">
        <f>IFERROR(__xludf.DUMMYFUNCTION("""COMPUTED_VALUE"""),"")</f>
        <v/>
      </c>
      <c r="G334" s="8" t="str">
        <f>IFERROR(__xludf.DUMMYFUNCTION("""COMPUTED_VALUE"""),"")</f>
        <v/>
      </c>
      <c r="L334" s="8" t="s">
        <v>299</v>
      </c>
    </row>
    <row r="335">
      <c r="A335" s="10"/>
      <c r="B335" s="8" t="str">
        <f>IFERROR(__xludf.DUMMYFUNCTION("""COMPUTED_VALUE"""),"")</f>
        <v/>
      </c>
      <c r="C335" s="8" t="str">
        <f>IFERROR(__xludf.DUMMYFUNCTION("""COMPUTED_VALUE"""),"")</f>
        <v/>
      </c>
      <c r="D335" s="8" t="str">
        <f>IFERROR(__xludf.DUMMYFUNCTION("""COMPUTED_VALUE"""),"")</f>
        <v/>
      </c>
      <c r="E335" s="8" t="str">
        <f>IFERROR(__xludf.DUMMYFUNCTION("""COMPUTED_VALUE"""),"")</f>
        <v/>
      </c>
      <c r="F335" s="8" t="str">
        <f>IFERROR(__xludf.DUMMYFUNCTION("""COMPUTED_VALUE"""),"")</f>
        <v/>
      </c>
      <c r="G335" s="8" t="str">
        <f>IFERROR(__xludf.DUMMYFUNCTION("""COMPUTED_VALUE"""),"")</f>
        <v/>
      </c>
      <c r="L335" s="8" t="s">
        <v>299</v>
      </c>
    </row>
    <row r="336">
      <c r="A336" s="10"/>
      <c r="B336" s="8" t="str">
        <f>IFERROR(__xludf.DUMMYFUNCTION("""COMPUTED_VALUE"""),"")</f>
        <v/>
      </c>
      <c r="C336" s="8" t="str">
        <f>IFERROR(__xludf.DUMMYFUNCTION("""COMPUTED_VALUE"""),"")</f>
        <v/>
      </c>
      <c r="D336" s="8" t="str">
        <f>IFERROR(__xludf.DUMMYFUNCTION("""COMPUTED_VALUE"""),"")</f>
        <v/>
      </c>
      <c r="E336" s="8" t="str">
        <f>IFERROR(__xludf.DUMMYFUNCTION("""COMPUTED_VALUE"""),"")</f>
        <v/>
      </c>
      <c r="F336" s="8" t="str">
        <f>IFERROR(__xludf.DUMMYFUNCTION("""COMPUTED_VALUE"""),"")</f>
        <v/>
      </c>
      <c r="G336" s="8" t="str">
        <f>IFERROR(__xludf.DUMMYFUNCTION("""COMPUTED_VALUE"""),"")</f>
        <v/>
      </c>
      <c r="L336" s="8" t="s">
        <v>299</v>
      </c>
    </row>
    <row r="337">
      <c r="A337" s="10"/>
      <c r="B337" s="8" t="str">
        <f>IFERROR(__xludf.DUMMYFUNCTION("""COMPUTED_VALUE"""),"")</f>
        <v/>
      </c>
      <c r="C337" s="8" t="str">
        <f>IFERROR(__xludf.DUMMYFUNCTION("""COMPUTED_VALUE"""),"")</f>
        <v/>
      </c>
      <c r="D337" s="8" t="str">
        <f>IFERROR(__xludf.DUMMYFUNCTION("""COMPUTED_VALUE"""),"")</f>
        <v/>
      </c>
      <c r="E337" s="8" t="str">
        <f>IFERROR(__xludf.DUMMYFUNCTION("""COMPUTED_VALUE"""),"")</f>
        <v/>
      </c>
      <c r="F337" s="8" t="str">
        <f>IFERROR(__xludf.DUMMYFUNCTION("""COMPUTED_VALUE"""),"")</f>
        <v/>
      </c>
      <c r="G337" s="8" t="str">
        <f>IFERROR(__xludf.DUMMYFUNCTION("""COMPUTED_VALUE"""),"")</f>
        <v/>
      </c>
      <c r="L337" s="8" t="s">
        <v>299</v>
      </c>
    </row>
    <row r="338">
      <c r="A338" s="10"/>
      <c r="B338" s="8" t="str">
        <f>IFERROR(__xludf.DUMMYFUNCTION("""COMPUTED_VALUE"""),"")</f>
        <v/>
      </c>
      <c r="C338" s="8" t="str">
        <f>IFERROR(__xludf.DUMMYFUNCTION("""COMPUTED_VALUE"""),"")</f>
        <v/>
      </c>
      <c r="D338" s="8" t="str">
        <f>IFERROR(__xludf.DUMMYFUNCTION("""COMPUTED_VALUE"""),"")</f>
        <v/>
      </c>
      <c r="E338" s="8" t="str">
        <f>IFERROR(__xludf.DUMMYFUNCTION("""COMPUTED_VALUE"""),"")</f>
        <v/>
      </c>
      <c r="F338" s="8" t="str">
        <f>IFERROR(__xludf.DUMMYFUNCTION("""COMPUTED_VALUE"""),"")</f>
        <v/>
      </c>
      <c r="G338" s="8" t="str">
        <f>IFERROR(__xludf.DUMMYFUNCTION("""COMPUTED_VALUE"""),"")</f>
        <v/>
      </c>
      <c r="L338" s="8" t="s">
        <v>299</v>
      </c>
    </row>
    <row r="339">
      <c r="A339" s="10"/>
      <c r="B339" s="8" t="str">
        <f>IFERROR(__xludf.DUMMYFUNCTION("""COMPUTED_VALUE"""),"")</f>
        <v/>
      </c>
      <c r="C339" s="8" t="str">
        <f>IFERROR(__xludf.DUMMYFUNCTION("""COMPUTED_VALUE"""),"")</f>
        <v/>
      </c>
      <c r="D339" s="8" t="str">
        <f>IFERROR(__xludf.DUMMYFUNCTION("""COMPUTED_VALUE"""),"")</f>
        <v/>
      </c>
      <c r="E339" s="8" t="str">
        <f>IFERROR(__xludf.DUMMYFUNCTION("""COMPUTED_VALUE"""),"")</f>
        <v/>
      </c>
      <c r="F339" s="8" t="str">
        <f>IFERROR(__xludf.DUMMYFUNCTION("""COMPUTED_VALUE"""),"")</f>
        <v/>
      </c>
      <c r="G339" s="8" t="str">
        <f>IFERROR(__xludf.DUMMYFUNCTION("""COMPUTED_VALUE"""),"")</f>
        <v/>
      </c>
      <c r="L339" s="8" t="s">
        <v>299</v>
      </c>
    </row>
    <row r="340">
      <c r="A340" s="10"/>
      <c r="B340" s="8" t="str">
        <f>IFERROR(__xludf.DUMMYFUNCTION("""COMPUTED_VALUE"""),"")</f>
        <v/>
      </c>
      <c r="C340" s="8" t="str">
        <f>IFERROR(__xludf.DUMMYFUNCTION("""COMPUTED_VALUE"""),"")</f>
        <v/>
      </c>
      <c r="D340" s="8" t="str">
        <f>IFERROR(__xludf.DUMMYFUNCTION("""COMPUTED_VALUE"""),"")</f>
        <v/>
      </c>
      <c r="E340" s="8" t="str">
        <f>IFERROR(__xludf.DUMMYFUNCTION("""COMPUTED_VALUE"""),"")</f>
        <v/>
      </c>
      <c r="F340" s="8" t="str">
        <f>IFERROR(__xludf.DUMMYFUNCTION("""COMPUTED_VALUE"""),"")</f>
        <v/>
      </c>
      <c r="G340" s="8" t="str">
        <f>IFERROR(__xludf.DUMMYFUNCTION("""COMPUTED_VALUE"""),"")</f>
        <v/>
      </c>
      <c r="L340" s="8" t="s">
        <v>299</v>
      </c>
    </row>
    <row r="341">
      <c r="A341" s="10"/>
      <c r="B341" s="8" t="str">
        <f>IFERROR(__xludf.DUMMYFUNCTION("""COMPUTED_VALUE"""),"")</f>
        <v/>
      </c>
      <c r="C341" s="8" t="str">
        <f>IFERROR(__xludf.DUMMYFUNCTION("""COMPUTED_VALUE"""),"")</f>
        <v/>
      </c>
      <c r="D341" s="8" t="str">
        <f>IFERROR(__xludf.DUMMYFUNCTION("""COMPUTED_VALUE"""),"")</f>
        <v/>
      </c>
      <c r="E341" s="8" t="str">
        <f>IFERROR(__xludf.DUMMYFUNCTION("""COMPUTED_VALUE"""),"")</f>
        <v/>
      </c>
      <c r="F341" s="8" t="str">
        <f>IFERROR(__xludf.DUMMYFUNCTION("""COMPUTED_VALUE"""),"")</f>
        <v/>
      </c>
      <c r="G341" s="8" t="str">
        <f>IFERROR(__xludf.DUMMYFUNCTION("""COMPUTED_VALUE"""),"")</f>
        <v/>
      </c>
      <c r="L341" s="8" t="s">
        <v>299</v>
      </c>
    </row>
    <row r="342">
      <c r="A342" s="10"/>
      <c r="B342" s="8" t="str">
        <f>IFERROR(__xludf.DUMMYFUNCTION("""COMPUTED_VALUE"""),"")</f>
        <v/>
      </c>
      <c r="C342" s="8" t="str">
        <f>IFERROR(__xludf.DUMMYFUNCTION("""COMPUTED_VALUE"""),"")</f>
        <v/>
      </c>
      <c r="D342" s="8" t="str">
        <f>IFERROR(__xludf.DUMMYFUNCTION("""COMPUTED_VALUE"""),"")</f>
        <v/>
      </c>
      <c r="E342" s="8" t="str">
        <f>IFERROR(__xludf.DUMMYFUNCTION("""COMPUTED_VALUE"""),"")</f>
        <v/>
      </c>
      <c r="F342" s="8" t="str">
        <f>IFERROR(__xludf.DUMMYFUNCTION("""COMPUTED_VALUE"""),"")</f>
        <v/>
      </c>
      <c r="G342" s="8" t="str">
        <f>IFERROR(__xludf.DUMMYFUNCTION("""COMPUTED_VALUE"""),"")</f>
        <v/>
      </c>
      <c r="L342" s="8" t="s">
        <v>299</v>
      </c>
    </row>
    <row r="343">
      <c r="A343" s="10"/>
      <c r="B343" s="8" t="str">
        <f>IFERROR(__xludf.DUMMYFUNCTION("""COMPUTED_VALUE"""),"")</f>
        <v/>
      </c>
      <c r="C343" s="8" t="str">
        <f>IFERROR(__xludf.DUMMYFUNCTION("""COMPUTED_VALUE"""),"")</f>
        <v/>
      </c>
      <c r="D343" s="8" t="str">
        <f>IFERROR(__xludf.DUMMYFUNCTION("""COMPUTED_VALUE"""),"")</f>
        <v/>
      </c>
      <c r="E343" s="8" t="str">
        <f>IFERROR(__xludf.DUMMYFUNCTION("""COMPUTED_VALUE"""),"")</f>
        <v/>
      </c>
      <c r="F343" s="8" t="str">
        <f>IFERROR(__xludf.DUMMYFUNCTION("""COMPUTED_VALUE"""),"")</f>
        <v/>
      </c>
      <c r="G343" s="8" t="str">
        <f>IFERROR(__xludf.DUMMYFUNCTION("""COMPUTED_VALUE"""),"")</f>
        <v/>
      </c>
      <c r="L343" s="8" t="s">
        <v>299</v>
      </c>
    </row>
    <row r="344">
      <c r="A344" s="10"/>
      <c r="B344" s="8" t="str">
        <f>IFERROR(__xludf.DUMMYFUNCTION("""COMPUTED_VALUE"""),"")</f>
        <v/>
      </c>
      <c r="C344" s="8" t="str">
        <f>IFERROR(__xludf.DUMMYFUNCTION("""COMPUTED_VALUE"""),"")</f>
        <v/>
      </c>
      <c r="D344" s="8" t="str">
        <f>IFERROR(__xludf.DUMMYFUNCTION("""COMPUTED_VALUE"""),"")</f>
        <v/>
      </c>
      <c r="E344" s="8" t="str">
        <f>IFERROR(__xludf.DUMMYFUNCTION("""COMPUTED_VALUE"""),"")</f>
        <v/>
      </c>
      <c r="F344" s="8" t="str">
        <f>IFERROR(__xludf.DUMMYFUNCTION("""COMPUTED_VALUE"""),"")</f>
        <v/>
      </c>
      <c r="G344" s="8" t="str">
        <f>IFERROR(__xludf.DUMMYFUNCTION("""COMPUTED_VALUE"""),"")</f>
        <v/>
      </c>
      <c r="L344" s="8" t="s">
        <v>299</v>
      </c>
    </row>
    <row r="345">
      <c r="A345" s="10"/>
      <c r="B345" s="8" t="str">
        <f>IFERROR(__xludf.DUMMYFUNCTION("""COMPUTED_VALUE"""),"")</f>
        <v/>
      </c>
      <c r="C345" s="8" t="str">
        <f>IFERROR(__xludf.DUMMYFUNCTION("""COMPUTED_VALUE"""),"")</f>
        <v/>
      </c>
      <c r="D345" s="8" t="str">
        <f>IFERROR(__xludf.DUMMYFUNCTION("""COMPUTED_VALUE"""),"")</f>
        <v/>
      </c>
      <c r="E345" s="8" t="str">
        <f>IFERROR(__xludf.DUMMYFUNCTION("""COMPUTED_VALUE"""),"")</f>
        <v/>
      </c>
      <c r="F345" s="8" t="str">
        <f>IFERROR(__xludf.DUMMYFUNCTION("""COMPUTED_VALUE"""),"")</f>
        <v/>
      </c>
      <c r="G345" s="8" t="str">
        <f>IFERROR(__xludf.DUMMYFUNCTION("""COMPUTED_VALUE"""),"")</f>
        <v/>
      </c>
      <c r="L345" s="8" t="s">
        <v>299</v>
      </c>
    </row>
    <row r="346">
      <c r="A346" s="10"/>
      <c r="B346" s="8" t="str">
        <f>IFERROR(__xludf.DUMMYFUNCTION("""COMPUTED_VALUE"""),"")</f>
        <v/>
      </c>
      <c r="C346" s="8" t="str">
        <f>IFERROR(__xludf.DUMMYFUNCTION("""COMPUTED_VALUE"""),"")</f>
        <v/>
      </c>
      <c r="D346" s="8" t="str">
        <f>IFERROR(__xludf.DUMMYFUNCTION("""COMPUTED_VALUE"""),"")</f>
        <v/>
      </c>
      <c r="E346" s="8" t="str">
        <f>IFERROR(__xludf.DUMMYFUNCTION("""COMPUTED_VALUE"""),"")</f>
        <v/>
      </c>
      <c r="F346" s="8" t="str">
        <f>IFERROR(__xludf.DUMMYFUNCTION("""COMPUTED_VALUE"""),"")</f>
        <v/>
      </c>
      <c r="G346" s="8" t="str">
        <f>IFERROR(__xludf.DUMMYFUNCTION("""COMPUTED_VALUE"""),"")</f>
        <v/>
      </c>
      <c r="L346" s="8" t="s">
        <v>299</v>
      </c>
    </row>
    <row r="347">
      <c r="A347" s="10"/>
      <c r="B347" s="8" t="str">
        <f>IFERROR(__xludf.DUMMYFUNCTION("""COMPUTED_VALUE"""),"")</f>
        <v/>
      </c>
      <c r="C347" s="8" t="str">
        <f>IFERROR(__xludf.DUMMYFUNCTION("""COMPUTED_VALUE"""),"")</f>
        <v/>
      </c>
      <c r="D347" s="8" t="str">
        <f>IFERROR(__xludf.DUMMYFUNCTION("""COMPUTED_VALUE"""),"")</f>
        <v/>
      </c>
      <c r="E347" s="8" t="str">
        <f>IFERROR(__xludf.DUMMYFUNCTION("""COMPUTED_VALUE"""),"")</f>
        <v/>
      </c>
      <c r="F347" s="8" t="str">
        <f>IFERROR(__xludf.DUMMYFUNCTION("""COMPUTED_VALUE"""),"")</f>
        <v/>
      </c>
      <c r="G347" s="8" t="str">
        <f>IFERROR(__xludf.DUMMYFUNCTION("""COMPUTED_VALUE"""),"")</f>
        <v/>
      </c>
      <c r="L347" s="8" t="s">
        <v>299</v>
      </c>
    </row>
    <row r="348">
      <c r="A348" s="10"/>
      <c r="B348" s="8" t="str">
        <f>IFERROR(__xludf.DUMMYFUNCTION("""COMPUTED_VALUE"""),"")</f>
        <v/>
      </c>
      <c r="C348" s="8" t="str">
        <f>IFERROR(__xludf.DUMMYFUNCTION("""COMPUTED_VALUE"""),"")</f>
        <v/>
      </c>
      <c r="D348" s="8" t="str">
        <f>IFERROR(__xludf.DUMMYFUNCTION("""COMPUTED_VALUE"""),"")</f>
        <v/>
      </c>
      <c r="E348" s="8" t="str">
        <f>IFERROR(__xludf.DUMMYFUNCTION("""COMPUTED_VALUE"""),"")</f>
        <v/>
      </c>
      <c r="F348" s="8" t="str">
        <f>IFERROR(__xludf.DUMMYFUNCTION("""COMPUTED_VALUE"""),"")</f>
        <v/>
      </c>
      <c r="G348" s="8" t="str">
        <f>IFERROR(__xludf.DUMMYFUNCTION("""COMPUTED_VALUE"""),"")</f>
        <v/>
      </c>
      <c r="L348" s="8" t="s">
        <v>299</v>
      </c>
    </row>
    <row r="349">
      <c r="A349" s="10"/>
      <c r="B349" s="8" t="str">
        <f>IFERROR(__xludf.DUMMYFUNCTION("""COMPUTED_VALUE"""),"")</f>
        <v/>
      </c>
      <c r="C349" s="8" t="str">
        <f>IFERROR(__xludf.DUMMYFUNCTION("""COMPUTED_VALUE"""),"")</f>
        <v/>
      </c>
      <c r="D349" s="8" t="str">
        <f>IFERROR(__xludf.DUMMYFUNCTION("""COMPUTED_VALUE"""),"")</f>
        <v/>
      </c>
      <c r="E349" s="8" t="str">
        <f>IFERROR(__xludf.DUMMYFUNCTION("""COMPUTED_VALUE"""),"")</f>
        <v/>
      </c>
      <c r="F349" s="8" t="str">
        <f>IFERROR(__xludf.DUMMYFUNCTION("""COMPUTED_VALUE"""),"")</f>
        <v/>
      </c>
      <c r="G349" s="8" t="str">
        <f>IFERROR(__xludf.DUMMYFUNCTION("""COMPUTED_VALUE"""),"")</f>
        <v/>
      </c>
      <c r="L349" s="8" t="s">
        <v>299</v>
      </c>
    </row>
    <row r="350">
      <c r="A350" s="10"/>
      <c r="B350" s="8" t="str">
        <f>IFERROR(__xludf.DUMMYFUNCTION("""COMPUTED_VALUE"""),"")</f>
        <v/>
      </c>
      <c r="C350" s="8" t="str">
        <f>IFERROR(__xludf.DUMMYFUNCTION("""COMPUTED_VALUE"""),"")</f>
        <v/>
      </c>
      <c r="D350" s="8" t="str">
        <f>IFERROR(__xludf.DUMMYFUNCTION("""COMPUTED_VALUE"""),"")</f>
        <v/>
      </c>
      <c r="E350" s="8" t="str">
        <f>IFERROR(__xludf.DUMMYFUNCTION("""COMPUTED_VALUE"""),"")</f>
        <v/>
      </c>
      <c r="F350" s="8" t="str">
        <f>IFERROR(__xludf.DUMMYFUNCTION("""COMPUTED_VALUE"""),"")</f>
        <v/>
      </c>
      <c r="G350" s="8" t="str">
        <f>IFERROR(__xludf.DUMMYFUNCTION("""COMPUTED_VALUE"""),"")</f>
        <v/>
      </c>
      <c r="L350" s="8" t="s">
        <v>299</v>
      </c>
    </row>
    <row r="351">
      <c r="A351" s="10"/>
      <c r="B351" s="8" t="str">
        <f>IFERROR(__xludf.DUMMYFUNCTION("""COMPUTED_VALUE"""),"")</f>
        <v/>
      </c>
      <c r="C351" s="8" t="str">
        <f>IFERROR(__xludf.DUMMYFUNCTION("""COMPUTED_VALUE"""),"")</f>
        <v/>
      </c>
      <c r="D351" s="8" t="str">
        <f>IFERROR(__xludf.DUMMYFUNCTION("""COMPUTED_VALUE"""),"")</f>
        <v/>
      </c>
      <c r="E351" s="8" t="str">
        <f>IFERROR(__xludf.DUMMYFUNCTION("""COMPUTED_VALUE"""),"")</f>
        <v/>
      </c>
      <c r="F351" s="8" t="str">
        <f>IFERROR(__xludf.DUMMYFUNCTION("""COMPUTED_VALUE"""),"")</f>
        <v/>
      </c>
      <c r="G351" s="8" t="str">
        <f>IFERROR(__xludf.DUMMYFUNCTION("""COMPUTED_VALUE"""),"")</f>
        <v/>
      </c>
      <c r="L351" s="8" t="s">
        <v>299</v>
      </c>
    </row>
    <row r="352">
      <c r="A352" s="10"/>
      <c r="B352" s="8" t="str">
        <f>IFERROR(__xludf.DUMMYFUNCTION("""COMPUTED_VALUE"""),"")</f>
        <v/>
      </c>
      <c r="C352" s="8" t="str">
        <f>IFERROR(__xludf.DUMMYFUNCTION("""COMPUTED_VALUE"""),"")</f>
        <v/>
      </c>
      <c r="D352" s="8" t="str">
        <f>IFERROR(__xludf.DUMMYFUNCTION("""COMPUTED_VALUE"""),"")</f>
        <v/>
      </c>
      <c r="E352" s="8" t="str">
        <f>IFERROR(__xludf.DUMMYFUNCTION("""COMPUTED_VALUE"""),"")</f>
        <v/>
      </c>
      <c r="F352" s="8" t="str">
        <f>IFERROR(__xludf.DUMMYFUNCTION("""COMPUTED_VALUE"""),"")</f>
        <v/>
      </c>
      <c r="G352" s="8" t="str">
        <f>IFERROR(__xludf.DUMMYFUNCTION("""COMPUTED_VALUE"""),"")</f>
        <v/>
      </c>
      <c r="L352" s="8" t="s">
        <v>299</v>
      </c>
    </row>
    <row r="353">
      <c r="A353" s="10"/>
      <c r="B353" s="8" t="str">
        <f>IFERROR(__xludf.DUMMYFUNCTION("""COMPUTED_VALUE"""),"")</f>
        <v/>
      </c>
      <c r="C353" s="8" t="str">
        <f>IFERROR(__xludf.DUMMYFUNCTION("""COMPUTED_VALUE"""),"")</f>
        <v/>
      </c>
      <c r="D353" s="8" t="str">
        <f>IFERROR(__xludf.DUMMYFUNCTION("""COMPUTED_VALUE"""),"")</f>
        <v/>
      </c>
      <c r="E353" s="8" t="str">
        <f>IFERROR(__xludf.DUMMYFUNCTION("""COMPUTED_VALUE"""),"")</f>
        <v/>
      </c>
      <c r="F353" s="8" t="str">
        <f>IFERROR(__xludf.DUMMYFUNCTION("""COMPUTED_VALUE"""),"")</f>
        <v/>
      </c>
      <c r="G353" s="8" t="str">
        <f>IFERROR(__xludf.DUMMYFUNCTION("""COMPUTED_VALUE"""),"")</f>
        <v/>
      </c>
      <c r="L353" s="8" t="s">
        <v>299</v>
      </c>
    </row>
    <row r="354">
      <c r="A354" s="10"/>
      <c r="B354" s="8" t="str">
        <f>IFERROR(__xludf.DUMMYFUNCTION("""COMPUTED_VALUE"""),"")</f>
        <v/>
      </c>
      <c r="C354" s="8" t="str">
        <f>IFERROR(__xludf.DUMMYFUNCTION("""COMPUTED_VALUE"""),"")</f>
        <v/>
      </c>
      <c r="D354" s="8" t="str">
        <f>IFERROR(__xludf.DUMMYFUNCTION("""COMPUTED_VALUE"""),"")</f>
        <v/>
      </c>
      <c r="E354" s="8" t="str">
        <f>IFERROR(__xludf.DUMMYFUNCTION("""COMPUTED_VALUE"""),"")</f>
        <v/>
      </c>
      <c r="F354" s="8" t="str">
        <f>IFERROR(__xludf.DUMMYFUNCTION("""COMPUTED_VALUE"""),"")</f>
        <v/>
      </c>
      <c r="G354" s="8" t="str">
        <f>IFERROR(__xludf.DUMMYFUNCTION("""COMPUTED_VALUE"""),"")</f>
        <v/>
      </c>
      <c r="L354" s="8" t="s">
        <v>299</v>
      </c>
    </row>
    <row r="355">
      <c r="A355" s="10"/>
      <c r="B355" s="8" t="str">
        <f>IFERROR(__xludf.DUMMYFUNCTION("""COMPUTED_VALUE"""),"")</f>
        <v/>
      </c>
      <c r="C355" s="8" t="str">
        <f>IFERROR(__xludf.DUMMYFUNCTION("""COMPUTED_VALUE"""),"")</f>
        <v/>
      </c>
      <c r="D355" s="8" t="str">
        <f>IFERROR(__xludf.DUMMYFUNCTION("""COMPUTED_VALUE"""),"")</f>
        <v/>
      </c>
      <c r="E355" s="8" t="str">
        <f>IFERROR(__xludf.DUMMYFUNCTION("""COMPUTED_VALUE"""),"")</f>
        <v/>
      </c>
      <c r="F355" s="8" t="str">
        <f>IFERROR(__xludf.DUMMYFUNCTION("""COMPUTED_VALUE"""),"")</f>
        <v/>
      </c>
      <c r="G355" s="8" t="str">
        <f>IFERROR(__xludf.DUMMYFUNCTION("""COMPUTED_VALUE"""),"")</f>
        <v/>
      </c>
      <c r="L355" s="8" t="s">
        <v>299</v>
      </c>
    </row>
    <row r="356">
      <c r="A356" s="10"/>
      <c r="B356" s="8" t="str">
        <f>IFERROR(__xludf.DUMMYFUNCTION("""COMPUTED_VALUE"""),"")</f>
        <v/>
      </c>
      <c r="C356" s="8" t="str">
        <f>IFERROR(__xludf.DUMMYFUNCTION("""COMPUTED_VALUE"""),"")</f>
        <v/>
      </c>
      <c r="D356" s="8" t="str">
        <f>IFERROR(__xludf.DUMMYFUNCTION("""COMPUTED_VALUE"""),"")</f>
        <v/>
      </c>
      <c r="E356" s="8" t="str">
        <f>IFERROR(__xludf.DUMMYFUNCTION("""COMPUTED_VALUE"""),"")</f>
        <v/>
      </c>
      <c r="F356" s="8" t="str">
        <f>IFERROR(__xludf.DUMMYFUNCTION("""COMPUTED_VALUE"""),"")</f>
        <v/>
      </c>
      <c r="G356" s="8" t="str">
        <f>IFERROR(__xludf.DUMMYFUNCTION("""COMPUTED_VALUE"""),"")</f>
        <v/>
      </c>
      <c r="L356" s="8" t="s">
        <v>299</v>
      </c>
    </row>
    <row r="357">
      <c r="A357" s="10"/>
      <c r="B357" s="8" t="str">
        <f>IFERROR(__xludf.DUMMYFUNCTION("""COMPUTED_VALUE"""),"")</f>
        <v/>
      </c>
      <c r="C357" s="8" t="str">
        <f>IFERROR(__xludf.DUMMYFUNCTION("""COMPUTED_VALUE"""),"")</f>
        <v/>
      </c>
      <c r="D357" s="8" t="str">
        <f>IFERROR(__xludf.DUMMYFUNCTION("""COMPUTED_VALUE"""),"")</f>
        <v/>
      </c>
      <c r="E357" s="8" t="str">
        <f>IFERROR(__xludf.DUMMYFUNCTION("""COMPUTED_VALUE"""),"")</f>
        <v/>
      </c>
      <c r="F357" s="8" t="str">
        <f>IFERROR(__xludf.DUMMYFUNCTION("""COMPUTED_VALUE"""),"")</f>
        <v/>
      </c>
      <c r="G357" s="8" t="str">
        <f>IFERROR(__xludf.DUMMYFUNCTION("""COMPUTED_VALUE"""),"")</f>
        <v/>
      </c>
      <c r="L357" s="8" t="s">
        <v>299</v>
      </c>
    </row>
    <row r="358">
      <c r="A358" s="10"/>
      <c r="B358" s="8" t="str">
        <f>IFERROR(__xludf.DUMMYFUNCTION("""COMPUTED_VALUE"""),"")</f>
        <v/>
      </c>
      <c r="C358" s="8" t="str">
        <f>IFERROR(__xludf.DUMMYFUNCTION("""COMPUTED_VALUE"""),"")</f>
        <v/>
      </c>
      <c r="D358" s="8" t="str">
        <f>IFERROR(__xludf.DUMMYFUNCTION("""COMPUTED_VALUE"""),"")</f>
        <v/>
      </c>
      <c r="E358" s="8" t="str">
        <f>IFERROR(__xludf.DUMMYFUNCTION("""COMPUTED_VALUE"""),"")</f>
        <v/>
      </c>
      <c r="F358" s="8" t="str">
        <f>IFERROR(__xludf.DUMMYFUNCTION("""COMPUTED_VALUE"""),"")</f>
        <v/>
      </c>
      <c r="G358" s="8" t="str">
        <f>IFERROR(__xludf.DUMMYFUNCTION("""COMPUTED_VALUE"""),"")</f>
        <v/>
      </c>
      <c r="L358" s="8" t="s">
        <v>299</v>
      </c>
    </row>
    <row r="359">
      <c r="A359" s="10"/>
      <c r="B359" s="8" t="str">
        <f>IFERROR(__xludf.DUMMYFUNCTION("""COMPUTED_VALUE"""),"")</f>
        <v/>
      </c>
      <c r="C359" s="8" t="str">
        <f>IFERROR(__xludf.DUMMYFUNCTION("""COMPUTED_VALUE"""),"")</f>
        <v/>
      </c>
      <c r="D359" s="8" t="str">
        <f>IFERROR(__xludf.DUMMYFUNCTION("""COMPUTED_VALUE"""),"")</f>
        <v/>
      </c>
      <c r="E359" s="8" t="str">
        <f>IFERROR(__xludf.DUMMYFUNCTION("""COMPUTED_VALUE"""),"")</f>
        <v/>
      </c>
      <c r="F359" s="8" t="str">
        <f>IFERROR(__xludf.DUMMYFUNCTION("""COMPUTED_VALUE"""),"")</f>
        <v/>
      </c>
      <c r="G359" s="8" t="str">
        <f>IFERROR(__xludf.DUMMYFUNCTION("""COMPUTED_VALUE"""),"")</f>
        <v/>
      </c>
      <c r="L359" s="8" t="s">
        <v>299</v>
      </c>
    </row>
    <row r="360">
      <c r="A360" s="10"/>
      <c r="B360" s="8" t="str">
        <f>IFERROR(__xludf.DUMMYFUNCTION("""COMPUTED_VALUE"""),"")</f>
        <v/>
      </c>
      <c r="C360" s="8" t="str">
        <f>IFERROR(__xludf.DUMMYFUNCTION("""COMPUTED_VALUE"""),"")</f>
        <v/>
      </c>
      <c r="D360" s="8" t="str">
        <f>IFERROR(__xludf.DUMMYFUNCTION("""COMPUTED_VALUE"""),"")</f>
        <v/>
      </c>
      <c r="E360" s="8" t="str">
        <f>IFERROR(__xludf.DUMMYFUNCTION("""COMPUTED_VALUE"""),"")</f>
        <v/>
      </c>
      <c r="F360" s="8" t="str">
        <f>IFERROR(__xludf.DUMMYFUNCTION("""COMPUTED_VALUE"""),"")</f>
        <v/>
      </c>
      <c r="G360" s="8" t="str">
        <f>IFERROR(__xludf.DUMMYFUNCTION("""COMPUTED_VALUE"""),"")</f>
        <v/>
      </c>
      <c r="L360" s="8" t="s">
        <v>299</v>
      </c>
    </row>
    <row r="361">
      <c r="A361" s="10"/>
      <c r="B361" s="8" t="str">
        <f>IFERROR(__xludf.DUMMYFUNCTION("""COMPUTED_VALUE"""),"")</f>
        <v/>
      </c>
      <c r="C361" s="8" t="str">
        <f>IFERROR(__xludf.DUMMYFUNCTION("""COMPUTED_VALUE"""),"")</f>
        <v/>
      </c>
      <c r="D361" s="8" t="str">
        <f>IFERROR(__xludf.DUMMYFUNCTION("""COMPUTED_VALUE"""),"")</f>
        <v/>
      </c>
      <c r="E361" s="8" t="str">
        <f>IFERROR(__xludf.DUMMYFUNCTION("""COMPUTED_VALUE"""),"")</f>
        <v/>
      </c>
      <c r="F361" s="8" t="str">
        <f>IFERROR(__xludf.DUMMYFUNCTION("""COMPUTED_VALUE"""),"")</f>
        <v/>
      </c>
      <c r="G361" s="8" t="str">
        <f>IFERROR(__xludf.DUMMYFUNCTION("""COMPUTED_VALUE"""),"")</f>
        <v/>
      </c>
      <c r="L361" s="8" t="s">
        <v>299</v>
      </c>
    </row>
    <row r="362">
      <c r="A362" s="10"/>
      <c r="B362" s="8" t="str">
        <f>IFERROR(__xludf.DUMMYFUNCTION("""COMPUTED_VALUE"""),"")</f>
        <v/>
      </c>
      <c r="C362" s="8" t="str">
        <f>IFERROR(__xludf.DUMMYFUNCTION("""COMPUTED_VALUE"""),"")</f>
        <v/>
      </c>
      <c r="D362" s="8" t="str">
        <f>IFERROR(__xludf.DUMMYFUNCTION("""COMPUTED_VALUE"""),"")</f>
        <v/>
      </c>
      <c r="E362" s="8" t="str">
        <f>IFERROR(__xludf.DUMMYFUNCTION("""COMPUTED_VALUE"""),"")</f>
        <v/>
      </c>
      <c r="F362" s="8" t="str">
        <f>IFERROR(__xludf.DUMMYFUNCTION("""COMPUTED_VALUE"""),"")</f>
        <v/>
      </c>
      <c r="G362" s="8" t="str">
        <f>IFERROR(__xludf.DUMMYFUNCTION("""COMPUTED_VALUE"""),"")</f>
        <v/>
      </c>
      <c r="L362" s="8" t="s">
        <v>299</v>
      </c>
    </row>
    <row r="363">
      <c r="A363" s="10"/>
      <c r="B363" s="8" t="str">
        <f>IFERROR(__xludf.DUMMYFUNCTION("""COMPUTED_VALUE"""),"")</f>
        <v/>
      </c>
      <c r="C363" s="8" t="str">
        <f>IFERROR(__xludf.DUMMYFUNCTION("""COMPUTED_VALUE"""),"")</f>
        <v/>
      </c>
      <c r="D363" s="8" t="str">
        <f>IFERROR(__xludf.DUMMYFUNCTION("""COMPUTED_VALUE"""),"")</f>
        <v/>
      </c>
      <c r="E363" s="8" t="str">
        <f>IFERROR(__xludf.DUMMYFUNCTION("""COMPUTED_VALUE"""),"")</f>
        <v/>
      </c>
      <c r="F363" s="8" t="str">
        <f>IFERROR(__xludf.DUMMYFUNCTION("""COMPUTED_VALUE"""),"")</f>
        <v/>
      </c>
      <c r="G363" s="8" t="str">
        <f>IFERROR(__xludf.DUMMYFUNCTION("""COMPUTED_VALUE"""),"")</f>
        <v/>
      </c>
      <c r="L363" s="8" t="s">
        <v>299</v>
      </c>
    </row>
    <row r="364">
      <c r="A364" s="10"/>
      <c r="B364" s="8" t="str">
        <f>IFERROR(__xludf.DUMMYFUNCTION("""COMPUTED_VALUE"""),"")</f>
        <v/>
      </c>
      <c r="C364" s="8" t="str">
        <f>IFERROR(__xludf.DUMMYFUNCTION("""COMPUTED_VALUE"""),"")</f>
        <v/>
      </c>
      <c r="D364" s="8" t="str">
        <f>IFERROR(__xludf.DUMMYFUNCTION("""COMPUTED_VALUE"""),"")</f>
        <v/>
      </c>
      <c r="E364" s="8" t="str">
        <f>IFERROR(__xludf.DUMMYFUNCTION("""COMPUTED_VALUE"""),"")</f>
        <v/>
      </c>
      <c r="F364" s="8" t="str">
        <f>IFERROR(__xludf.DUMMYFUNCTION("""COMPUTED_VALUE"""),"")</f>
        <v/>
      </c>
      <c r="G364" s="8" t="str">
        <f>IFERROR(__xludf.DUMMYFUNCTION("""COMPUTED_VALUE"""),"")</f>
        <v/>
      </c>
      <c r="L364" s="8" t="s">
        <v>299</v>
      </c>
    </row>
    <row r="365">
      <c r="A365" s="10"/>
      <c r="B365" s="8" t="str">
        <f>IFERROR(__xludf.DUMMYFUNCTION("""COMPUTED_VALUE"""),"")</f>
        <v/>
      </c>
      <c r="C365" s="8" t="str">
        <f>IFERROR(__xludf.DUMMYFUNCTION("""COMPUTED_VALUE"""),"")</f>
        <v/>
      </c>
      <c r="D365" s="8" t="str">
        <f>IFERROR(__xludf.DUMMYFUNCTION("""COMPUTED_VALUE"""),"")</f>
        <v/>
      </c>
      <c r="E365" s="8" t="str">
        <f>IFERROR(__xludf.DUMMYFUNCTION("""COMPUTED_VALUE"""),"")</f>
        <v/>
      </c>
      <c r="F365" s="8" t="str">
        <f>IFERROR(__xludf.DUMMYFUNCTION("""COMPUTED_VALUE"""),"")</f>
        <v/>
      </c>
      <c r="G365" s="8" t="str">
        <f>IFERROR(__xludf.DUMMYFUNCTION("""COMPUTED_VALUE"""),"")</f>
        <v/>
      </c>
      <c r="L365" s="8" t="s">
        <v>299</v>
      </c>
    </row>
    <row r="366">
      <c r="A366" s="10"/>
      <c r="B366" s="8" t="str">
        <f>IFERROR(__xludf.DUMMYFUNCTION("""COMPUTED_VALUE"""),"")</f>
        <v/>
      </c>
      <c r="C366" s="8" t="str">
        <f>IFERROR(__xludf.DUMMYFUNCTION("""COMPUTED_VALUE"""),"")</f>
        <v/>
      </c>
      <c r="D366" s="8" t="str">
        <f>IFERROR(__xludf.DUMMYFUNCTION("""COMPUTED_VALUE"""),"")</f>
        <v/>
      </c>
      <c r="E366" s="8" t="str">
        <f>IFERROR(__xludf.DUMMYFUNCTION("""COMPUTED_VALUE"""),"")</f>
        <v/>
      </c>
      <c r="F366" s="8" t="str">
        <f>IFERROR(__xludf.DUMMYFUNCTION("""COMPUTED_VALUE"""),"")</f>
        <v/>
      </c>
      <c r="G366" s="8" t="str">
        <f>IFERROR(__xludf.DUMMYFUNCTION("""COMPUTED_VALUE"""),"")</f>
        <v/>
      </c>
      <c r="L366" s="8" t="s">
        <v>299</v>
      </c>
    </row>
    <row r="367">
      <c r="A367" s="10"/>
      <c r="B367" s="8" t="str">
        <f>IFERROR(__xludf.DUMMYFUNCTION("""COMPUTED_VALUE"""),"")</f>
        <v/>
      </c>
      <c r="C367" s="8" t="str">
        <f>IFERROR(__xludf.DUMMYFUNCTION("""COMPUTED_VALUE"""),"")</f>
        <v/>
      </c>
      <c r="D367" s="8" t="str">
        <f>IFERROR(__xludf.DUMMYFUNCTION("""COMPUTED_VALUE"""),"")</f>
        <v/>
      </c>
      <c r="E367" s="8" t="str">
        <f>IFERROR(__xludf.DUMMYFUNCTION("""COMPUTED_VALUE"""),"")</f>
        <v/>
      </c>
      <c r="F367" s="8" t="str">
        <f>IFERROR(__xludf.DUMMYFUNCTION("""COMPUTED_VALUE"""),"")</f>
        <v/>
      </c>
      <c r="G367" s="8" t="str">
        <f>IFERROR(__xludf.DUMMYFUNCTION("""COMPUTED_VALUE"""),"")</f>
        <v/>
      </c>
      <c r="L367" s="8" t="s">
        <v>299</v>
      </c>
    </row>
    <row r="368">
      <c r="A368" s="10"/>
      <c r="B368" s="8" t="str">
        <f>IFERROR(__xludf.DUMMYFUNCTION("""COMPUTED_VALUE"""),"")</f>
        <v/>
      </c>
      <c r="C368" s="8" t="str">
        <f>IFERROR(__xludf.DUMMYFUNCTION("""COMPUTED_VALUE"""),"")</f>
        <v/>
      </c>
      <c r="D368" s="8" t="str">
        <f>IFERROR(__xludf.DUMMYFUNCTION("""COMPUTED_VALUE"""),"")</f>
        <v/>
      </c>
      <c r="E368" s="8" t="str">
        <f>IFERROR(__xludf.DUMMYFUNCTION("""COMPUTED_VALUE"""),"")</f>
        <v/>
      </c>
      <c r="F368" s="8" t="str">
        <f>IFERROR(__xludf.DUMMYFUNCTION("""COMPUTED_VALUE"""),"")</f>
        <v/>
      </c>
      <c r="G368" s="8" t="str">
        <f>IFERROR(__xludf.DUMMYFUNCTION("""COMPUTED_VALUE"""),"")</f>
        <v/>
      </c>
      <c r="L368" s="8" t="s">
        <v>299</v>
      </c>
    </row>
    <row r="369">
      <c r="A369" s="10"/>
      <c r="B369" s="8" t="str">
        <f>IFERROR(__xludf.DUMMYFUNCTION("""COMPUTED_VALUE"""),"")</f>
        <v/>
      </c>
      <c r="C369" s="8" t="str">
        <f>IFERROR(__xludf.DUMMYFUNCTION("""COMPUTED_VALUE"""),"")</f>
        <v/>
      </c>
      <c r="D369" s="8" t="str">
        <f>IFERROR(__xludf.DUMMYFUNCTION("""COMPUTED_VALUE"""),"")</f>
        <v/>
      </c>
      <c r="E369" s="8" t="str">
        <f>IFERROR(__xludf.DUMMYFUNCTION("""COMPUTED_VALUE"""),"")</f>
        <v/>
      </c>
      <c r="F369" s="8" t="str">
        <f>IFERROR(__xludf.DUMMYFUNCTION("""COMPUTED_VALUE"""),"")</f>
        <v/>
      </c>
      <c r="G369" s="8" t="str">
        <f>IFERROR(__xludf.DUMMYFUNCTION("""COMPUTED_VALUE"""),"")</f>
        <v/>
      </c>
      <c r="L369" s="8" t="s">
        <v>299</v>
      </c>
    </row>
    <row r="370">
      <c r="A370" s="10"/>
      <c r="B370" s="8" t="str">
        <f>IFERROR(__xludf.DUMMYFUNCTION("""COMPUTED_VALUE"""),"")</f>
        <v/>
      </c>
      <c r="C370" s="8" t="str">
        <f>IFERROR(__xludf.DUMMYFUNCTION("""COMPUTED_VALUE"""),"")</f>
        <v/>
      </c>
      <c r="D370" s="8" t="str">
        <f>IFERROR(__xludf.DUMMYFUNCTION("""COMPUTED_VALUE"""),"")</f>
        <v/>
      </c>
      <c r="E370" s="8" t="str">
        <f>IFERROR(__xludf.DUMMYFUNCTION("""COMPUTED_VALUE"""),"")</f>
        <v/>
      </c>
      <c r="F370" s="8" t="str">
        <f>IFERROR(__xludf.DUMMYFUNCTION("""COMPUTED_VALUE"""),"")</f>
        <v/>
      </c>
      <c r="G370" s="8" t="str">
        <f>IFERROR(__xludf.DUMMYFUNCTION("""COMPUTED_VALUE"""),"")</f>
        <v/>
      </c>
      <c r="L370" s="8" t="s">
        <v>299</v>
      </c>
    </row>
    <row r="371">
      <c r="A371" s="10"/>
      <c r="B371" s="8" t="str">
        <f>IFERROR(__xludf.DUMMYFUNCTION("""COMPUTED_VALUE"""),"")</f>
        <v/>
      </c>
      <c r="C371" s="8" t="str">
        <f>IFERROR(__xludf.DUMMYFUNCTION("""COMPUTED_VALUE"""),"")</f>
        <v/>
      </c>
      <c r="D371" s="8" t="str">
        <f>IFERROR(__xludf.DUMMYFUNCTION("""COMPUTED_VALUE"""),"")</f>
        <v/>
      </c>
      <c r="E371" s="8" t="str">
        <f>IFERROR(__xludf.DUMMYFUNCTION("""COMPUTED_VALUE"""),"")</f>
        <v/>
      </c>
      <c r="F371" s="8" t="str">
        <f>IFERROR(__xludf.DUMMYFUNCTION("""COMPUTED_VALUE"""),"")</f>
        <v/>
      </c>
      <c r="G371" s="8" t="str">
        <f>IFERROR(__xludf.DUMMYFUNCTION("""COMPUTED_VALUE"""),"")</f>
        <v/>
      </c>
      <c r="L371" s="8" t="s">
        <v>299</v>
      </c>
    </row>
    <row r="372">
      <c r="A372" s="10"/>
      <c r="B372" s="8" t="str">
        <f>IFERROR(__xludf.DUMMYFUNCTION("""COMPUTED_VALUE"""),"")</f>
        <v/>
      </c>
      <c r="C372" s="8" t="str">
        <f>IFERROR(__xludf.DUMMYFUNCTION("""COMPUTED_VALUE"""),"")</f>
        <v/>
      </c>
      <c r="D372" s="8" t="str">
        <f>IFERROR(__xludf.DUMMYFUNCTION("""COMPUTED_VALUE"""),"")</f>
        <v/>
      </c>
      <c r="E372" s="8" t="str">
        <f>IFERROR(__xludf.DUMMYFUNCTION("""COMPUTED_VALUE"""),"")</f>
        <v/>
      </c>
      <c r="F372" s="8" t="str">
        <f>IFERROR(__xludf.DUMMYFUNCTION("""COMPUTED_VALUE"""),"")</f>
        <v/>
      </c>
      <c r="G372" s="8" t="str">
        <f>IFERROR(__xludf.DUMMYFUNCTION("""COMPUTED_VALUE"""),"")</f>
        <v/>
      </c>
      <c r="L372" s="8" t="s">
        <v>299</v>
      </c>
    </row>
    <row r="373">
      <c r="A373" s="10"/>
      <c r="B373" s="8" t="str">
        <f>IFERROR(__xludf.DUMMYFUNCTION("""COMPUTED_VALUE"""),"")</f>
        <v/>
      </c>
      <c r="C373" s="8" t="str">
        <f>IFERROR(__xludf.DUMMYFUNCTION("""COMPUTED_VALUE"""),"")</f>
        <v/>
      </c>
      <c r="D373" s="8" t="str">
        <f>IFERROR(__xludf.DUMMYFUNCTION("""COMPUTED_VALUE"""),"")</f>
        <v/>
      </c>
      <c r="E373" s="8" t="str">
        <f>IFERROR(__xludf.DUMMYFUNCTION("""COMPUTED_VALUE"""),"")</f>
        <v/>
      </c>
      <c r="F373" s="8" t="str">
        <f>IFERROR(__xludf.DUMMYFUNCTION("""COMPUTED_VALUE"""),"")</f>
        <v/>
      </c>
      <c r="G373" s="8" t="str">
        <f>IFERROR(__xludf.DUMMYFUNCTION("""COMPUTED_VALUE"""),"")</f>
        <v/>
      </c>
      <c r="L373" s="8" t="s">
        <v>299</v>
      </c>
    </row>
    <row r="374">
      <c r="A374" s="10"/>
      <c r="B374" s="8" t="str">
        <f>IFERROR(__xludf.DUMMYFUNCTION("""COMPUTED_VALUE"""),"")</f>
        <v/>
      </c>
      <c r="C374" s="8" t="str">
        <f>IFERROR(__xludf.DUMMYFUNCTION("""COMPUTED_VALUE"""),"")</f>
        <v/>
      </c>
      <c r="D374" s="8" t="str">
        <f>IFERROR(__xludf.DUMMYFUNCTION("""COMPUTED_VALUE"""),"")</f>
        <v/>
      </c>
      <c r="E374" s="8" t="str">
        <f>IFERROR(__xludf.DUMMYFUNCTION("""COMPUTED_VALUE"""),"")</f>
        <v/>
      </c>
      <c r="F374" s="8" t="str">
        <f>IFERROR(__xludf.DUMMYFUNCTION("""COMPUTED_VALUE"""),"")</f>
        <v/>
      </c>
      <c r="G374" s="8" t="str">
        <f>IFERROR(__xludf.DUMMYFUNCTION("""COMPUTED_VALUE"""),"")</f>
        <v/>
      </c>
      <c r="L374" s="8" t="s">
        <v>299</v>
      </c>
    </row>
    <row r="375">
      <c r="A375" s="10"/>
      <c r="B375" s="8" t="str">
        <f>IFERROR(__xludf.DUMMYFUNCTION("""COMPUTED_VALUE"""),"")</f>
        <v/>
      </c>
      <c r="C375" s="8" t="str">
        <f>IFERROR(__xludf.DUMMYFUNCTION("""COMPUTED_VALUE"""),"")</f>
        <v/>
      </c>
      <c r="D375" s="8" t="str">
        <f>IFERROR(__xludf.DUMMYFUNCTION("""COMPUTED_VALUE"""),"")</f>
        <v/>
      </c>
      <c r="E375" s="8" t="str">
        <f>IFERROR(__xludf.DUMMYFUNCTION("""COMPUTED_VALUE"""),"")</f>
        <v/>
      </c>
      <c r="F375" s="8" t="str">
        <f>IFERROR(__xludf.DUMMYFUNCTION("""COMPUTED_VALUE"""),"")</f>
        <v/>
      </c>
      <c r="G375" s="8" t="str">
        <f>IFERROR(__xludf.DUMMYFUNCTION("""COMPUTED_VALUE"""),"")</f>
        <v/>
      </c>
      <c r="L375" s="8" t="s">
        <v>299</v>
      </c>
    </row>
    <row r="376">
      <c r="A376" s="10"/>
      <c r="B376" s="8" t="str">
        <f>IFERROR(__xludf.DUMMYFUNCTION("""COMPUTED_VALUE"""),"")</f>
        <v/>
      </c>
      <c r="C376" s="8" t="str">
        <f>IFERROR(__xludf.DUMMYFUNCTION("""COMPUTED_VALUE"""),"")</f>
        <v/>
      </c>
      <c r="D376" s="8" t="str">
        <f>IFERROR(__xludf.DUMMYFUNCTION("""COMPUTED_VALUE"""),"")</f>
        <v/>
      </c>
      <c r="E376" s="8" t="str">
        <f>IFERROR(__xludf.DUMMYFUNCTION("""COMPUTED_VALUE"""),"")</f>
        <v/>
      </c>
      <c r="F376" s="8" t="str">
        <f>IFERROR(__xludf.DUMMYFUNCTION("""COMPUTED_VALUE"""),"")</f>
        <v/>
      </c>
      <c r="G376" s="8" t="str">
        <f>IFERROR(__xludf.DUMMYFUNCTION("""COMPUTED_VALUE"""),"")</f>
        <v/>
      </c>
      <c r="L376" s="8" t="s">
        <v>299</v>
      </c>
    </row>
    <row r="377">
      <c r="A377" s="10"/>
      <c r="B377" s="8" t="str">
        <f>IFERROR(__xludf.DUMMYFUNCTION("""COMPUTED_VALUE"""),"")</f>
        <v/>
      </c>
      <c r="C377" s="8" t="str">
        <f>IFERROR(__xludf.DUMMYFUNCTION("""COMPUTED_VALUE"""),"")</f>
        <v/>
      </c>
      <c r="D377" s="8" t="str">
        <f>IFERROR(__xludf.DUMMYFUNCTION("""COMPUTED_VALUE"""),"")</f>
        <v/>
      </c>
      <c r="E377" s="8" t="str">
        <f>IFERROR(__xludf.DUMMYFUNCTION("""COMPUTED_VALUE"""),"")</f>
        <v/>
      </c>
      <c r="F377" s="8" t="str">
        <f>IFERROR(__xludf.DUMMYFUNCTION("""COMPUTED_VALUE"""),"")</f>
        <v/>
      </c>
      <c r="G377" s="8" t="str">
        <f>IFERROR(__xludf.DUMMYFUNCTION("""COMPUTED_VALUE"""),"")</f>
        <v/>
      </c>
      <c r="L377" s="8" t="s">
        <v>299</v>
      </c>
    </row>
    <row r="378">
      <c r="A378" s="10"/>
      <c r="B378" s="8" t="str">
        <f>IFERROR(__xludf.DUMMYFUNCTION("""COMPUTED_VALUE"""),"")</f>
        <v/>
      </c>
      <c r="C378" s="8" t="str">
        <f>IFERROR(__xludf.DUMMYFUNCTION("""COMPUTED_VALUE"""),"")</f>
        <v/>
      </c>
      <c r="D378" s="8" t="str">
        <f>IFERROR(__xludf.DUMMYFUNCTION("""COMPUTED_VALUE"""),"")</f>
        <v/>
      </c>
      <c r="E378" s="8" t="str">
        <f>IFERROR(__xludf.DUMMYFUNCTION("""COMPUTED_VALUE"""),"")</f>
        <v/>
      </c>
      <c r="F378" s="8" t="str">
        <f>IFERROR(__xludf.DUMMYFUNCTION("""COMPUTED_VALUE"""),"")</f>
        <v/>
      </c>
      <c r="G378" s="8" t="str">
        <f>IFERROR(__xludf.DUMMYFUNCTION("""COMPUTED_VALUE"""),"")</f>
        <v/>
      </c>
      <c r="L378" s="8" t="s">
        <v>299</v>
      </c>
    </row>
    <row r="379">
      <c r="A379" s="10"/>
      <c r="B379" s="8" t="str">
        <f>IFERROR(__xludf.DUMMYFUNCTION("""COMPUTED_VALUE"""),"")</f>
        <v/>
      </c>
      <c r="C379" s="8" t="str">
        <f>IFERROR(__xludf.DUMMYFUNCTION("""COMPUTED_VALUE"""),"")</f>
        <v/>
      </c>
      <c r="D379" s="8" t="str">
        <f>IFERROR(__xludf.DUMMYFUNCTION("""COMPUTED_VALUE"""),"")</f>
        <v/>
      </c>
      <c r="E379" s="8" t="str">
        <f>IFERROR(__xludf.DUMMYFUNCTION("""COMPUTED_VALUE"""),"")</f>
        <v/>
      </c>
      <c r="F379" s="8" t="str">
        <f>IFERROR(__xludf.DUMMYFUNCTION("""COMPUTED_VALUE"""),"")</f>
        <v/>
      </c>
      <c r="G379" s="8" t="str">
        <f>IFERROR(__xludf.DUMMYFUNCTION("""COMPUTED_VALUE"""),"")</f>
        <v/>
      </c>
      <c r="L379" s="8" t="s">
        <v>299</v>
      </c>
    </row>
    <row r="380">
      <c r="A380" s="10"/>
      <c r="B380" s="8" t="str">
        <f>IFERROR(__xludf.DUMMYFUNCTION("""COMPUTED_VALUE"""),"")</f>
        <v/>
      </c>
      <c r="C380" s="8" t="str">
        <f>IFERROR(__xludf.DUMMYFUNCTION("""COMPUTED_VALUE"""),"")</f>
        <v/>
      </c>
      <c r="D380" s="8" t="str">
        <f>IFERROR(__xludf.DUMMYFUNCTION("""COMPUTED_VALUE"""),"")</f>
        <v/>
      </c>
      <c r="E380" s="8" t="str">
        <f>IFERROR(__xludf.DUMMYFUNCTION("""COMPUTED_VALUE"""),"")</f>
        <v/>
      </c>
      <c r="F380" s="8" t="str">
        <f>IFERROR(__xludf.DUMMYFUNCTION("""COMPUTED_VALUE"""),"")</f>
        <v/>
      </c>
      <c r="G380" s="8" t="str">
        <f>IFERROR(__xludf.DUMMYFUNCTION("""COMPUTED_VALUE"""),"")</f>
        <v/>
      </c>
      <c r="L380" s="8" t="s">
        <v>299</v>
      </c>
    </row>
    <row r="381">
      <c r="A381" s="10"/>
      <c r="B381" s="8" t="str">
        <f>IFERROR(__xludf.DUMMYFUNCTION("""COMPUTED_VALUE"""),"")</f>
        <v/>
      </c>
      <c r="C381" s="8" t="str">
        <f>IFERROR(__xludf.DUMMYFUNCTION("""COMPUTED_VALUE"""),"")</f>
        <v/>
      </c>
      <c r="D381" s="8" t="str">
        <f>IFERROR(__xludf.DUMMYFUNCTION("""COMPUTED_VALUE"""),"")</f>
        <v/>
      </c>
      <c r="E381" s="8" t="str">
        <f>IFERROR(__xludf.DUMMYFUNCTION("""COMPUTED_VALUE"""),"")</f>
        <v/>
      </c>
      <c r="F381" s="8" t="str">
        <f>IFERROR(__xludf.DUMMYFUNCTION("""COMPUTED_VALUE"""),"")</f>
        <v/>
      </c>
      <c r="G381" s="8" t="str">
        <f>IFERROR(__xludf.DUMMYFUNCTION("""COMPUTED_VALUE"""),"")</f>
        <v/>
      </c>
      <c r="L381" s="8" t="s">
        <v>299</v>
      </c>
    </row>
    <row r="382">
      <c r="A382" s="10"/>
      <c r="B382" s="8" t="str">
        <f>IFERROR(__xludf.DUMMYFUNCTION("""COMPUTED_VALUE"""),"")</f>
        <v/>
      </c>
      <c r="C382" s="8" t="str">
        <f>IFERROR(__xludf.DUMMYFUNCTION("""COMPUTED_VALUE"""),"")</f>
        <v/>
      </c>
      <c r="D382" s="8" t="str">
        <f>IFERROR(__xludf.DUMMYFUNCTION("""COMPUTED_VALUE"""),"")</f>
        <v/>
      </c>
      <c r="E382" s="8" t="str">
        <f>IFERROR(__xludf.DUMMYFUNCTION("""COMPUTED_VALUE"""),"")</f>
        <v/>
      </c>
      <c r="F382" s="8" t="str">
        <f>IFERROR(__xludf.DUMMYFUNCTION("""COMPUTED_VALUE"""),"")</f>
        <v/>
      </c>
      <c r="G382" s="8" t="str">
        <f>IFERROR(__xludf.DUMMYFUNCTION("""COMPUTED_VALUE"""),"")</f>
        <v/>
      </c>
      <c r="L382" s="8" t="s">
        <v>299</v>
      </c>
    </row>
    <row r="383">
      <c r="A383" s="10"/>
      <c r="B383" s="8" t="str">
        <f>IFERROR(__xludf.DUMMYFUNCTION("""COMPUTED_VALUE"""),"")</f>
        <v/>
      </c>
      <c r="C383" s="8" t="str">
        <f>IFERROR(__xludf.DUMMYFUNCTION("""COMPUTED_VALUE"""),"")</f>
        <v/>
      </c>
      <c r="D383" s="8" t="str">
        <f>IFERROR(__xludf.DUMMYFUNCTION("""COMPUTED_VALUE"""),"")</f>
        <v/>
      </c>
      <c r="E383" s="8" t="str">
        <f>IFERROR(__xludf.DUMMYFUNCTION("""COMPUTED_VALUE"""),"")</f>
        <v/>
      </c>
      <c r="F383" s="8" t="str">
        <f>IFERROR(__xludf.DUMMYFUNCTION("""COMPUTED_VALUE"""),"")</f>
        <v/>
      </c>
      <c r="G383" s="8" t="str">
        <f>IFERROR(__xludf.DUMMYFUNCTION("""COMPUTED_VALUE"""),"")</f>
        <v/>
      </c>
      <c r="L383" s="8" t="s">
        <v>299</v>
      </c>
    </row>
    <row r="384">
      <c r="A384" s="10"/>
      <c r="B384" s="8" t="str">
        <f>IFERROR(__xludf.DUMMYFUNCTION("""COMPUTED_VALUE"""),"")</f>
        <v/>
      </c>
      <c r="C384" s="8" t="str">
        <f>IFERROR(__xludf.DUMMYFUNCTION("""COMPUTED_VALUE"""),"")</f>
        <v/>
      </c>
      <c r="D384" s="8" t="str">
        <f>IFERROR(__xludf.DUMMYFUNCTION("""COMPUTED_VALUE"""),"")</f>
        <v/>
      </c>
      <c r="E384" s="8" t="str">
        <f>IFERROR(__xludf.DUMMYFUNCTION("""COMPUTED_VALUE"""),"")</f>
        <v/>
      </c>
      <c r="F384" s="8" t="str">
        <f>IFERROR(__xludf.DUMMYFUNCTION("""COMPUTED_VALUE"""),"")</f>
        <v/>
      </c>
      <c r="G384" s="8" t="str">
        <f>IFERROR(__xludf.DUMMYFUNCTION("""COMPUTED_VALUE"""),"")</f>
        <v/>
      </c>
      <c r="L384" s="8" t="s">
        <v>299</v>
      </c>
    </row>
    <row r="385">
      <c r="A385" s="10"/>
      <c r="B385" s="8" t="str">
        <f>IFERROR(__xludf.DUMMYFUNCTION("""COMPUTED_VALUE"""),"")</f>
        <v/>
      </c>
      <c r="C385" s="8" t="str">
        <f>IFERROR(__xludf.DUMMYFUNCTION("""COMPUTED_VALUE"""),"")</f>
        <v/>
      </c>
      <c r="D385" s="8" t="str">
        <f>IFERROR(__xludf.DUMMYFUNCTION("""COMPUTED_VALUE"""),"")</f>
        <v/>
      </c>
      <c r="E385" s="8" t="str">
        <f>IFERROR(__xludf.DUMMYFUNCTION("""COMPUTED_VALUE"""),"")</f>
        <v/>
      </c>
      <c r="F385" s="8" t="str">
        <f>IFERROR(__xludf.DUMMYFUNCTION("""COMPUTED_VALUE"""),"")</f>
        <v/>
      </c>
      <c r="G385" s="8" t="str">
        <f>IFERROR(__xludf.DUMMYFUNCTION("""COMPUTED_VALUE"""),"")</f>
        <v/>
      </c>
      <c r="L385" s="8" t="s">
        <v>299</v>
      </c>
    </row>
    <row r="386">
      <c r="A386" s="10"/>
      <c r="B386" s="8" t="str">
        <f>IFERROR(__xludf.DUMMYFUNCTION("""COMPUTED_VALUE"""),"")</f>
        <v/>
      </c>
      <c r="C386" s="8" t="str">
        <f>IFERROR(__xludf.DUMMYFUNCTION("""COMPUTED_VALUE"""),"")</f>
        <v/>
      </c>
      <c r="D386" s="8" t="str">
        <f>IFERROR(__xludf.DUMMYFUNCTION("""COMPUTED_VALUE"""),"")</f>
        <v/>
      </c>
      <c r="E386" s="8" t="str">
        <f>IFERROR(__xludf.DUMMYFUNCTION("""COMPUTED_VALUE"""),"")</f>
        <v/>
      </c>
      <c r="F386" s="8" t="str">
        <f>IFERROR(__xludf.DUMMYFUNCTION("""COMPUTED_VALUE"""),"")</f>
        <v/>
      </c>
      <c r="G386" s="8" t="str">
        <f>IFERROR(__xludf.DUMMYFUNCTION("""COMPUTED_VALUE"""),"")</f>
        <v/>
      </c>
      <c r="L386" s="8" t="s">
        <v>299</v>
      </c>
    </row>
    <row r="387">
      <c r="A387" s="10"/>
      <c r="B387" s="8" t="str">
        <f>IFERROR(__xludf.DUMMYFUNCTION("""COMPUTED_VALUE"""),"")</f>
        <v/>
      </c>
      <c r="C387" s="8" t="str">
        <f>IFERROR(__xludf.DUMMYFUNCTION("""COMPUTED_VALUE"""),"")</f>
        <v/>
      </c>
      <c r="D387" s="8" t="str">
        <f>IFERROR(__xludf.DUMMYFUNCTION("""COMPUTED_VALUE"""),"")</f>
        <v/>
      </c>
      <c r="E387" s="8" t="str">
        <f>IFERROR(__xludf.DUMMYFUNCTION("""COMPUTED_VALUE"""),"")</f>
        <v/>
      </c>
      <c r="F387" s="8" t="str">
        <f>IFERROR(__xludf.DUMMYFUNCTION("""COMPUTED_VALUE"""),"")</f>
        <v/>
      </c>
      <c r="G387" s="8" t="str">
        <f>IFERROR(__xludf.DUMMYFUNCTION("""COMPUTED_VALUE"""),"")</f>
        <v/>
      </c>
      <c r="L387" s="8" t="s">
        <v>299</v>
      </c>
    </row>
    <row r="388">
      <c r="A388" s="10"/>
      <c r="B388" s="8" t="str">
        <f>IFERROR(__xludf.DUMMYFUNCTION("""COMPUTED_VALUE"""),"")</f>
        <v/>
      </c>
      <c r="C388" s="8" t="str">
        <f>IFERROR(__xludf.DUMMYFUNCTION("""COMPUTED_VALUE"""),"")</f>
        <v/>
      </c>
      <c r="D388" s="8" t="str">
        <f>IFERROR(__xludf.DUMMYFUNCTION("""COMPUTED_VALUE"""),"")</f>
        <v/>
      </c>
      <c r="E388" s="8" t="str">
        <f>IFERROR(__xludf.DUMMYFUNCTION("""COMPUTED_VALUE"""),"")</f>
        <v/>
      </c>
      <c r="F388" s="8" t="str">
        <f>IFERROR(__xludf.DUMMYFUNCTION("""COMPUTED_VALUE"""),"")</f>
        <v/>
      </c>
      <c r="G388" s="8" t="str">
        <f>IFERROR(__xludf.DUMMYFUNCTION("""COMPUTED_VALUE"""),"")</f>
        <v/>
      </c>
      <c r="L388" s="8" t="s">
        <v>299</v>
      </c>
    </row>
    <row r="389">
      <c r="A389" s="10"/>
      <c r="B389" s="8" t="str">
        <f>IFERROR(__xludf.DUMMYFUNCTION("""COMPUTED_VALUE"""),"")</f>
        <v/>
      </c>
      <c r="C389" s="8" t="str">
        <f>IFERROR(__xludf.DUMMYFUNCTION("""COMPUTED_VALUE"""),"")</f>
        <v/>
      </c>
      <c r="D389" s="8" t="str">
        <f>IFERROR(__xludf.DUMMYFUNCTION("""COMPUTED_VALUE"""),"")</f>
        <v/>
      </c>
      <c r="E389" s="8" t="str">
        <f>IFERROR(__xludf.DUMMYFUNCTION("""COMPUTED_VALUE"""),"")</f>
        <v/>
      </c>
      <c r="F389" s="8" t="str">
        <f>IFERROR(__xludf.DUMMYFUNCTION("""COMPUTED_VALUE"""),"")</f>
        <v/>
      </c>
      <c r="G389" s="8" t="str">
        <f>IFERROR(__xludf.DUMMYFUNCTION("""COMPUTED_VALUE"""),"")</f>
        <v/>
      </c>
      <c r="L389" s="8" t="s">
        <v>299</v>
      </c>
    </row>
    <row r="390">
      <c r="A390" s="10"/>
      <c r="B390" s="8" t="str">
        <f>IFERROR(__xludf.DUMMYFUNCTION("""COMPUTED_VALUE"""),"")</f>
        <v/>
      </c>
      <c r="C390" s="8" t="str">
        <f>IFERROR(__xludf.DUMMYFUNCTION("""COMPUTED_VALUE"""),"")</f>
        <v/>
      </c>
      <c r="D390" s="8" t="str">
        <f>IFERROR(__xludf.DUMMYFUNCTION("""COMPUTED_VALUE"""),"")</f>
        <v/>
      </c>
      <c r="E390" s="8" t="str">
        <f>IFERROR(__xludf.DUMMYFUNCTION("""COMPUTED_VALUE"""),"")</f>
        <v/>
      </c>
      <c r="F390" s="8" t="str">
        <f>IFERROR(__xludf.DUMMYFUNCTION("""COMPUTED_VALUE"""),"")</f>
        <v/>
      </c>
      <c r="G390" s="8" t="str">
        <f>IFERROR(__xludf.DUMMYFUNCTION("""COMPUTED_VALUE"""),"")</f>
        <v/>
      </c>
      <c r="L390" s="8" t="s">
        <v>299</v>
      </c>
    </row>
    <row r="391">
      <c r="A391" s="10"/>
      <c r="B391" s="8" t="str">
        <f>IFERROR(__xludf.DUMMYFUNCTION("""COMPUTED_VALUE"""),"")</f>
        <v/>
      </c>
      <c r="C391" s="8" t="str">
        <f>IFERROR(__xludf.DUMMYFUNCTION("""COMPUTED_VALUE"""),"")</f>
        <v/>
      </c>
      <c r="D391" s="8" t="str">
        <f>IFERROR(__xludf.DUMMYFUNCTION("""COMPUTED_VALUE"""),"")</f>
        <v/>
      </c>
      <c r="E391" s="8" t="str">
        <f>IFERROR(__xludf.DUMMYFUNCTION("""COMPUTED_VALUE"""),"")</f>
        <v/>
      </c>
      <c r="F391" s="8" t="str">
        <f>IFERROR(__xludf.DUMMYFUNCTION("""COMPUTED_VALUE"""),"")</f>
        <v/>
      </c>
      <c r="G391" s="8" t="str">
        <f>IFERROR(__xludf.DUMMYFUNCTION("""COMPUTED_VALUE"""),"")</f>
        <v/>
      </c>
      <c r="L391" s="8" t="s">
        <v>299</v>
      </c>
    </row>
    <row r="392">
      <c r="A392" s="10"/>
      <c r="B392" s="8" t="str">
        <f>IFERROR(__xludf.DUMMYFUNCTION("""COMPUTED_VALUE"""),"")</f>
        <v/>
      </c>
      <c r="C392" s="8" t="str">
        <f>IFERROR(__xludf.DUMMYFUNCTION("""COMPUTED_VALUE"""),"")</f>
        <v/>
      </c>
      <c r="D392" s="8" t="str">
        <f>IFERROR(__xludf.DUMMYFUNCTION("""COMPUTED_VALUE"""),"")</f>
        <v/>
      </c>
      <c r="E392" s="8" t="str">
        <f>IFERROR(__xludf.DUMMYFUNCTION("""COMPUTED_VALUE"""),"")</f>
        <v/>
      </c>
      <c r="F392" s="8" t="str">
        <f>IFERROR(__xludf.DUMMYFUNCTION("""COMPUTED_VALUE"""),"")</f>
        <v/>
      </c>
      <c r="G392" s="8" t="str">
        <f>IFERROR(__xludf.DUMMYFUNCTION("""COMPUTED_VALUE"""),"")</f>
        <v/>
      </c>
      <c r="L392" s="8" t="s">
        <v>299</v>
      </c>
    </row>
    <row r="393">
      <c r="A393" s="10"/>
      <c r="B393" s="8" t="str">
        <f>IFERROR(__xludf.DUMMYFUNCTION("""COMPUTED_VALUE"""),"")</f>
        <v/>
      </c>
      <c r="C393" s="8" t="str">
        <f>IFERROR(__xludf.DUMMYFUNCTION("""COMPUTED_VALUE"""),"")</f>
        <v/>
      </c>
      <c r="D393" s="8" t="str">
        <f>IFERROR(__xludf.DUMMYFUNCTION("""COMPUTED_VALUE"""),"")</f>
        <v/>
      </c>
      <c r="E393" s="8" t="str">
        <f>IFERROR(__xludf.DUMMYFUNCTION("""COMPUTED_VALUE"""),"")</f>
        <v/>
      </c>
      <c r="F393" s="8" t="str">
        <f>IFERROR(__xludf.DUMMYFUNCTION("""COMPUTED_VALUE"""),"")</f>
        <v/>
      </c>
      <c r="G393" s="8" t="str">
        <f>IFERROR(__xludf.DUMMYFUNCTION("""COMPUTED_VALUE"""),"")</f>
        <v/>
      </c>
      <c r="L393" s="8" t="s">
        <v>299</v>
      </c>
    </row>
    <row r="394">
      <c r="A394" s="10"/>
      <c r="B394" s="8" t="str">
        <f>IFERROR(__xludf.DUMMYFUNCTION("""COMPUTED_VALUE"""),"")</f>
        <v/>
      </c>
      <c r="C394" s="8" t="str">
        <f>IFERROR(__xludf.DUMMYFUNCTION("""COMPUTED_VALUE"""),"")</f>
        <v/>
      </c>
      <c r="D394" s="8" t="str">
        <f>IFERROR(__xludf.DUMMYFUNCTION("""COMPUTED_VALUE"""),"")</f>
        <v/>
      </c>
      <c r="E394" s="8" t="str">
        <f>IFERROR(__xludf.DUMMYFUNCTION("""COMPUTED_VALUE"""),"")</f>
        <v/>
      </c>
      <c r="F394" s="8" t="str">
        <f>IFERROR(__xludf.DUMMYFUNCTION("""COMPUTED_VALUE"""),"")</f>
        <v/>
      </c>
      <c r="G394" s="8" t="str">
        <f>IFERROR(__xludf.DUMMYFUNCTION("""COMPUTED_VALUE"""),"")</f>
        <v/>
      </c>
      <c r="L394" s="8" t="s">
        <v>299</v>
      </c>
    </row>
    <row r="395">
      <c r="A395" s="10"/>
      <c r="B395" s="8" t="str">
        <f>IFERROR(__xludf.DUMMYFUNCTION("""COMPUTED_VALUE"""),"")</f>
        <v/>
      </c>
      <c r="C395" s="8" t="str">
        <f>IFERROR(__xludf.DUMMYFUNCTION("""COMPUTED_VALUE"""),"")</f>
        <v/>
      </c>
      <c r="D395" s="8" t="str">
        <f>IFERROR(__xludf.DUMMYFUNCTION("""COMPUTED_VALUE"""),"")</f>
        <v/>
      </c>
      <c r="E395" s="8" t="str">
        <f>IFERROR(__xludf.DUMMYFUNCTION("""COMPUTED_VALUE"""),"")</f>
        <v/>
      </c>
      <c r="F395" s="8" t="str">
        <f>IFERROR(__xludf.DUMMYFUNCTION("""COMPUTED_VALUE"""),"")</f>
        <v/>
      </c>
      <c r="G395" s="8" t="str">
        <f>IFERROR(__xludf.DUMMYFUNCTION("""COMPUTED_VALUE"""),"")</f>
        <v/>
      </c>
      <c r="L395" s="8" t="s">
        <v>299</v>
      </c>
    </row>
    <row r="396">
      <c r="A396" s="10"/>
      <c r="B396" s="8" t="str">
        <f>IFERROR(__xludf.DUMMYFUNCTION("""COMPUTED_VALUE"""),"")</f>
        <v/>
      </c>
      <c r="C396" s="8" t="str">
        <f>IFERROR(__xludf.DUMMYFUNCTION("""COMPUTED_VALUE"""),"")</f>
        <v/>
      </c>
      <c r="D396" s="8" t="str">
        <f>IFERROR(__xludf.DUMMYFUNCTION("""COMPUTED_VALUE"""),"")</f>
        <v/>
      </c>
      <c r="E396" s="8" t="str">
        <f>IFERROR(__xludf.DUMMYFUNCTION("""COMPUTED_VALUE"""),"")</f>
        <v/>
      </c>
      <c r="F396" s="8" t="str">
        <f>IFERROR(__xludf.DUMMYFUNCTION("""COMPUTED_VALUE"""),"")</f>
        <v/>
      </c>
      <c r="G396" s="8" t="str">
        <f>IFERROR(__xludf.DUMMYFUNCTION("""COMPUTED_VALUE"""),"")</f>
        <v/>
      </c>
      <c r="L396" s="8" t="s">
        <v>299</v>
      </c>
    </row>
    <row r="397">
      <c r="A397" s="10"/>
      <c r="B397" s="8" t="str">
        <f>IFERROR(__xludf.DUMMYFUNCTION("""COMPUTED_VALUE"""),"")</f>
        <v/>
      </c>
      <c r="C397" s="8" t="str">
        <f>IFERROR(__xludf.DUMMYFUNCTION("""COMPUTED_VALUE"""),"")</f>
        <v/>
      </c>
      <c r="D397" s="8" t="str">
        <f>IFERROR(__xludf.DUMMYFUNCTION("""COMPUTED_VALUE"""),"")</f>
        <v/>
      </c>
      <c r="E397" s="8" t="str">
        <f>IFERROR(__xludf.DUMMYFUNCTION("""COMPUTED_VALUE"""),"")</f>
        <v/>
      </c>
      <c r="F397" s="8" t="str">
        <f>IFERROR(__xludf.DUMMYFUNCTION("""COMPUTED_VALUE"""),"")</f>
        <v/>
      </c>
      <c r="G397" s="8" t="str">
        <f>IFERROR(__xludf.DUMMYFUNCTION("""COMPUTED_VALUE"""),"")</f>
        <v/>
      </c>
      <c r="L397" s="8" t="s">
        <v>299</v>
      </c>
    </row>
    <row r="398">
      <c r="A398" s="10"/>
      <c r="B398" s="8" t="str">
        <f>IFERROR(__xludf.DUMMYFUNCTION("""COMPUTED_VALUE"""),"")</f>
        <v/>
      </c>
      <c r="C398" s="8" t="str">
        <f>IFERROR(__xludf.DUMMYFUNCTION("""COMPUTED_VALUE"""),"")</f>
        <v/>
      </c>
      <c r="D398" s="8" t="str">
        <f>IFERROR(__xludf.DUMMYFUNCTION("""COMPUTED_VALUE"""),"")</f>
        <v/>
      </c>
      <c r="E398" s="8" t="str">
        <f>IFERROR(__xludf.DUMMYFUNCTION("""COMPUTED_VALUE"""),"")</f>
        <v/>
      </c>
      <c r="F398" s="8" t="str">
        <f>IFERROR(__xludf.DUMMYFUNCTION("""COMPUTED_VALUE"""),"")</f>
        <v/>
      </c>
      <c r="G398" s="8" t="str">
        <f>IFERROR(__xludf.DUMMYFUNCTION("""COMPUTED_VALUE"""),"")</f>
        <v/>
      </c>
      <c r="L398" s="8" t="s">
        <v>299</v>
      </c>
    </row>
    <row r="399">
      <c r="A399" s="10"/>
      <c r="B399" s="8" t="str">
        <f>IFERROR(__xludf.DUMMYFUNCTION("""COMPUTED_VALUE"""),"")</f>
        <v/>
      </c>
      <c r="C399" s="8" t="str">
        <f>IFERROR(__xludf.DUMMYFUNCTION("""COMPUTED_VALUE"""),"")</f>
        <v/>
      </c>
      <c r="D399" s="8" t="str">
        <f>IFERROR(__xludf.DUMMYFUNCTION("""COMPUTED_VALUE"""),"")</f>
        <v/>
      </c>
      <c r="E399" s="8" t="str">
        <f>IFERROR(__xludf.DUMMYFUNCTION("""COMPUTED_VALUE"""),"")</f>
        <v/>
      </c>
      <c r="F399" s="8" t="str">
        <f>IFERROR(__xludf.DUMMYFUNCTION("""COMPUTED_VALUE"""),"")</f>
        <v/>
      </c>
      <c r="G399" s="8" t="str">
        <f>IFERROR(__xludf.DUMMYFUNCTION("""COMPUTED_VALUE"""),"")</f>
        <v/>
      </c>
      <c r="L399" s="8" t="s">
        <v>299</v>
      </c>
    </row>
    <row r="400">
      <c r="A400" s="10"/>
      <c r="B400" s="8" t="str">
        <f>IFERROR(__xludf.DUMMYFUNCTION("""COMPUTED_VALUE"""),"")</f>
        <v/>
      </c>
      <c r="C400" s="8" t="str">
        <f>IFERROR(__xludf.DUMMYFUNCTION("""COMPUTED_VALUE"""),"")</f>
        <v/>
      </c>
      <c r="D400" s="8" t="str">
        <f>IFERROR(__xludf.DUMMYFUNCTION("""COMPUTED_VALUE"""),"")</f>
        <v/>
      </c>
      <c r="E400" s="8" t="str">
        <f>IFERROR(__xludf.DUMMYFUNCTION("""COMPUTED_VALUE"""),"")</f>
        <v/>
      </c>
      <c r="F400" s="8" t="str">
        <f>IFERROR(__xludf.DUMMYFUNCTION("""COMPUTED_VALUE"""),"")</f>
        <v/>
      </c>
      <c r="G400" s="8" t="str">
        <f>IFERROR(__xludf.DUMMYFUNCTION("""COMPUTED_VALUE"""),"")</f>
        <v/>
      </c>
      <c r="L400" s="8" t="s">
        <v>299</v>
      </c>
    </row>
    <row r="401">
      <c r="A401" s="10"/>
      <c r="B401" s="8" t="str">
        <f>IFERROR(__xludf.DUMMYFUNCTION("""COMPUTED_VALUE"""),"")</f>
        <v/>
      </c>
      <c r="C401" s="8" t="str">
        <f>IFERROR(__xludf.DUMMYFUNCTION("""COMPUTED_VALUE"""),"")</f>
        <v/>
      </c>
      <c r="D401" s="8" t="str">
        <f>IFERROR(__xludf.DUMMYFUNCTION("""COMPUTED_VALUE"""),"")</f>
        <v/>
      </c>
      <c r="E401" s="8" t="str">
        <f>IFERROR(__xludf.DUMMYFUNCTION("""COMPUTED_VALUE"""),"")</f>
        <v/>
      </c>
      <c r="F401" s="8" t="str">
        <f>IFERROR(__xludf.DUMMYFUNCTION("""COMPUTED_VALUE"""),"")</f>
        <v/>
      </c>
      <c r="G401" s="8" t="str">
        <f>IFERROR(__xludf.DUMMYFUNCTION("""COMPUTED_VALUE"""),"")</f>
        <v/>
      </c>
      <c r="L401" s="8" t="s">
        <v>299</v>
      </c>
    </row>
    <row r="402">
      <c r="A402" s="10"/>
      <c r="B402" s="8" t="str">
        <f>IFERROR(__xludf.DUMMYFUNCTION("""COMPUTED_VALUE"""),"")</f>
        <v/>
      </c>
      <c r="C402" s="8" t="str">
        <f>IFERROR(__xludf.DUMMYFUNCTION("""COMPUTED_VALUE"""),"")</f>
        <v/>
      </c>
      <c r="D402" s="8" t="str">
        <f>IFERROR(__xludf.DUMMYFUNCTION("""COMPUTED_VALUE"""),"")</f>
        <v/>
      </c>
      <c r="E402" s="8" t="str">
        <f>IFERROR(__xludf.DUMMYFUNCTION("""COMPUTED_VALUE"""),"")</f>
        <v/>
      </c>
      <c r="F402" s="8" t="str">
        <f>IFERROR(__xludf.DUMMYFUNCTION("""COMPUTED_VALUE"""),"")</f>
        <v/>
      </c>
      <c r="G402" s="8" t="str">
        <f>IFERROR(__xludf.DUMMYFUNCTION("""COMPUTED_VALUE"""),"")</f>
        <v/>
      </c>
      <c r="L402" s="8" t="s">
        <v>299</v>
      </c>
    </row>
    <row r="403">
      <c r="A403" s="10"/>
      <c r="B403" s="8" t="str">
        <f>IFERROR(__xludf.DUMMYFUNCTION("""COMPUTED_VALUE"""),"")</f>
        <v/>
      </c>
      <c r="C403" s="8" t="str">
        <f>IFERROR(__xludf.DUMMYFUNCTION("""COMPUTED_VALUE"""),"")</f>
        <v/>
      </c>
      <c r="D403" s="8" t="str">
        <f>IFERROR(__xludf.DUMMYFUNCTION("""COMPUTED_VALUE"""),"")</f>
        <v/>
      </c>
      <c r="E403" s="8" t="str">
        <f>IFERROR(__xludf.DUMMYFUNCTION("""COMPUTED_VALUE"""),"")</f>
        <v/>
      </c>
      <c r="F403" s="8" t="str">
        <f>IFERROR(__xludf.DUMMYFUNCTION("""COMPUTED_VALUE"""),"")</f>
        <v/>
      </c>
      <c r="G403" s="8" t="str">
        <f>IFERROR(__xludf.DUMMYFUNCTION("""COMPUTED_VALUE"""),"")</f>
        <v/>
      </c>
      <c r="L403" s="8" t="s">
        <v>299</v>
      </c>
    </row>
    <row r="404">
      <c r="A404" s="10"/>
      <c r="B404" s="8" t="str">
        <f>IFERROR(__xludf.DUMMYFUNCTION("""COMPUTED_VALUE"""),"")</f>
        <v/>
      </c>
      <c r="C404" s="8" t="str">
        <f>IFERROR(__xludf.DUMMYFUNCTION("""COMPUTED_VALUE"""),"")</f>
        <v/>
      </c>
      <c r="D404" s="8" t="str">
        <f>IFERROR(__xludf.DUMMYFUNCTION("""COMPUTED_VALUE"""),"")</f>
        <v/>
      </c>
      <c r="E404" s="8" t="str">
        <f>IFERROR(__xludf.DUMMYFUNCTION("""COMPUTED_VALUE"""),"")</f>
        <v/>
      </c>
      <c r="F404" s="8" t="str">
        <f>IFERROR(__xludf.DUMMYFUNCTION("""COMPUTED_VALUE"""),"")</f>
        <v/>
      </c>
      <c r="G404" s="8" t="str">
        <f>IFERROR(__xludf.DUMMYFUNCTION("""COMPUTED_VALUE"""),"")</f>
        <v/>
      </c>
      <c r="L404" s="8" t="s">
        <v>299</v>
      </c>
    </row>
    <row r="405">
      <c r="A405" s="10"/>
      <c r="B405" s="8" t="str">
        <f>IFERROR(__xludf.DUMMYFUNCTION("""COMPUTED_VALUE"""),"")</f>
        <v/>
      </c>
      <c r="C405" s="8" t="str">
        <f>IFERROR(__xludf.DUMMYFUNCTION("""COMPUTED_VALUE"""),"")</f>
        <v/>
      </c>
      <c r="D405" s="8" t="str">
        <f>IFERROR(__xludf.DUMMYFUNCTION("""COMPUTED_VALUE"""),"")</f>
        <v/>
      </c>
      <c r="E405" s="8" t="str">
        <f>IFERROR(__xludf.DUMMYFUNCTION("""COMPUTED_VALUE"""),"")</f>
        <v/>
      </c>
      <c r="F405" s="8" t="str">
        <f>IFERROR(__xludf.DUMMYFUNCTION("""COMPUTED_VALUE"""),"")</f>
        <v/>
      </c>
      <c r="G405" s="8" t="str">
        <f>IFERROR(__xludf.DUMMYFUNCTION("""COMPUTED_VALUE"""),"")</f>
        <v/>
      </c>
      <c r="L405" s="8" t="s">
        <v>299</v>
      </c>
    </row>
    <row r="406">
      <c r="A406" s="10"/>
      <c r="B406" s="8" t="str">
        <f>IFERROR(__xludf.DUMMYFUNCTION("""COMPUTED_VALUE"""),"")</f>
        <v/>
      </c>
      <c r="C406" s="8" t="str">
        <f>IFERROR(__xludf.DUMMYFUNCTION("""COMPUTED_VALUE"""),"")</f>
        <v/>
      </c>
      <c r="D406" s="8" t="str">
        <f>IFERROR(__xludf.DUMMYFUNCTION("""COMPUTED_VALUE"""),"")</f>
        <v/>
      </c>
      <c r="E406" s="8" t="str">
        <f>IFERROR(__xludf.DUMMYFUNCTION("""COMPUTED_VALUE"""),"")</f>
        <v/>
      </c>
      <c r="F406" s="8" t="str">
        <f>IFERROR(__xludf.DUMMYFUNCTION("""COMPUTED_VALUE"""),"")</f>
        <v/>
      </c>
      <c r="G406" s="8" t="str">
        <f>IFERROR(__xludf.DUMMYFUNCTION("""COMPUTED_VALUE"""),"")</f>
        <v/>
      </c>
      <c r="L406" s="8" t="s">
        <v>299</v>
      </c>
    </row>
    <row r="407">
      <c r="A407" s="10"/>
      <c r="B407" s="8" t="str">
        <f>IFERROR(__xludf.DUMMYFUNCTION("""COMPUTED_VALUE"""),"")</f>
        <v/>
      </c>
      <c r="C407" s="8" t="str">
        <f>IFERROR(__xludf.DUMMYFUNCTION("""COMPUTED_VALUE"""),"")</f>
        <v/>
      </c>
      <c r="D407" s="8" t="str">
        <f>IFERROR(__xludf.DUMMYFUNCTION("""COMPUTED_VALUE"""),"")</f>
        <v/>
      </c>
      <c r="E407" s="8" t="str">
        <f>IFERROR(__xludf.DUMMYFUNCTION("""COMPUTED_VALUE"""),"")</f>
        <v/>
      </c>
      <c r="F407" s="8" t="str">
        <f>IFERROR(__xludf.DUMMYFUNCTION("""COMPUTED_VALUE"""),"")</f>
        <v/>
      </c>
      <c r="G407" s="8" t="str">
        <f>IFERROR(__xludf.DUMMYFUNCTION("""COMPUTED_VALUE"""),"")</f>
        <v/>
      </c>
      <c r="L407" s="8" t="s">
        <v>299</v>
      </c>
    </row>
    <row r="408">
      <c r="A408" s="10"/>
      <c r="B408" s="8" t="str">
        <f>IFERROR(__xludf.DUMMYFUNCTION("""COMPUTED_VALUE"""),"")</f>
        <v/>
      </c>
      <c r="C408" s="8" t="str">
        <f>IFERROR(__xludf.DUMMYFUNCTION("""COMPUTED_VALUE"""),"")</f>
        <v/>
      </c>
      <c r="D408" s="8" t="str">
        <f>IFERROR(__xludf.DUMMYFUNCTION("""COMPUTED_VALUE"""),"")</f>
        <v/>
      </c>
      <c r="E408" s="8" t="str">
        <f>IFERROR(__xludf.DUMMYFUNCTION("""COMPUTED_VALUE"""),"")</f>
        <v/>
      </c>
      <c r="F408" s="8" t="str">
        <f>IFERROR(__xludf.DUMMYFUNCTION("""COMPUTED_VALUE"""),"")</f>
        <v/>
      </c>
      <c r="G408" s="8" t="str">
        <f>IFERROR(__xludf.DUMMYFUNCTION("""COMPUTED_VALUE"""),"")</f>
        <v/>
      </c>
      <c r="L408" s="8" t="s">
        <v>299</v>
      </c>
    </row>
    <row r="409">
      <c r="A409" s="10"/>
      <c r="B409" s="8" t="str">
        <f>IFERROR(__xludf.DUMMYFUNCTION("""COMPUTED_VALUE"""),"")</f>
        <v/>
      </c>
      <c r="C409" s="8" t="str">
        <f>IFERROR(__xludf.DUMMYFUNCTION("""COMPUTED_VALUE"""),"")</f>
        <v/>
      </c>
      <c r="D409" s="8" t="str">
        <f>IFERROR(__xludf.DUMMYFUNCTION("""COMPUTED_VALUE"""),"")</f>
        <v/>
      </c>
      <c r="E409" s="8" t="str">
        <f>IFERROR(__xludf.DUMMYFUNCTION("""COMPUTED_VALUE"""),"")</f>
        <v/>
      </c>
      <c r="F409" s="8" t="str">
        <f>IFERROR(__xludf.DUMMYFUNCTION("""COMPUTED_VALUE"""),"")</f>
        <v/>
      </c>
      <c r="G409" s="8" t="str">
        <f>IFERROR(__xludf.DUMMYFUNCTION("""COMPUTED_VALUE"""),"")</f>
        <v/>
      </c>
      <c r="L409" s="8" t="s">
        <v>299</v>
      </c>
    </row>
    <row r="410">
      <c r="A410" s="10"/>
      <c r="B410" s="8" t="str">
        <f>IFERROR(__xludf.DUMMYFUNCTION("""COMPUTED_VALUE"""),"")</f>
        <v/>
      </c>
      <c r="C410" s="8" t="str">
        <f>IFERROR(__xludf.DUMMYFUNCTION("""COMPUTED_VALUE"""),"")</f>
        <v/>
      </c>
      <c r="D410" s="8" t="str">
        <f>IFERROR(__xludf.DUMMYFUNCTION("""COMPUTED_VALUE"""),"")</f>
        <v/>
      </c>
      <c r="E410" s="8" t="str">
        <f>IFERROR(__xludf.DUMMYFUNCTION("""COMPUTED_VALUE"""),"")</f>
        <v/>
      </c>
      <c r="F410" s="8" t="str">
        <f>IFERROR(__xludf.DUMMYFUNCTION("""COMPUTED_VALUE"""),"")</f>
        <v/>
      </c>
      <c r="G410" s="8" t="str">
        <f>IFERROR(__xludf.DUMMYFUNCTION("""COMPUTED_VALUE"""),"")</f>
        <v/>
      </c>
      <c r="L410" s="8" t="s">
        <v>299</v>
      </c>
    </row>
    <row r="411">
      <c r="A411" s="10"/>
      <c r="B411" s="8" t="str">
        <f>IFERROR(__xludf.DUMMYFUNCTION("""COMPUTED_VALUE"""),"")</f>
        <v/>
      </c>
      <c r="C411" s="8" t="str">
        <f>IFERROR(__xludf.DUMMYFUNCTION("""COMPUTED_VALUE"""),"")</f>
        <v/>
      </c>
      <c r="D411" s="8" t="str">
        <f>IFERROR(__xludf.DUMMYFUNCTION("""COMPUTED_VALUE"""),"")</f>
        <v/>
      </c>
      <c r="E411" s="8" t="str">
        <f>IFERROR(__xludf.DUMMYFUNCTION("""COMPUTED_VALUE"""),"")</f>
        <v/>
      </c>
      <c r="F411" s="8" t="str">
        <f>IFERROR(__xludf.DUMMYFUNCTION("""COMPUTED_VALUE"""),"")</f>
        <v/>
      </c>
      <c r="G411" s="8" t="str">
        <f>IFERROR(__xludf.DUMMYFUNCTION("""COMPUTED_VALUE"""),"")</f>
        <v/>
      </c>
      <c r="L411" s="8" t="s">
        <v>299</v>
      </c>
    </row>
    <row r="412">
      <c r="A412" s="10"/>
      <c r="B412" s="8" t="str">
        <f>IFERROR(__xludf.DUMMYFUNCTION("""COMPUTED_VALUE"""),"")</f>
        <v/>
      </c>
      <c r="C412" s="8" t="str">
        <f>IFERROR(__xludf.DUMMYFUNCTION("""COMPUTED_VALUE"""),"")</f>
        <v/>
      </c>
      <c r="D412" s="8" t="str">
        <f>IFERROR(__xludf.DUMMYFUNCTION("""COMPUTED_VALUE"""),"")</f>
        <v/>
      </c>
      <c r="E412" s="8" t="str">
        <f>IFERROR(__xludf.DUMMYFUNCTION("""COMPUTED_VALUE"""),"")</f>
        <v/>
      </c>
      <c r="F412" s="8" t="str">
        <f>IFERROR(__xludf.DUMMYFUNCTION("""COMPUTED_VALUE"""),"")</f>
        <v/>
      </c>
      <c r="G412" s="8" t="str">
        <f>IFERROR(__xludf.DUMMYFUNCTION("""COMPUTED_VALUE"""),"")</f>
        <v/>
      </c>
      <c r="L412" s="8" t="s">
        <v>299</v>
      </c>
    </row>
    <row r="413">
      <c r="A413" s="10"/>
      <c r="B413" s="8" t="str">
        <f>IFERROR(__xludf.DUMMYFUNCTION("""COMPUTED_VALUE"""),"")</f>
        <v/>
      </c>
      <c r="C413" s="8" t="str">
        <f>IFERROR(__xludf.DUMMYFUNCTION("""COMPUTED_VALUE"""),"")</f>
        <v/>
      </c>
      <c r="D413" s="8" t="str">
        <f>IFERROR(__xludf.DUMMYFUNCTION("""COMPUTED_VALUE"""),"")</f>
        <v/>
      </c>
      <c r="E413" s="8" t="str">
        <f>IFERROR(__xludf.DUMMYFUNCTION("""COMPUTED_VALUE"""),"")</f>
        <v/>
      </c>
      <c r="F413" s="8" t="str">
        <f>IFERROR(__xludf.DUMMYFUNCTION("""COMPUTED_VALUE"""),"")</f>
        <v/>
      </c>
      <c r="G413" s="8" t="str">
        <f>IFERROR(__xludf.DUMMYFUNCTION("""COMPUTED_VALUE"""),"")</f>
        <v/>
      </c>
      <c r="L413" s="8" t="s">
        <v>299</v>
      </c>
    </row>
    <row r="414">
      <c r="A414" s="10"/>
      <c r="B414" s="8" t="str">
        <f>IFERROR(__xludf.DUMMYFUNCTION("""COMPUTED_VALUE"""),"")</f>
        <v/>
      </c>
      <c r="C414" s="8" t="str">
        <f>IFERROR(__xludf.DUMMYFUNCTION("""COMPUTED_VALUE"""),"")</f>
        <v/>
      </c>
      <c r="D414" s="8" t="str">
        <f>IFERROR(__xludf.DUMMYFUNCTION("""COMPUTED_VALUE"""),"")</f>
        <v/>
      </c>
      <c r="E414" s="8" t="str">
        <f>IFERROR(__xludf.DUMMYFUNCTION("""COMPUTED_VALUE"""),"")</f>
        <v/>
      </c>
      <c r="F414" s="8" t="str">
        <f>IFERROR(__xludf.DUMMYFUNCTION("""COMPUTED_VALUE"""),"")</f>
        <v/>
      </c>
      <c r="G414" s="8" t="str">
        <f>IFERROR(__xludf.DUMMYFUNCTION("""COMPUTED_VALUE"""),"")</f>
        <v/>
      </c>
      <c r="L414" s="8" t="s">
        <v>299</v>
      </c>
    </row>
    <row r="415">
      <c r="A415" s="10"/>
      <c r="B415" s="8" t="str">
        <f>IFERROR(__xludf.DUMMYFUNCTION("""COMPUTED_VALUE"""),"")</f>
        <v/>
      </c>
      <c r="C415" s="8" t="str">
        <f>IFERROR(__xludf.DUMMYFUNCTION("""COMPUTED_VALUE"""),"")</f>
        <v/>
      </c>
      <c r="D415" s="8" t="str">
        <f>IFERROR(__xludf.DUMMYFUNCTION("""COMPUTED_VALUE"""),"")</f>
        <v/>
      </c>
      <c r="E415" s="8" t="str">
        <f>IFERROR(__xludf.DUMMYFUNCTION("""COMPUTED_VALUE"""),"")</f>
        <v/>
      </c>
      <c r="F415" s="8" t="str">
        <f>IFERROR(__xludf.DUMMYFUNCTION("""COMPUTED_VALUE"""),"")</f>
        <v/>
      </c>
      <c r="G415" s="8" t="str">
        <f>IFERROR(__xludf.DUMMYFUNCTION("""COMPUTED_VALUE"""),"")</f>
        <v/>
      </c>
      <c r="L415" s="8" t="s">
        <v>299</v>
      </c>
    </row>
    <row r="416">
      <c r="A416" s="10"/>
      <c r="B416" s="8" t="str">
        <f>IFERROR(__xludf.DUMMYFUNCTION("""COMPUTED_VALUE"""),"")</f>
        <v/>
      </c>
      <c r="C416" s="8" t="str">
        <f>IFERROR(__xludf.DUMMYFUNCTION("""COMPUTED_VALUE"""),"")</f>
        <v/>
      </c>
      <c r="D416" s="8" t="str">
        <f>IFERROR(__xludf.DUMMYFUNCTION("""COMPUTED_VALUE"""),"")</f>
        <v/>
      </c>
      <c r="E416" s="8" t="str">
        <f>IFERROR(__xludf.DUMMYFUNCTION("""COMPUTED_VALUE"""),"")</f>
        <v/>
      </c>
      <c r="F416" s="8" t="str">
        <f>IFERROR(__xludf.DUMMYFUNCTION("""COMPUTED_VALUE"""),"")</f>
        <v/>
      </c>
      <c r="G416" s="8" t="str">
        <f>IFERROR(__xludf.DUMMYFUNCTION("""COMPUTED_VALUE"""),"")</f>
        <v/>
      </c>
      <c r="L416" s="8" t="s">
        <v>299</v>
      </c>
    </row>
    <row r="417">
      <c r="A417" s="10"/>
      <c r="B417" s="8" t="str">
        <f>IFERROR(__xludf.DUMMYFUNCTION("""COMPUTED_VALUE"""),"")</f>
        <v/>
      </c>
      <c r="C417" s="8" t="str">
        <f>IFERROR(__xludf.DUMMYFUNCTION("""COMPUTED_VALUE"""),"")</f>
        <v/>
      </c>
      <c r="D417" s="8" t="str">
        <f>IFERROR(__xludf.DUMMYFUNCTION("""COMPUTED_VALUE"""),"")</f>
        <v/>
      </c>
      <c r="E417" s="8" t="str">
        <f>IFERROR(__xludf.DUMMYFUNCTION("""COMPUTED_VALUE"""),"")</f>
        <v/>
      </c>
      <c r="F417" s="8" t="str">
        <f>IFERROR(__xludf.DUMMYFUNCTION("""COMPUTED_VALUE"""),"")</f>
        <v/>
      </c>
      <c r="G417" s="8" t="str">
        <f>IFERROR(__xludf.DUMMYFUNCTION("""COMPUTED_VALUE"""),"")</f>
        <v/>
      </c>
      <c r="L417" s="8" t="s">
        <v>299</v>
      </c>
    </row>
    <row r="418">
      <c r="A418" s="10"/>
      <c r="B418" s="8" t="str">
        <f>IFERROR(__xludf.DUMMYFUNCTION("""COMPUTED_VALUE"""),"")</f>
        <v/>
      </c>
      <c r="C418" s="8" t="str">
        <f>IFERROR(__xludf.DUMMYFUNCTION("""COMPUTED_VALUE"""),"")</f>
        <v/>
      </c>
      <c r="D418" s="8" t="str">
        <f>IFERROR(__xludf.DUMMYFUNCTION("""COMPUTED_VALUE"""),"")</f>
        <v/>
      </c>
      <c r="E418" s="8" t="str">
        <f>IFERROR(__xludf.DUMMYFUNCTION("""COMPUTED_VALUE"""),"")</f>
        <v/>
      </c>
      <c r="F418" s="8" t="str">
        <f>IFERROR(__xludf.DUMMYFUNCTION("""COMPUTED_VALUE"""),"")</f>
        <v/>
      </c>
      <c r="G418" s="8" t="str">
        <f>IFERROR(__xludf.DUMMYFUNCTION("""COMPUTED_VALUE"""),"")</f>
        <v/>
      </c>
      <c r="L418" s="8" t="s">
        <v>299</v>
      </c>
    </row>
    <row r="419">
      <c r="A419" s="10"/>
      <c r="B419" s="8" t="str">
        <f>IFERROR(__xludf.DUMMYFUNCTION("""COMPUTED_VALUE"""),"")</f>
        <v/>
      </c>
      <c r="C419" s="8" t="str">
        <f>IFERROR(__xludf.DUMMYFUNCTION("""COMPUTED_VALUE"""),"")</f>
        <v/>
      </c>
      <c r="D419" s="8" t="str">
        <f>IFERROR(__xludf.DUMMYFUNCTION("""COMPUTED_VALUE"""),"")</f>
        <v/>
      </c>
      <c r="E419" s="8" t="str">
        <f>IFERROR(__xludf.DUMMYFUNCTION("""COMPUTED_VALUE"""),"")</f>
        <v/>
      </c>
      <c r="F419" s="8" t="str">
        <f>IFERROR(__xludf.DUMMYFUNCTION("""COMPUTED_VALUE"""),"")</f>
        <v/>
      </c>
      <c r="G419" s="8" t="str">
        <f>IFERROR(__xludf.DUMMYFUNCTION("""COMPUTED_VALUE"""),"")</f>
        <v/>
      </c>
      <c r="L419" s="8" t="s">
        <v>299</v>
      </c>
    </row>
    <row r="420">
      <c r="A420" s="10"/>
      <c r="B420" s="8" t="str">
        <f>IFERROR(__xludf.DUMMYFUNCTION("""COMPUTED_VALUE"""),"")</f>
        <v/>
      </c>
      <c r="C420" s="8" t="str">
        <f>IFERROR(__xludf.DUMMYFUNCTION("""COMPUTED_VALUE"""),"")</f>
        <v/>
      </c>
      <c r="D420" s="8" t="str">
        <f>IFERROR(__xludf.DUMMYFUNCTION("""COMPUTED_VALUE"""),"")</f>
        <v/>
      </c>
      <c r="E420" s="8" t="str">
        <f>IFERROR(__xludf.DUMMYFUNCTION("""COMPUTED_VALUE"""),"")</f>
        <v/>
      </c>
      <c r="F420" s="8" t="str">
        <f>IFERROR(__xludf.DUMMYFUNCTION("""COMPUTED_VALUE"""),"")</f>
        <v/>
      </c>
      <c r="G420" s="8" t="str">
        <f>IFERROR(__xludf.DUMMYFUNCTION("""COMPUTED_VALUE"""),"")</f>
        <v/>
      </c>
      <c r="L420" s="8" t="s">
        <v>299</v>
      </c>
    </row>
    <row r="421">
      <c r="A421" s="10"/>
      <c r="B421" s="8" t="str">
        <f>IFERROR(__xludf.DUMMYFUNCTION("""COMPUTED_VALUE"""),"")</f>
        <v/>
      </c>
      <c r="C421" s="8" t="str">
        <f>IFERROR(__xludf.DUMMYFUNCTION("""COMPUTED_VALUE"""),"")</f>
        <v/>
      </c>
      <c r="D421" s="8" t="str">
        <f>IFERROR(__xludf.DUMMYFUNCTION("""COMPUTED_VALUE"""),"")</f>
        <v/>
      </c>
      <c r="E421" s="8" t="str">
        <f>IFERROR(__xludf.DUMMYFUNCTION("""COMPUTED_VALUE"""),"")</f>
        <v/>
      </c>
      <c r="F421" s="8" t="str">
        <f>IFERROR(__xludf.DUMMYFUNCTION("""COMPUTED_VALUE"""),"")</f>
        <v/>
      </c>
      <c r="G421" s="8" t="str">
        <f>IFERROR(__xludf.DUMMYFUNCTION("""COMPUTED_VALUE"""),"")</f>
        <v/>
      </c>
      <c r="L421" s="8" t="s">
        <v>299</v>
      </c>
    </row>
    <row r="422">
      <c r="A422" s="10"/>
      <c r="B422" s="8" t="str">
        <f>IFERROR(__xludf.DUMMYFUNCTION("""COMPUTED_VALUE"""),"")</f>
        <v/>
      </c>
      <c r="C422" s="8" t="str">
        <f>IFERROR(__xludf.DUMMYFUNCTION("""COMPUTED_VALUE"""),"")</f>
        <v/>
      </c>
      <c r="D422" s="8" t="str">
        <f>IFERROR(__xludf.DUMMYFUNCTION("""COMPUTED_VALUE"""),"")</f>
        <v/>
      </c>
      <c r="E422" s="8" t="str">
        <f>IFERROR(__xludf.DUMMYFUNCTION("""COMPUTED_VALUE"""),"")</f>
        <v/>
      </c>
      <c r="F422" s="8" t="str">
        <f>IFERROR(__xludf.DUMMYFUNCTION("""COMPUTED_VALUE"""),"")</f>
        <v/>
      </c>
      <c r="G422" s="8" t="str">
        <f>IFERROR(__xludf.DUMMYFUNCTION("""COMPUTED_VALUE"""),"")</f>
        <v/>
      </c>
      <c r="L422" s="8" t="s">
        <v>299</v>
      </c>
    </row>
    <row r="423">
      <c r="A423" s="10"/>
      <c r="B423" s="8" t="str">
        <f>IFERROR(__xludf.DUMMYFUNCTION("""COMPUTED_VALUE"""),"")</f>
        <v/>
      </c>
      <c r="C423" s="8" t="str">
        <f>IFERROR(__xludf.DUMMYFUNCTION("""COMPUTED_VALUE"""),"")</f>
        <v/>
      </c>
      <c r="D423" s="8" t="str">
        <f>IFERROR(__xludf.DUMMYFUNCTION("""COMPUTED_VALUE"""),"")</f>
        <v/>
      </c>
      <c r="E423" s="8" t="str">
        <f>IFERROR(__xludf.DUMMYFUNCTION("""COMPUTED_VALUE"""),"")</f>
        <v/>
      </c>
      <c r="F423" s="8" t="str">
        <f>IFERROR(__xludf.DUMMYFUNCTION("""COMPUTED_VALUE"""),"")</f>
        <v/>
      </c>
      <c r="G423" s="8" t="str">
        <f>IFERROR(__xludf.DUMMYFUNCTION("""COMPUTED_VALUE"""),"")</f>
        <v/>
      </c>
      <c r="L423" s="8" t="s">
        <v>299</v>
      </c>
    </row>
    <row r="424">
      <c r="A424" s="10"/>
      <c r="B424" s="8" t="str">
        <f>IFERROR(__xludf.DUMMYFUNCTION("""COMPUTED_VALUE"""),"")</f>
        <v/>
      </c>
      <c r="C424" s="8" t="str">
        <f>IFERROR(__xludf.DUMMYFUNCTION("""COMPUTED_VALUE"""),"")</f>
        <v/>
      </c>
      <c r="D424" s="8" t="str">
        <f>IFERROR(__xludf.DUMMYFUNCTION("""COMPUTED_VALUE"""),"")</f>
        <v/>
      </c>
      <c r="E424" s="8" t="str">
        <f>IFERROR(__xludf.DUMMYFUNCTION("""COMPUTED_VALUE"""),"")</f>
        <v/>
      </c>
      <c r="F424" s="8" t="str">
        <f>IFERROR(__xludf.DUMMYFUNCTION("""COMPUTED_VALUE"""),"")</f>
        <v/>
      </c>
      <c r="G424" s="8" t="str">
        <f>IFERROR(__xludf.DUMMYFUNCTION("""COMPUTED_VALUE"""),"")</f>
        <v/>
      </c>
      <c r="L424" s="8" t="s">
        <v>299</v>
      </c>
    </row>
    <row r="425">
      <c r="A425" s="10"/>
      <c r="B425" s="8" t="str">
        <f>IFERROR(__xludf.DUMMYFUNCTION("""COMPUTED_VALUE"""),"")</f>
        <v/>
      </c>
      <c r="C425" s="8" t="str">
        <f>IFERROR(__xludf.DUMMYFUNCTION("""COMPUTED_VALUE"""),"")</f>
        <v/>
      </c>
      <c r="D425" s="8" t="str">
        <f>IFERROR(__xludf.DUMMYFUNCTION("""COMPUTED_VALUE"""),"")</f>
        <v/>
      </c>
      <c r="E425" s="8" t="str">
        <f>IFERROR(__xludf.DUMMYFUNCTION("""COMPUTED_VALUE"""),"")</f>
        <v/>
      </c>
      <c r="F425" s="8" t="str">
        <f>IFERROR(__xludf.DUMMYFUNCTION("""COMPUTED_VALUE"""),"")</f>
        <v/>
      </c>
      <c r="G425" s="8" t="str">
        <f>IFERROR(__xludf.DUMMYFUNCTION("""COMPUTED_VALUE"""),"")</f>
        <v/>
      </c>
      <c r="L425" s="8" t="s">
        <v>299</v>
      </c>
    </row>
    <row r="426">
      <c r="A426" s="10"/>
      <c r="B426" s="8" t="str">
        <f>IFERROR(__xludf.DUMMYFUNCTION("""COMPUTED_VALUE"""),"")</f>
        <v/>
      </c>
      <c r="C426" s="8" t="str">
        <f>IFERROR(__xludf.DUMMYFUNCTION("""COMPUTED_VALUE"""),"")</f>
        <v/>
      </c>
      <c r="D426" s="8" t="str">
        <f>IFERROR(__xludf.DUMMYFUNCTION("""COMPUTED_VALUE"""),"")</f>
        <v/>
      </c>
      <c r="E426" s="8" t="str">
        <f>IFERROR(__xludf.DUMMYFUNCTION("""COMPUTED_VALUE"""),"")</f>
        <v/>
      </c>
      <c r="F426" s="8" t="str">
        <f>IFERROR(__xludf.DUMMYFUNCTION("""COMPUTED_VALUE"""),"")</f>
        <v/>
      </c>
      <c r="G426" s="8" t="str">
        <f>IFERROR(__xludf.DUMMYFUNCTION("""COMPUTED_VALUE"""),"")</f>
        <v/>
      </c>
      <c r="L426" s="8" t="s">
        <v>299</v>
      </c>
    </row>
    <row r="427">
      <c r="A427" s="10"/>
      <c r="B427" s="8" t="str">
        <f>IFERROR(__xludf.DUMMYFUNCTION("""COMPUTED_VALUE"""),"")</f>
        <v/>
      </c>
      <c r="C427" s="8" t="str">
        <f>IFERROR(__xludf.DUMMYFUNCTION("""COMPUTED_VALUE"""),"")</f>
        <v/>
      </c>
      <c r="D427" s="8" t="str">
        <f>IFERROR(__xludf.DUMMYFUNCTION("""COMPUTED_VALUE"""),"")</f>
        <v/>
      </c>
      <c r="E427" s="8" t="str">
        <f>IFERROR(__xludf.DUMMYFUNCTION("""COMPUTED_VALUE"""),"")</f>
        <v/>
      </c>
      <c r="F427" s="8" t="str">
        <f>IFERROR(__xludf.DUMMYFUNCTION("""COMPUTED_VALUE"""),"")</f>
        <v/>
      </c>
      <c r="G427" s="8" t="str">
        <f>IFERROR(__xludf.DUMMYFUNCTION("""COMPUTED_VALUE"""),"")</f>
        <v/>
      </c>
      <c r="L427" s="8" t="s">
        <v>299</v>
      </c>
    </row>
    <row r="428">
      <c r="A428" s="10"/>
      <c r="B428" s="8" t="str">
        <f>IFERROR(__xludf.DUMMYFUNCTION("""COMPUTED_VALUE"""),"")</f>
        <v/>
      </c>
      <c r="C428" s="8" t="str">
        <f>IFERROR(__xludf.DUMMYFUNCTION("""COMPUTED_VALUE"""),"")</f>
        <v/>
      </c>
      <c r="D428" s="8" t="str">
        <f>IFERROR(__xludf.DUMMYFUNCTION("""COMPUTED_VALUE"""),"")</f>
        <v/>
      </c>
      <c r="E428" s="8" t="str">
        <f>IFERROR(__xludf.DUMMYFUNCTION("""COMPUTED_VALUE"""),"")</f>
        <v/>
      </c>
      <c r="F428" s="8" t="str">
        <f>IFERROR(__xludf.DUMMYFUNCTION("""COMPUTED_VALUE"""),"")</f>
        <v/>
      </c>
      <c r="G428" s="8" t="str">
        <f>IFERROR(__xludf.DUMMYFUNCTION("""COMPUTED_VALUE"""),"")</f>
        <v/>
      </c>
      <c r="L428" s="8" t="s">
        <v>299</v>
      </c>
    </row>
    <row r="429">
      <c r="A429" s="10"/>
      <c r="B429" s="8" t="str">
        <f>IFERROR(__xludf.DUMMYFUNCTION("""COMPUTED_VALUE"""),"")</f>
        <v/>
      </c>
      <c r="C429" s="8" t="str">
        <f>IFERROR(__xludf.DUMMYFUNCTION("""COMPUTED_VALUE"""),"")</f>
        <v/>
      </c>
      <c r="D429" s="8" t="str">
        <f>IFERROR(__xludf.DUMMYFUNCTION("""COMPUTED_VALUE"""),"")</f>
        <v/>
      </c>
      <c r="E429" s="8" t="str">
        <f>IFERROR(__xludf.DUMMYFUNCTION("""COMPUTED_VALUE"""),"")</f>
        <v/>
      </c>
      <c r="F429" s="8" t="str">
        <f>IFERROR(__xludf.DUMMYFUNCTION("""COMPUTED_VALUE"""),"")</f>
        <v/>
      </c>
      <c r="G429" s="8" t="str">
        <f>IFERROR(__xludf.DUMMYFUNCTION("""COMPUTED_VALUE"""),"")</f>
        <v/>
      </c>
      <c r="L429" s="8" t="s">
        <v>299</v>
      </c>
    </row>
    <row r="430">
      <c r="A430" s="10"/>
      <c r="B430" s="8" t="str">
        <f>IFERROR(__xludf.DUMMYFUNCTION("""COMPUTED_VALUE"""),"")</f>
        <v/>
      </c>
      <c r="C430" s="8" t="str">
        <f>IFERROR(__xludf.DUMMYFUNCTION("""COMPUTED_VALUE"""),"")</f>
        <v/>
      </c>
      <c r="D430" s="8" t="str">
        <f>IFERROR(__xludf.DUMMYFUNCTION("""COMPUTED_VALUE"""),"")</f>
        <v/>
      </c>
      <c r="E430" s="8" t="str">
        <f>IFERROR(__xludf.DUMMYFUNCTION("""COMPUTED_VALUE"""),"")</f>
        <v/>
      </c>
      <c r="F430" s="8" t="str">
        <f>IFERROR(__xludf.DUMMYFUNCTION("""COMPUTED_VALUE"""),"")</f>
        <v/>
      </c>
      <c r="G430" s="8" t="str">
        <f>IFERROR(__xludf.DUMMYFUNCTION("""COMPUTED_VALUE"""),"")</f>
        <v/>
      </c>
      <c r="L430" s="8" t="s">
        <v>299</v>
      </c>
    </row>
    <row r="431">
      <c r="A431" s="10"/>
      <c r="B431" s="8" t="str">
        <f>IFERROR(__xludf.DUMMYFUNCTION("""COMPUTED_VALUE"""),"")</f>
        <v/>
      </c>
      <c r="C431" s="8" t="str">
        <f>IFERROR(__xludf.DUMMYFUNCTION("""COMPUTED_VALUE"""),"")</f>
        <v/>
      </c>
      <c r="D431" s="8" t="str">
        <f>IFERROR(__xludf.DUMMYFUNCTION("""COMPUTED_VALUE"""),"")</f>
        <v/>
      </c>
      <c r="E431" s="8" t="str">
        <f>IFERROR(__xludf.DUMMYFUNCTION("""COMPUTED_VALUE"""),"")</f>
        <v/>
      </c>
      <c r="F431" s="8" t="str">
        <f>IFERROR(__xludf.DUMMYFUNCTION("""COMPUTED_VALUE"""),"")</f>
        <v/>
      </c>
      <c r="G431" s="8" t="str">
        <f>IFERROR(__xludf.DUMMYFUNCTION("""COMPUTED_VALUE"""),"")</f>
        <v/>
      </c>
      <c r="L431" s="8" t="s">
        <v>299</v>
      </c>
    </row>
    <row r="432">
      <c r="A432" s="10"/>
      <c r="B432" s="8" t="str">
        <f>IFERROR(__xludf.DUMMYFUNCTION("""COMPUTED_VALUE"""),"")</f>
        <v/>
      </c>
      <c r="C432" s="8" t="str">
        <f>IFERROR(__xludf.DUMMYFUNCTION("""COMPUTED_VALUE"""),"")</f>
        <v/>
      </c>
      <c r="D432" s="8" t="str">
        <f>IFERROR(__xludf.DUMMYFUNCTION("""COMPUTED_VALUE"""),"")</f>
        <v/>
      </c>
      <c r="E432" s="8" t="str">
        <f>IFERROR(__xludf.DUMMYFUNCTION("""COMPUTED_VALUE"""),"")</f>
        <v/>
      </c>
      <c r="F432" s="8" t="str">
        <f>IFERROR(__xludf.DUMMYFUNCTION("""COMPUTED_VALUE"""),"")</f>
        <v/>
      </c>
      <c r="G432" s="8" t="str">
        <f>IFERROR(__xludf.DUMMYFUNCTION("""COMPUTED_VALUE"""),"")</f>
        <v/>
      </c>
      <c r="L432" s="8" t="s">
        <v>299</v>
      </c>
    </row>
    <row r="433">
      <c r="A433" s="10"/>
      <c r="B433" s="8" t="str">
        <f>IFERROR(__xludf.DUMMYFUNCTION("""COMPUTED_VALUE"""),"")</f>
        <v/>
      </c>
      <c r="C433" s="8" t="str">
        <f>IFERROR(__xludf.DUMMYFUNCTION("""COMPUTED_VALUE"""),"")</f>
        <v/>
      </c>
      <c r="D433" s="8" t="str">
        <f>IFERROR(__xludf.DUMMYFUNCTION("""COMPUTED_VALUE"""),"")</f>
        <v/>
      </c>
      <c r="E433" s="8" t="str">
        <f>IFERROR(__xludf.DUMMYFUNCTION("""COMPUTED_VALUE"""),"")</f>
        <v/>
      </c>
      <c r="F433" s="8" t="str">
        <f>IFERROR(__xludf.DUMMYFUNCTION("""COMPUTED_VALUE"""),"")</f>
        <v/>
      </c>
      <c r="G433" s="8" t="str">
        <f>IFERROR(__xludf.DUMMYFUNCTION("""COMPUTED_VALUE"""),"")</f>
        <v/>
      </c>
      <c r="L433" s="8" t="s">
        <v>299</v>
      </c>
    </row>
    <row r="434">
      <c r="A434" s="10"/>
      <c r="B434" s="8" t="str">
        <f>IFERROR(__xludf.DUMMYFUNCTION("""COMPUTED_VALUE"""),"")</f>
        <v/>
      </c>
      <c r="C434" s="8" t="str">
        <f>IFERROR(__xludf.DUMMYFUNCTION("""COMPUTED_VALUE"""),"")</f>
        <v/>
      </c>
      <c r="D434" s="8" t="str">
        <f>IFERROR(__xludf.DUMMYFUNCTION("""COMPUTED_VALUE"""),"")</f>
        <v/>
      </c>
      <c r="E434" s="8" t="str">
        <f>IFERROR(__xludf.DUMMYFUNCTION("""COMPUTED_VALUE"""),"")</f>
        <v/>
      </c>
      <c r="F434" s="8" t="str">
        <f>IFERROR(__xludf.DUMMYFUNCTION("""COMPUTED_VALUE"""),"")</f>
        <v/>
      </c>
      <c r="G434" s="8" t="str">
        <f>IFERROR(__xludf.DUMMYFUNCTION("""COMPUTED_VALUE"""),"")</f>
        <v/>
      </c>
      <c r="L434" s="8" t="s">
        <v>299</v>
      </c>
    </row>
    <row r="435">
      <c r="A435" s="10"/>
      <c r="B435" s="8" t="str">
        <f>IFERROR(__xludf.DUMMYFUNCTION("""COMPUTED_VALUE"""),"")</f>
        <v/>
      </c>
      <c r="C435" s="8" t="str">
        <f>IFERROR(__xludf.DUMMYFUNCTION("""COMPUTED_VALUE"""),"")</f>
        <v/>
      </c>
      <c r="D435" s="8" t="str">
        <f>IFERROR(__xludf.DUMMYFUNCTION("""COMPUTED_VALUE"""),"")</f>
        <v/>
      </c>
      <c r="E435" s="8" t="str">
        <f>IFERROR(__xludf.DUMMYFUNCTION("""COMPUTED_VALUE"""),"")</f>
        <v/>
      </c>
      <c r="F435" s="8" t="str">
        <f>IFERROR(__xludf.DUMMYFUNCTION("""COMPUTED_VALUE"""),"")</f>
        <v/>
      </c>
      <c r="G435" s="8" t="str">
        <f>IFERROR(__xludf.DUMMYFUNCTION("""COMPUTED_VALUE"""),"")</f>
        <v/>
      </c>
      <c r="L435" s="8" t="s">
        <v>299</v>
      </c>
    </row>
    <row r="436">
      <c r="A436" s="10"/>
      <c r="B436" s="8" t="str">
        <f>IFERROR(__xludf.DUMMYFUNCTION("""COMPUTED_VALUE"""),"")</f>
        <v/>
      </c>
      <c r="C436" s="8" t="str">
        <f>IFERROR(__xludf.DUMMYFUNCTION("""COMPUTED_VALUE"""),"")</f>
        <v/>
      </c>
      <c r="D436" s="8" t="str">
        <f>IFERROR(__xludf.DUMMYFUNCTION("""COMPUTED_VALUE"""),"")</f>
        <v/>
      </c>
      <c r="E436" s="8" t="str">
        <f>IFERROR(__xludf.DUMMYFUNCTION("""COMPUTED_VALUE"""),"")</f>
        <v/>
      </c>
      <c r="F436" s="8" t="str">
        <f>IFERROR(__xludf.DUMMYFUNCTION("""COMPUTED_VALUE"""),"")</f>
        <v/>
      </c>
      <c r="G436" s="8" t="str">
        <f>IFERROR(__xludf.DUMMYFUNCTION("""COMPUTED_VALUE"""),"")</f>
        <v/>
      </c>
      <c r="L436" s="8" t="s">
        <v>299</v>
      </c>
    </row>
    <row r="437">
      <c r="A437" s="10"/>
      <c r="B437" s="8" t="str">
        <f>IFERROR(__xludf.DUMMYFUNCTION("""COMPUTED_VALUE"""),"")</f>
        <v/>
      </c>
      <c r="C437" s="8" t="str">
        <f>IFERROR(__xludf.DUMMYFUNCTION("""COMPUTED_VALUE"""),"")</f>
        <v/>
      </c>
      <c r="D437" s="8" t="str">
        <f>IFERROR(__xludf.DUMMYFUNCTION("""COMPUTED_VALUE"""),"")</f>
        <v/>
      </c>
      <c r="E437" s="8" t="str">
        <f>IFERROR(__xludf.DUMMYFUNCTION("""COMPUTED_VALUE"""),"")</f>
        <v/>
      </c>
      <c r="F437" s="8" t="str">
        <f>IFERROR(__xludf.DUMMYFUNCTION("""COMPUTED_VALUE"""),"")</f>
        <v/>
      </c>
      <c r="G437" s="8" t="str">
        <f>IFERROR(__xludf.DUMMYFUNCTION("""COMPUTED_VALUE"""),"")</f>
        <v/>
      </c>
      <c r="L437" s="8" t="s">
        <v>299</v>
      </c>
    </row>
    <row r="438">
      <c r="A438" s="10"/>
      <c r="B438" s="8" t="str">
        <f>IFERROR(__xludf.DUMMYFUNCTION("""COMPUTED_VALUE"""),"")</f>
        <v/>
      </c>
      <c r="C438" s="8" t="str">
        <f>IFERROR(__xludf.DUMMYFUNCTION("""COMPUTED_VALUE"""),"")</f>
        <v/>
      </c>
      <c r="D438" s="8" t="str">
        <f>IFERROR(__xludf.DUMMYFUNCTION("""COMPUTED_VALUE"""),"")</f>
        <v/>
      </c>
      <c r="E438" s="8" t="str">
        <f>IFERROR(__xludf.DUMMYFUNCTION("""COMPUTED_VALUE"""),"")</f>
        <v/>
      </c>
      <c r="F438" s="8" t="str">
        <f>IFERROR(__xludf.DUMMYFUNCTION("""COMPUTED_VALUE"""),"")</f>
        <v/>
      </c>
      <c r="G438" s="8" t="str">
        <f>IFERROR(__xludf.DUMMYFUNCTION("""COMPUTED_VALUE"""),"")</f>
        <v/>
      </c>
      <c r="L438" s="8" t="s">
        <v>299</v>
      </c>
    </row>
    <row r="439">
      <c r="A439" s="10"/>
      <c r="B439" s="8" t="str">
        <f>IFERROR(__xludf.DUMMYFUNCTION("""COMPUTED_VALUE"""),"")</f>
        <v/>
      </c>
      <c r="C439" s="8" t="str">
        <f>IFERROR(__xludf.DUMMYFUNCTION("""COMPUTED_VALUE"""),"")</f>
        <v/>
      </c>
      <c r="D439" s="8" t="str">
        <f>IFERROR(__xludf.DUMMYFUNCTION("""COMPUTED_VALUE"""),"")</f>
        <v/>
      </c>
      <c r="E439" s="8" t="str">
        <f>IFERROR(__xludf.DUMMYFUNCTION("""COMPUTED_VALUE"""),"")</f>
        <v/>
      </c>
      <c r="F439" s="8" t="str">
        <f>IFERROR(__xludf.DUMMYFUNCTION("""COMPUTED_VALUE"""),"")</f>
        <v/>
      </c>
      <c r="G439" s="8" t="str">
        <f>IFERROR(__xludf.DUMMYFUNCTION("""COMPUTED_VALUE"""),"")</f>
        <v/>
      </c>
      <c r="L439" s="8" t="s">
        <v>299</v>
      </c>
    </row>
    <row r="440">
      <c r="A440" s="10"/>
      <c r="B440" s="8" t="str">
        <f>IFERROR(__xludf.DUMMYFUNCTION("""COMPUTED_VALUE"""),"")</f>
        <v/>
      </c>
      <c r="C440" s="8" t="str">
        <f>IFERROR(__xludf.DUMMYFUNCTION("""COMPUTED_VALUE"""),"")</f>
        <v/>
      </c>
      <c r="D440" s="8" t="str">
        <f>IFERROR(__xludf.DUMMYFUNCTION("""COMPUTED_VALUE"""),"")</f>
        <v/>
      </c>
      <c r="E440" s="8" t="str">
        <f>IFERROR(__xludf.DUMMYFUNCTION("""COMPUTED_VALUE"""),"")</f>
        <v/>
      </c>
      <c r="F440" s="8" t="str">
        <f>IFERROR(__xludf.DUMMYFUNCTION("""COMPUTED_VALUE"""),"")</f>
        <v/>
      </c>
      <c r="G440" s="8" t="str">
        <f>IFERROR(__xludf.DUMMYFUNCTION("""COMPUTED_VALUE"""),"")</f>
        <v/>
      </c>
      <c r="L440" s="8" t="s">
        <v>299</v>
      </c>
    </row>
    <row r="441">
      <c r="A441" s="10"/>
      <c r="B441" s="8" t="str">
        <f>IFERROR(__xludf.DUMMYFUNCTION("""COMPUTED_VALUE"""),"")</f>
        <v/>
      </c>
      <c r="C441" s="8" t="str">
        <f>IFERROR(__xludf.DUMMYFUNCTION("""COMPUTED_VALUE"""),"")</f>
        <v/>
      </c>
      <c r="D441" s="8" t="str">
        <f>IFERROR(__xludf.DUMMYFUNCTION("""COMPUTED_VALUE"""),"")</f>
        <v/>
      </c>
      <c r="E441" s="8" t="str">
        <f>IFERROR(__xludf.DUMMYFUNCTION("""COMPUTED_VALUE"""),"")</f>
        <v/>
      </c>
      <c r="F441" s="8" t="str">
        <f>IFERROR(__xludf.DUMMYFUNCTION("""COMPUTED_VALUE"""),"")</f>
        <v/>
      </c>
      <c r="G441" s="8" t="str">
        <f>IFERROR(__xludf.DUMMYFUNCTION("""COMPUTED_VALUE"""),"")</f>
        <v/>
      </c>
      <c r="L441" s="8" t="s">
        <v>299</v>
      </c>
    </row>
    <row r="442">
      <c r="A442" s="10"/>
      <c r="B442" s="8" t="str">
        <f>IFERROR(__xludf.DUMMYFUNCTION("""COMPUTED_VALUE"""),"")</f>
        <v/>
      </c>
      <c r="C442" s="8" t="str">
        <f>IFERROR(__xludf.DUMMYFUNCTION("""COMPUTED_VALUE"""),"")</f>
        <v/>
      </c>
      <c r="D442" s="8" t="str">
        <f>IFERROR(__xludf.DUMMYFUNCTION("""COMPUTED_VALUE"""),"")</f>
        <v/>
      </c>
      <c r="E442" s="8" t="str">
        <f>IFERROR(__xludf.DUMMYFUNCTION("""COMPUTED_VALUE"""),"")</f>
        <v/>
      </c>
      <c r="F442" s="8" t="str">
        <f>IFERROR(__xludf.DUMMYFUNCTION("""COMPUTED_VALUE"""),"")</f>
        <v/>
      </c>
      <c r="G442" s="8" t="str">
        <f>IFERROR(__xludf.DUMMYFUNCTION("""COMPUTED_VALUE"""),"")</f>
        <v/>
      </c>
      <c r="L442" s="8" t="s">
        <v>299</v>
      </c>
    </row>
    <row r="443">
      <c r="A443" s="10"/>
      <c r="B443" s="8" t="str">
        <f>IFERROR(__xludf.DUMMYFUNCTION("""COMPUTED_VALUE"""),"")</f>
        <v/>
      </c>
      <c r="C443" s="8" t="str">
        <f>IFERROR(__xludf.DUMMYFUNCTION("""COMPUTED_VALUE"""),"")</f>
        <v/>
      </c>
      <c r="D443" s="8" t="str">
        <f>IFERROR(__xludf.DUMMYFUNCTION("""COMPUTED_VALUE"""),"")</f>
        <v/>
      </c>
      <c r="E443" s="8" t="str">
        <f>IFERROR(__xludf.DUMMYFUNCTION("""COMPUTED_VALUE"""),"")</f>
        <v/>
      </c>
      <c r="F443" s="8" t="str">
        <f>IFERROR(__xludf.DUMMYFUNCTION("""COMPUTED_VALUE"""),"")</f>
        <v/>
      </c>
      <c r="G443" s="8" t="str">
        <f>IFERROR(__xludf.DUMMYFUNCTION("""COMPUTED_VALUE"""),"")</f>
        <v/>
      </c>
      <c r="L443" s="8" t="s">
        <v>299</v>
      </c>
    </row>
    <row r="444">
      <c r="A444" s="10"/>
      <c r="B444" s="8" t="str">
        <f>IFERROR(__xludf.DUMMYFUNCTION("""COMPUTED_VALUE"""),"")</f>
        <v/>
      </c>
      <c r="C444" s="8" t="str">
        <f>IFERROR(__xludf.DUMMYFUNCTION("""COMPUTED_VALUE"""),"")</f>
        <v/>
      </c>
      <c r="D444" s="8" t="str">
        <f>IFERROR(__xludf.DUMMYFUNCTION("""COMPUTED_VALUE"""),"")</f>
        <v/>
      </c>
      <c r="E444" s="8" t="str">
        <f>IFERROR(__xludf.DUMMYFUNCTION("""COMPUTED_VALUE"""),"")</f>
        <v/>
      </c>
      <c r="F444" s="8" t="str">
        <f>IFERROR(__xludf.DUMMYFUNCTION("""COMPUTED_VALUE"""),"")</f>
        <v/>
      </c>
      <c r="G444" s="8" t="str">
        <f>IFERROR(__xludf.DUMMYFUNCTION("""COMPUTED_VALUE"""),"")</f>
        <v/>
      </c>
      <c r="L444" s="8" t="s">
        <v>299</v>
      </c>
    </row>
    <row r="445">
      <c r="A445" s="10"/>
      <c r="B445" s="8" t="str">
        <f>IFERROR(__xludf.DUMMYFUNCTION("""COMPUTED_VALUE"""),"")</f>
        <v/>
      </c>
      <c r="C445" s="8" t="str">
        <f>IFERROR(__xludf.DUMMYFUNCTION("""COMPUTED_VALUE"""),"")</f>
        <v/>
      </c>
      <c r="D445" s="8" t="str">
        <f>IFERROR(__xludf.DUMMYFUNCTION("""COMPUTED_VALUE"""),"")</f>
        <v/>
      </c>
      <c r="E445" s="8" t="str">
        <f>IFERROR(__xludf.DUMMYFUNCTION("""COMPUTED_VALUE"""),"")</f>
        <v/>
      </c>
      <c r="F445" s="8" t="str">
        <f>IFERROR(__xludf.DUMMYFUNCTION("""COMPUTED_VALUE"""),"")</f>
        <v/>
      </c>
      <c r="G445" s="8" t="str">
        <f>IFERROR(__xludf.DUMMYFUNCTION("""COMPUTED_VALUE"""),"")</f>
        <v/>
      </c>
      <c r="L445" s="8" t="s">
        <v>299</v>
      </c>
    </row>
    <row r="446">
      <c r="A446" s="10"/>
      <c r="B446" s="8" t="str">
        <f>IFERROR(__xludf.DUMMYFUNCTION("""COMPUTED_VALUE"""),"")</f>
        <v/>
      </c>
      <c r="C446" s="8" t="str">
        <f>IFERROR(__xludf.DUMMYFUNCTION("""COMPUTED_VALUE"""),"")</f>
        <v/>
      </c>
      <c r="D446" s="8" t="str">
        <f>IFERROR(__xludf.DUMMYFUNCTION("""COMPUTED_VALUE"""),"")</f>
        <v/>
      </c>
      <c r="E446" s="8" t="str">
        <f>IFERROR(__xludf.DUMMYFUNCTION("""COMPUTED_VALUE"""),"")</f>
        <v/>
      </c>
      <c r="F446" s="8" t="str">
        <f>IFERROR(__xludf.DUMMYFUNCTION("""COMPUTED_VALUE"""),"")</f>
        <v/>
      </c>
      <c r="G446" s="8" t="str">
        <f>IFERROR(__xludf.DUMMYFUNCTION("""COMPUTED_VALUE"""),"")</f>
        <v/>
      </c>
      <c r="L446" s="8" t="s">
        <v>299</v>
      </c>
    </row>
    <row r="447">
      <c r="A447" s="10"/>
      <c r="B447" s="8" t="str">
        <f>IFERROR(__xludf.DUMMYFUNCTION("""COMPUTED_VALUE"""),"")</f>
        <v/>
      </c>
      <c r="C447" s="8" t="str">
        <f>IFERROR(__xludf.DUMMYFUNCTION("""COMPUTED_VALUE"""),"")</f>
        <v/>
      </c>
      <c r="D447" s="8" t="str">
        <f>IFERROR(__xludf.DUMMYFUNCTION("""COMPUTED_VALUE"""),"")</f>
        <v/>
      </c>
      <c r="E447" s="8" t="str">
        <f>IFERROR(__xludf.DUMMYFUNCTION("""COMPUTED_VALUE"""),"")</f>
        <v/>
      </c>
      <c r="F447" s="8" t="str">
        <f>IFERROR(__xludf.DUMMYFUNCTION("""COMPUTED_VALUE"""),"")</f>
        <v/>
      </c>
      <c r="G447" s="8" t="str">
        <f>IFERROR(__xludf.DUMMYFUNCTION("""COMPUTED_VALUE"""),"")</f>
        <v/>
      </c>
      <c r="L447" s="8" t="s">
        <v>299</v>
      </c>
    </row>
    <row r="448">
      <c r="A448" s="10"/>
      <c r="B448" s="8" t="str">
        <f>IFERROR(__xludf.DUMMYFUNCTION("""COMPUTED_VALUE"""),"")</f>
        <v/>
      </c>
      <c r="C448" s="8" t="str">
        <f>IFERROR(__xludf.DUMMYFUNCTION("""COMPUTED_VALUE"""),"")</f>
        <v/>
      </c>
      <c r="D448" s="8" t="str">
        <f>IFERROR(__xludf.DUMMYFUNCTION("""COMPUTED_VALUE"""),"")</f>
        <v/>
      </c>
      <c r="E448" s="8" t="str">
        <f>IFERROR(__xludf.DUMMYFUNCTION("""COMPUTED_VALUE"""),"")</f>
        <v/>
      </c>
      <c r="F448" s="8" t="str">
        <f>IFERROR(__xludf.DUMMYFUNCTION("""COMPUTED_VALUE"""),"")</f>
        <v/>
      </c>
      <c r="G448" s="8" t="str">
        <f>IFERROR(__xludf.DUMMYFUNCTION("""COMPUTED_VALUE"""),"")</f>
        <v/>
      </c>
      <c r="L448" s="8" t="s">
        <v>299</v>
      </c>
    </row>
    <row r="449">
      <c r="A449" s="10"/>
      <c r="B449" s="8" t="str">
        <f>IFERROR(__xludf.DUMMYFUNCTION("""COMPUTED_VALUE"""),"")</f>
        <v/>
      </c>
      <c r="C449" s="8" t="str">
        <f>IFERROR(__xludf.DUMMYFUNCTION("""COMPUTED_VALUE"""),"")</f>
        <v/>
      </c>
      <c r="D449" s="8" t="str">
        <f>IFERROR(__xludf.DUMMYFUNCTION("""COMPUTED_VALUE"""),"")</f>
        <v/>
      </c>
      <c r="E449" s="8" t="str">
        <f>IFERROR(__xludf.DUMMYFUNCTION("""COMPUTED_VALUE"""),"")</f>
        <v/>
      </c>
      <c r="F449" s="8" t="str">
        <f>IFERROR(__xludf.DUMMYFUNCTION("""COMPUTED_VALUE"""),"")</f>
        <v/>
      </c>
      <c r="G449" s="8" t="str">
        <f>IFERROR(__xludf.DUMMYFUNCTION("""COMPUTED_VALUE"""),"")</f>
        <v/>
      </c>
      <c r="L449" s="8" t="s">
        <v>299</v>
      </c>
    </row>
    <row r="450">
      <c r="A450" s="10"/>
      <c r="B450" s="8" t="str">
        <f>IFERROR(__xludf.DUMMYFUNCTION("""COMPUTED_VALUE"""),"")</f>
        <v/>
      </c>
      <c r="C450" s="8" t="str">
        <f>IFERROR(__xludf.DUMMYFUNCTION("""COMPUTED_VALUE"""),"")</f>
        <v/>
      </c>
      <c r="D450" s="8" t="str">
        <f>IFERROR(__xludf.DUMMYFUNCTION("""COMPUTED_VALUE"""),"")</f>
        <v/>
      </c>
      <c r="E450" s="8" t="str">
        <f>IFERROR(__xludf.DUMMYFUNCTION("""COMPUTED_VALUE"""),"")</f>
        <v/>
      </c>
      <c r="F450" s="8" t="str">
        <f>IFERROR(__xludf.DUMMYFUNCTION("""COMPUTED_VALUE"""),"")</f>
        <v/>
      </c>
      <c r="G450" s="8" t="str">
        <f>IFERROR(__xludf.DUMMYFUNCTION("""COMPUTED_VALUE"""),"")</f>
        <v/>
      </c>
      <c r="L450" s="8" t="s">
        <v>299</v>
      </c>
    </row>
    <row r="451">
      <c r="A451" s="10"/>
      <c r="B451" s="8" t="str">
        <f>IFERROR(__xludf.DUMMYFUNCTION("""COMPUTED_VALUE"""),"")</f>
        <v/>
      </c>
      <c r="C451" s="8" t="str">
        <f>IFERROR(__xludf.DUMMYFUNCTION("""COMPUTED_VALUE"""),"")</f>
        <v/>
      </c>
      <c r="D451" s="8" t="str">
        <f>IFERROR(__xludf.DUMMYFUNCTION("""COMPUTED_VALUE"""),"")</f>
        <v/>
      </c>
      <c r="E451" s="8" t="str">
        <f>IFERROR(__xludf.DUMMYFUNCTION("""COMPUTED_VALUE"""),"")</f>
        <v/>
      </c>
      <c r="F451" s="8" t="str">
        <f>IFERROR(__xludf.DUMMYFUNCTION("""COMPUTED_VALUE"""),"")</f>
        <v/>
      </c>
      <c r="G451" s="8" t="str">
        <f>IFERROR(__xludf.DUMMYFUNCTION("""COMPUTED_VALUE"""),"")</f>
        <v/>
      </c>
      <c r="L451" s="8" t="s">
        <v>299</v>
      </c>
    </row>
    <row r="452">
      <c r="A452" s="10"/>
      <c r="B452" s="8" t="str">
        <f>IFERROR(__xludf.DUMMYFUNCTION("""COMPUTED_VALUE"""),"")</f>
        <v/>
      </c>
      <c r="C452" s="8" t="str">
        <f>IFERROR(__xludf.DUMMYFUNCTION("""COMPUTED_VALUE"""),"")</f>
        <v/>
      </c>
      <c r="D452" s="8" t="str">
        <f>IFERROR(__xludf.DUMMYFUNCTION("""COMPUTED_VALUE"""),"")</f>
        <v/>
      </c>
      <c r="E452" s="8" t="str">
        <f>IFERROR(__xludf.DUMMYFUNCTION("""COMPUTED_VALUE"""),"")</f>
        <v/>
      </c>
      <c r="F452" s="8" t="str">
        <f>IFERROR(__xludf.DUMMYFUNCTION("""COMPUTED_VALUE"""),"")</f>
        <v/>
      </c>
      <c r="G452" s="8" t="str">
        <f>IFERROR(__xludf.DUMMYFUNCTION("""COMPUTED_VALUE"""),"")</f>
        <v/>
      </c>
      <c r="L452" s="8" t="s">
        <v>299</v>
      </c>
    </row>
    <row r="453">
      <c r="A453" s="10"/>
      <c r="B453" s="8" t="str">
        <f>IFERROR(__xludf.DUMMYFUNCTION("""COMPUTED_VALUE"""),"")</f>
        <v/>
      </c>
      <c r="C453" s="8" t="str">
        <f>IFERROR(__xludf.DUMMYFUNCTION("""COMPUTED_VALUE"""),"")</f>
        <v/>
      </c>
      <c r="D453" s="8" t="str">
        <f>IFERROR(__xludf.DUMMYFUNCTION("""COMPUTED_VALUE"""),"")</f>
        <v/>
      </c>
      <c r="E453" s="8" t="str">
        <f>IFERROR(__xludf.DUMMYFUNCTION("""COMPUTED_VALUE"""),"")</f>
        <v/>
      </c>
      <c r="F453" s="8" t="str">
        <f>IFERROR(__xludf.DUMMYFUNCTION("""COMPUTED_VALUE"""),"")</f>
        <v/>
      </c>
      <c r="G453" s="8" t="str">
        <f>IFERROR(__xludf.DUMMYFUNCTION("""COMPUTED_VALUE"""),"")</f>
        <v/>
      </c>
      <c r="L453" s="8" t="s">
        <v>299</v>
      </c>
    </row>
    <row r="454">
      <c r="A454" s="10"/>
      <c r="B454" s="8" t="str">
        <f>IFERROR(__xludf.DUMMYFUNCTION("""COMPUTED_VALUE"""),"")</f>
        <v/>
      </c>
      <c r="C454" s="8" t="str">
        <f>IFERROR(__xludf.DUMMYFUNCTION("""COMPUTED_VALUE"""),"")</f>
        <v/>
      </c>
      <c r="D454" s="8" t="str">
        <f>IFERROR(__xludf.DUMMYFUNCTION("""COMPUTED_VALUE"""),"")</f>
        <v/>
      </c>
      <c r="E454" s="8" t="str">
        <f>IFERROR(__xludf.DUMMYFUNCTION("""COMPUTED_VALUE"""),"")</f>
        <v/>
      </c>
      <c r="F454" s="8" t="str">
        <f>IFERROR(__xludf.DUMMYFUNCTION("""COMPUTED_VALUE"""),"")</f>
        <v/>
      </c>
      <c r="G454" s="8" t="str">
        <f>IFERROR(__xludf.DUMMYFUNCTION("""COMPUTED_VALUE"""),"")</f>
        <v/>
      </c>
      <c r="L454" s="8" t="s">
        <v>299</v>
      </c>
    </row>
    <row r="455">
      <c r="A455" s="10"/>
      <c r="B455" s="8" t="str">
        <f>IFERROR(__xludf.DUMMYFUNCTION("""COMPUTED_VALUE"""),"")</f>
        <v/>
      </c>
      <c r="C455" s="8" t="str">
        <f>IFERROR(__xludf.DUMMYFUNCTION("""COMPUTED_VALUE"""),"")</f>
        <v/>
      </c>
      <c r="D455" s="8" t="str">
        <f>IFERROR(__xludf.DUMMYFUNCTION("""COMPUTED_VALUE"""),"")</f>
        <v/>
      </c>
      <c r="E455" s="8" t="str">
        <f>IFERROR(__xludf.DUMMYFUNCTION("""COMPUTED_VALUE"""),"")</f>
        <v/>
      </c>
      <c r="F455" s="8" t="str">
        <f>IFERROR(__xludf.DUMMYFUNCTION("""COMPUTED_VALUE"""),"")</f>
        <v/>
      </c>
      <c r="G455" s="8" t="str">
        <f>IFERROR(__xludf.DUMMYFUNCTION("""COMPUTED_VALUE"""),"")</f>
        <v/>
      </c>
      <c r="L455" s="8" t="s">
        <v>299</v>
      </c>
    </row>
    <row r="456">
      <c r="A456" s="10"/>
      <c r="B456" s="8" t="str">
        <f>IFERROR(__xludf.DUMMYFUNCTION("""COMPUTED_VALUE"""),"")</f>
        <v/>
      </c>
      <c r="C456" s="8" t="str">
        <f>IFERROR(__xludf.DUMMYFUNCTION("""COMPUTED_VALUE"""),"")</f>
        <v/>
      </c>
      <c r="D456" s="8" t="str">
        <f>IFERROR(__xludf.DUMMYFUNCTION("""COMPUTED_VALUE"""),"")</f>
        <v/>
      </c>
      <c r="E456" s="8" t="str">
        <f>IFERROR(__xludf.DUMMYFUNCTION("""COMPUTED_VALUE"""),"")</f>
        <v/>
      </c>
      <c r="F456" s="8" t="str">
        <f>IFERROR(__xludf.DUMMYFUNCTION("""COMPUTED_VALUE"""),"")</f>
        <v/>
      </c>
      <c r="G456" s="8" t="str">
        <f>IFERROR(__xludf.DUMMYFUNCTION("""COMPUTED_VALUE"""),"")</f>
        <v/>
      </c>
      <c r="L456" s="8" t="s">
        <v>299</v>
      </c>
    </row>
    <row r="457">
      <c r="A457" s="10"/>
      <c r="B457" s="8" t="str">
        <f>IFERROR(__xludf.DUMMYFUNCTION("""COMPUTED_VALUE"""),"")</f>
        <v/>
      </c>
      <c r="C457" s="8" t="str">
        <f>IFERROR(__xludf.DUMMYFUNCTION("""COMPUTED_VALUE"""),"")</f>
        <v/>
      </c>
      <c r="D457" s="8" t="str">
        <f>IFERROR(__xludf.DUMMYFUNCTION("""COMPUTED_VALUE"""),"")</f>
        <v/>
      </c>
      <c r="E457" s="8" t="str">
        <f>IFERROR(__xludf.DUMMYFUNCTION("""COMPUTED_VALUE"""),"")</f>
        <v/>
      </c>
      <c r="F457" s="8" t="str">
        <f>IFERROR(__xludf.DUMMYFUNCTION("""COMPUTED_VALUE"""),"")</f>
        <v/>
      </c>
      <c r="G457" s="8" t="str">
        <f>IFERROR(__xludf.DUMMYFUNCTION("""COMPUTED_VALUE"""),"")</f>
        <v/>
      </c>
      <c r="L457" s="8" t="s">
        <v>299</v>
      </c>
    </row>
    <row r="458">
      <c r="A458" s="10"/>
      <c r="B458" s="8" t="str">
        <f>IFERROR(__xludf.DUMMYFUNCTION("""COMPUTED_VALUE"""),"")</f>
        <v/>
      </c>
      <c r="C458" s="8" t="str">
        <f>IFERROR(__xludf.DUMMYFUNCTION("""COMPUTED_VALUE"""),"")</f>
        <v/>
      </c>
      <c r="D458" s="8" t="str">
        <f>IFERROR(__xludf.DUMMYFUNCTION("""COMPUTED_VALUE"""),"")</f>
        <v/>
      </c>
      <c r="E458" s="8" t="str">
        <f>IFERROR(__xludf.DUMMYFUNCTION("""COMPUTED_VALUE"""),"")</f>
        <v/>
      </c>
      <c r="F458" s="8" t="str">
        <f>IFERROR(__xludf.DUMMYFUNCTION("""COMPUTED_VALUE"""),"")</f>
        <v/>
      </c>
      <c r="G458" s="8" t="str">
        <f>IFERROR(__xludf.DUMMYFUNCTION("""COMPUTED_VALUE"""),"")</f>
        <v/>
      </c>
      <c r="L458" s="8" t="s">
        <v>299</v>
      </c>
    </row>
    <row r="459">
      <c r="A459" s="10"/>
      <c r="B459" s="8" t="str">
        <f>IFERROR(__xludf.DUMMYFUNCTION("""COMPUTED_VALUE"""),"")</f>
        <v/>
      </c>
      <c r="C459" s="8" t="str">
        <f>IFERROR(__xludf.DUMMYFUNCTION("""COMPUTED_VALUE"""),"")</f>
        <v/>
      </c>
      <c r="D459" s="8" t="str">
        <f>IFERROR(__xludf.DUMMYFUNCTION("""COMPUTED_VALUE"""),"")</f>
        <v/>
      </c>
      <c r="E459" s="8" t="str">
        <f>IFERROR(__xludf.DUMMYFUNCTION("""COMPUTED_VALUE"""),"")</f>
        <v/>
      </c>
      <c r="F459" s="8" t="str">
        <f>IFERROR(__xludf.DUMMYFUNCTION("""COMPUTED_VALUE"""),"")</f>
        <v/>
      </c>
      <c r="G459" s="8" t="str">
        <f>IFERROR(__xludf.DUMMYFUNCTION("""COMPUTED_VALUE"""),"")</f>
        <v/>
      </c>
      <c r="L459" s="8" t="s">
        <v>299</v>
      </c>
    </row>
    <row r="460">
      <c r="A460" s="10"/>
      <c r="B460" s="8" t="str">
        <f>IFERROR(__xludf.DUMMYFUNCTION("""COMPUTED_VALUE"""),"")</f>
        <v/>
      </c>
      <c r="C460" s="8" t="str">
        <f>IFERROR(__xludf.DUMMYFUNCTION("""COMPUTED_VALUE"""),"")</f>
        <v/>
      </c>
      <c r="D460" s="8" t="str">
        <f>IFERROR(__xludf.DUMMYFUNCTION("""COMPUTED_VALUE"""),"")</f>
        <v/>
      </c>
      <c r="E460" s="8" t="str">
        <f>IFERROR(__xludf.DUMMYFUNCTION("""COMPUTED_VALUE"""),"")</f>
        <v/>
      </c>
      <c r="F460" s="8" t="str">
        <f>IFERROR(__xludf.DUMMYFUNCTION("""COMPUTED_VALUE"""),"")</f>
        <v/>
      </c>
      <c r="G460" s="8" t="str">
        <f>IFERROR(__xludf.DUMMYFUNCTION("""COMPUTED_VALUE"""),"")</f>
        <v/>
      </c>
      <c r="L460" s="8" t="s">
        <v>299</v>
      </c>
    </row>
    <row r="461">
      <c r="A461" s="10"/>
      <c r="B461" s="8" t="str">
        <f>IFERROR(__xludf.DUMMYFUNCTION("""COMPUTED_VALUE"""),"")</f>
        <v/>
      </c>
      <c r="C461" s="8" t="str">
        <f>IFERROR(__xludf.DUMMYFUNCTION("""COMPUTED_VALUE"""),"")</f>
        <v/>
      </c>
      <c r="D461" s="8" t="str">
        <f>IFERROR(__xludf.DUMMYFUNCTION("""COMPUTED_VALUE"""),"")</f>
        <v/>
      </c>
      <c r="E461" s="8" t="str">
        <f>IFERROR(__xludf.DUMMYFUNCTION("""COMPUTED_VALUE"""),"")</f>
        <v/>
      </c>
      <c r="F461" s="8" t="str">
        <f>IFERROR(__xludf.DUMMYFUNCTION("""COMPUTED_VALUE"""),"")</f>
        <v/>
      </c>
      <c r="G461" s="8" t="str">
        <f>IFERROR(__xludf.DUMMYFUNCTION("""COMPUTED_VALUE"""),"")</f>
        <v/>
      </c>
      <c r="L461" s="8" t="s">
        <v>299</v>
      </c>
    </row>
    <row r="462">
      <c r="A462" s="10"/>
      <c r="B462" s="8" t="str">
        <f>IFERROR(__xludf.DUMMYFUNCTION("""COMPUTED_VALUE"""),"")</f>
        <v/>
      </c>
      <c r="C462" s="8" t="str">
        <f>IFERROR(__xludf.DUMMYFUNCTION("""COMPUTED_VALUE"""),"")</f>
        <v/>
      </c>
      <c r="D462" s="8" t="str">
        <f>IFERROR(__xludf.DUMMYFUNCTION("""COMPUTED_VALUE"""),"")</f>
        <v/>
      </c>
      <c r="E462" s="8" t="str">
        <f>IFERROR(__xludf.DUMMYFUNCTION("""COMPUTED_VALUE"""),"")</f>
        <v/>
      </c>
      <c r="F462" s="8" t="str">
        <f>IFERROR(__xludf.DUMMYFUNCTION("""COMPUTED_VALUE"""),"")</f>
        <v/>
      </c>
      <c r="G462" s="8" t="str">
        <f>IFERROR(__xludf.DUMMYFUNCTION("""COMPUTED_VALUE"""),"")</f>
        <v/>
      </c>
      <c r="L462" s="8" t="s">
        <v>299</v>
      </c>
    </row>
    <row r="463">
      <c r="A463" s="10"/>
      <c r="B463" s="8" t="str">
        <f>IFERROR(__xludf.DUMMYFUNCTION("""COMPUTED_VALUE"""),"")</f>
        <v/>
      </c>
      <c r="C463" s="8" t="str">
        <f>IFERROR(__xludf.DUMMYFUNCTION("""COMPUTED_VALUE"""),"")</f>
        <v/>
      </c>
      <c r="D463" s="8" t="str">
        <f>IFERROR(__xludf.DUMMYFUNCTION("""COMPUTED_VALUE"""),"")</f>
        <v/>
      </c>
      <c r="E463" s="8" t="str">
        <f>IFERROR(__xludf.DUMMYFUNCTION("""COMPUTED_VALUE"""),"")</f>
        <v/>
      </c>
      <c r="F463" s="8" t="str">
        <f>IFERROR(__xludf.DUMMYFUNCTION("""COMPUTED_VALUE"""),"")</f>
        <v/>
      </c>
      <c r="G463" s="8" t="str">
        <f>IFERROR(__xludf.DUMMYFUNCTION("""COMPUTED_VALUE"""),"")</f>
        <v/>
      </c>
      <c r="L463" s="8" t="s">
        <v>299</v>
      </c>
    </row>
    <row r="464">
      <c r="A464" s="10"/>
      <c r="B464" s="8" t="str">
        <f>IFERROR(__xludf.DUMMYFUNCTION("""COMPUTED_VALUE"""),"")</f>
        <v/>
      </c>
      <c r="C464" s="8" t="str">
        <f>IFERROR(__xludf.DUMMYFUNCTION("""COMPUTED_VALUE"""),"")</f>
        <v/>
      </c>
      <c r="D464" s="8" t="str">
        <f>IFERROR(__xludf.DUMMYFUNCTION("""COMPUTED_VALUE"""),"")</f>
        <v/>
      </c>
      <c r="E464" s="8" t="str">
        <f>IFERROR(__xludf.DUMMYFUNCTION("""COMPUTED_VALUE"""),"")</f>
        <v/>
      </c>
      <c r="F464" s="8" t="str">
        <f>IFERROR(__xludf.DUMMYFUNCTION("""COMPUTED_VALUE"""),"")</f>
        <v/>
      </c>
      <c r="G464" s="8" t="str">
        <f>IFERROR(__xludf.DUMMYFUNCTION("""COMPUTED_VALUE"""),"")</f>
        <v/>
      </c>
      <c r="L464" s="8" t="s">
        <v>299</v>
      </c>
    </row>
    <row r="465">
      <c r="A465" s="10"/>
      <c r="B465" s="8" t="str">
        <f>IFERROR(__xludf.DUMMYFUNCTION("""COMPUTED_VALUE"""),"")</f>
        <v/>
      </c>
      <c r="C465" s="8" t="str">
        <f>IFERROR(__xludf.DUMMYFUNCTION("""COMPUTED_VALUE"""),"")</f>
        <v/>
      </c>
      <c r="D465" s="8" t="str">
        <f>IFERROR(__xludf.DUMMYFUNCTION("""COMPUTED_VALUE"""),"")</f>
        <v/>
      </c>
      <c r="E465" s="8" t="str">
        <f>IFERROR(__xludf.DUMMYFUNCTION("""COMPUTED_VALUE"""),"")</f>
        <v/>
      </c>
      <c r="F465" s="8" t="str">
        <f>IFERROR(__xludf.DUMMYFUNCTION("""COMPUTED_VALUE"""),"")</f>
        <v/>
      </c>
      <c r="G465" s="8" t="str">
        <f>IFERROR(__xludf.DUMMYFUNCTION("""COMPUTED_VALUE"""),"")</f>
        <v/>
      </c>
      <c r="L465" s="8" t="s">
        <v>299</v>
      </c>
    </row>
    <row r="466">
      <c r="A466" s="10"/>
      <c r="B466" s="8" t="str">
        <f>IFERROR(__xludf.DUMMYFUNCTION("""COMPUTED_VALUE"""),"")</f>
        <v/>
      </c>
      <c r="C466" s="8" t="str">
        <f>IFERROR(__xludf.DUMMYFUNCTION("""COMPUTED_VALUE"""),"")</f>
        <v/>
      </c>
      <c r="D466" s="8" t="str">
        <f>IFERROR(__xludf.DUMMYFUNCTION("""COMPUTED_VALUE"""),"")</f>
        <v/>
      </c>
      <c r="E466" s="8" t="str">
        <f>IFERROR(__xludf.DUMMYFUNCTION("""COMPUTED_VALUE"""),"")</f>
        <v/>
      </c>
      <c r="F466" s="8" t="str">
        <f>IFERROR(__xludf.DUMMYFUNCTION("""COMPUTED_VALUE"""),"")</f>
        <v/>
      </c>
      <c r="G466" s="8" t="str">
        <f>IFERROR(__xludf.DUMMYFUNCTION("""COMPUTED_VALUE"""),"")</f>
        <v/>
      </c>
      <c r="L466" s="8" t="s">
        <v>299</v>
      </c>
    </row>
    <row r="467">
      <c r="A467" s="10"/>
      <c r="B467" s="8" t="str">
        <f>IFERROR(__xludf.DUMMYFUNCTION("""COMPUTED_VALUE"""),"")</f>
        <v/>
      </c>
      <c r="C467" s="8" t="str">
        <f>IFERROR(__xludf.DUMMYFUNCTION("""COMPUTED_VALUE"""),"")</f>
        <v/>
      </c>
      <c r="D467" s="8" t="str">
        <f>IFERROR(__xludf.DUMMYFUNCTION("""COMPUTED_VALUE"""),"")</f>
        <v/>
      </c>
      <c r="E467" s="8" t="str">
        <f>IFERROR(__xludf.DUMMYFUNCTION("""COMPUTED_VALUE"""),"")</f>
        <v/>
      </c>
      <c r="F467" s="8" t="str">
        <f>IFERROR(__xludf.DUMMYFUNCTION("""COMPUTED_VALUE"""),"")</f>
        <v/>
      </c>
      <c r="G467" s="8" t="str">
        <f>IFERROR(__xludf.DUMMYFUNCTION("""COMPUTED_VALUE"""),"")</f>
        <v/>
      </c>
      <c r="L467" s="8" t="s">
        <v>299</v>
      </c>
    </row>
    <row r="468">
      <c r="A468" s="10"/>
      <c r="B468" s="8" t="str">
        <f>IFERROR(__xludf.DUMMYFUNCTION("""COMPUTED_VALUE"""),"")</f>
        <v/>
      </c>
      <c r="C468" s="8" t="str">
        <f>IFERROR(__xludf.DUMMYFUNCTION("""COMPUTED_VALUE"""),"")</f>
        <v/>
      </c>
      <c r="D468" s="8" t="str">
        <f>IFERROR(__xludf.DUMMYFUNCTION("""COMPUTED_VALUE"""),"")</f>
        <v/>
      </c>
      <c r="E468" s="8" t="str">
        <f>IFERROR(__xludf.DUMMYFUNCTION("""COMPUTED_VALUE"""),"")</f>
        <v/>
      </c>
      <c r="F468" s="8" t="str">
        <f>IFERROR(__xludf.DUMMYFUNCTION("""COMPUTED_VALUE"""),"")</f>
        <v/>
      </c>
      <c r="G468" s="8" t="str">
        <f>IFERROR(__xludf.DUMMYFUNCTION("""COMPUTED_VALUE"""),"")</f>
        <v/>
      </c>
      <c r="L468" s="8" t="s">
        <v>299</v>
      </c>
    </row>
    <row r="469">
      <c r="A469" s="10"/>
      <c r="B469" s="8" t="str">
        <f>IFERROR(__xludf.DUMMYFUNCTION("""COMPUTED_VALUE"""),"")</f>
        <v/>
      </c>
      <c r="C469" s="8" t="str">
        <f>IFERROR(__xludf.DUMMYFUNCTION("""COMPUTED_VALUE"""),"")</f>
        <v/>
      </c>
      <c r="D469" s="8" t="str">
        <f>IFERROR(__xludf.DUMMYFUNCTION("""COMPUTED_VALUE"""),"")</f>
        <v/>
      </c>
      <c r="E469" s="8" t="str">
        <f>IFERROR(__xludf.DUMMYFUNCTION("""COMPUTED_VALUE"""),"")</f>
        <v/>
      </c>
      <c r="F469" s="8" t="str">
        <f>IFERROR(__xludf.DUMMYFUNCTION("""COMPUTED_VALUE"""),"")</f>
        <v/>
      </c>
      <c r="G469" s="8" t="str">
        <f>IFERROR(__xludf.DUMMYFUNCTION("""COMPUTED_VALUE"""),"")</f>
        <v/>
      </c>
      <c r="L469" s="8" t="s">
        <v>299</v>
      </c>
    </row>
    <row r="470">
      <c r="A470" s="10"/>
      <c r="B470" s="8" t="str">
        <f>IFERROR(__xludf.DUMMYFUNCTION("""COMPUTED_VALUE"""),"")</f>
        <v/>
      </c>
      <c r="C470" s="8" t="str">
        <f>IFERROR(__xludf.DUMMYFUNCTION("""COMPUTED_VALUE"""),"")</f>
        <v/>
      </c>
      <c r="D470" s="8" t="str">
        <f>IFERROR(__xludf.DUMMYFUNCTION("""COMPUTED_VALUE"""),"")</f>
        <v/>
      </c>
      <c r="E470" s="8" t="str">
        <f>IFERROR(__xludf.DUMMYFUNCTION("""COMPUTED_VALUE"""),"")</f>
        <v/>
      </c>
      <c r="F470" s="8" t="str">
        <f>IFERROR(__xludf.DUMMYFUNCTION("""COMPUTED_VALUE"""),"")</f>
        <v/>
      </c>
      <c r="G470" s="8" t="str">
        <f>IFERROR(__xludf.DUMMYFUNCTION("""COMPUTED_VALUE"""),"")</f>
        <v/>
      </c>
      <c r="L470" s="8" t="s">
        <v>299</v>
      </c>
    </row>
    <row r="471">
      <c r="A471" s="10"/>
      <c r="B471" s="8" t="str">
        <f>IFERROR(__xludf.DUMMYFUNCTION("""COMPUTED_VALUE"""),"")</f>
        <v/>
      </c>
      <c r="C471" s="8" t="str">
        <f>IFERROR(__xludf.DUMMYFUNCTION("""COMPUTED_VALUE"""),"")</f>
        <v/>
      </c>
      <c r="D471" s="8" t="str">
        <f>IFERROR(__xludf.DUMMYFUNCTION("""COMPUTED_VALUE"""),"")</f>
        <v/>
      </c>
      <c r="E471" s="8" t="str">
        <f>IFERROR(__xludf.DUMMYFUNCTION("""COMPUTED_VALUE"""),"")</f>
        <v/>
      </c>
      <c r="F471" s="8" t="str">
        <f>IFERROR(__xludf.DUMMYFUNCTION("""COMPUTED_VALUE"""),"")</f>
        <v/>
      </c>
      <c r="G471" s="8" t="str">
        <f>IFERROR(__xludf.DUMMYFUNCTION("""COMPUTED_VALUE"""),"")</f>
        <v/>
      </c>
      <c r="L471" s="8" t="s">
        <v>299</v>
      </c>
    </row>
    <row r="472">
      <c r="A472" s="10"/>
      <c r="B472" s="8" t="str">
        <f>IFERROR(__xludf.DUMMYFUNCTION("""COMPUTED_VALUE"""),"")</f>
        <v/>
      </c>
      <c r="C472" s="8" t="str">
        <f>IFERROR(__xludf.DUMMYFUNCTION("""COMPUTED_VALUE"""),"")</f>
        <v/>
      </c>
      <c r="D472" s="8" t="str">
        <f>IFERROR(__xludf.DUMMYFUNCTION("""COMPUTED_VALUE"""),"")</f>
        <v/>
      </c>
      <c r="E472" s="8" t="str">
        <f>IFERROR(__xludf.DUMMYFUNCTION("""COMPUTED_VALUE"""),"")</f>
        <v/>
      </c>
      <c r="F472" s="8" t="str">
        <f>IFERROR(__xludf.DUMMYFUNCTION("""COMPUTED_VALUE"""),"")</f>
        <v/>
      </c>
      <c r="G472" s="8" t="str">
        <f>IFERROR(__xludf.DUMMYFUNCTION("""COMPUTED_VALUE"""),"")</f>
        <v/>
      </c>
      <c r="L472" s="8" t="s">
        <v>299</v>
      </c>
    </row>
    <row r="473">
      <c r="A473" s="10"/>
      <c r="B473" s="8" t="str">
        <f>IFERROR(__xludf.DUMMYFUNCTION("""COMPUTED_VALUE"""),"")</f>
        <v/>
      </c>
      <c r="C473" s="8" t="str">
        <f>IFERROR(__xludf.DUMMYFUNCTION("""COMPUTED_VALUE"""),"")</f>
        <v/>
      </c>
      <c r="D473" s="8" t="str">
        <f>IFERROR(__xludf.DUMMYFUNCTION("""COMPUTED_VALUE"""),"")</f>
        <v/>
      </c>
      <c r="E473" s="8" t="str">
        <f>IFERROR(__xludf.DUMMYFUNCTION("""COMPUTED_VALUE"""),"")</f>
        <v/>
      </c>
      <c r="F473" s="8" t="str">
        <f>IFERROR(__xludf.DUMMYFUNCTION("""COMPUTED_VALUE"""),"")</f>
        <v/>
      </c>
      <c r="G473" s="8" t="str">
        <f>IFERROR(__xludf.DUMMYFUNCTION("""COMPUTED_VALUE"""),"")</f>
        <v/>
      </c>
      <c r="L473" s="8" t="s">
        <v>299</v>
      </c>
    </row>
    <row r="474">
      <c r="A474" s="10"/>
      <c r="B474" s="8" t="str">
        <f>IFERROR(__xludf.DUMMYFUNCTION("""COMPUTED_VALUE"""),"")</f>
        <v/>
      </c>
      <c r="C474" s="8" t="str">
        <f>IFERROR(__xludf.DUMMYFUNCTION("""COMPUTED_VALUE"""),"")</f>
        <v/>
      </c>
      <c r="D474" s="8" t="str">
        <f>IFERROR(__xludf.DUMMYFUNCTION("""COMPUTED_VALUE"""),"")</f>
        <v/>
      </c>
      <c r="E474" s="8" t="str">
        <f>IFERROR(__xludf.DUMMYFUNCTION("""COMPUTED_VALUE"""),"")</f>
        <v/>
      </c>
      <c r="F474" s="8" t="str">
        <f>IFERROR(__xludf.DUMMYFUNCTION("""COMPUTED_VALUE"""),"")</f>
        <v/>
      </c>
      <c r="G474" s="8" t="str">
        <f>IFERROR(__xludf.DUMMYFUNCTION("""COMPUTED_VALUE"""),"")</f>
        <v/>
      </c>
      <c r="L474" s="8" t="s">
        <v>299</v>
      </c>
    </row>
    <row r="475">
      <c r="A475" s="10"/>
      <c r="B475" s="8" t="str">
        <f>IFERROR(__xludf.DUMMYFUNCTION("""COMPUTED_VALUE"""),"")</f>
        <v/>
      </c>
      <c r="C475" s="8" t="str">
        <f>IFERROR(__xludf.DUMMYFUNCTION("""COMPUTED_VALUE"""),"")</f>
        <v/>
      </c>
      <c r="D475" s="8" t="str">
        <f>IFERROR(__xludf.DUMMYFUNCTION("""COMPUTED_VALUE"""),"")</f>
        <v/>
      </c>
      <c r="E475" s="8" t="str">
        <f>IFERROR(__xludf.DUMMYFUNCTION("""COMPUTED_VALUE"""),"")</f>
        <v/>
      </c>
      <c r="F475" s="8" t="str">
        <f>IFERROR(__xludf.DUMMYFUNCTION("""COMPUTED_VALUE"""),"")</f>
        <v/>
      </c>
      <c r="G475" s="8" t="str">
        <f>IFERROR(__xludf.DUMMYFUNCTION("""COMPUTED_VALUE"""),"")</f>
        <v/>
      </c>
      <c r="L475" s="8" t="s">
        <v>299</v>
      </c>
    </row>
    <row r="476">
      <c r="A476" s="10"/>
      <c r="B476" s="8" t="str">
        <f>IFERROR(__xludf.DUMMYFUNCTION("""COMPUTED_VALUE"""),"")</f>
        <v/>
      </c>
      <c r="C476" s="8" t="str">
        <f>IFERROR(__xludf.DUMMYFUNCTION("""COMPUTED_VALUE"""),"")</f>
        <v/>
      </c>
      <c r="D476" s="8" t="str">
        <f>IFERROR(__xludf.DUMMYFUNCTION("""COMPUTED_VALUE"""),"")</f>
        <v/>
      </c>
      <c r="E476" s="8" t="str">
        <f>IFERROR(__xludf.DUMMYFUNCTION("""COMPUTED_VALUE"""),"")</f>
        <v/>
      </c>
      <c r="F476" s="8" t="str">
        <f>IFERROR(__xludf.DUMMYFUNCTION("""COMPUTED_VALUE"""),"")</f>
        <v/>
      </c>
      <c r="G476" s="8" t="str">
        <f>IFERROR(__xludf.DUMMYFUNCTION("""COMPUTED_VALUE"""),"")</f>
        <v/>
      </c>
      <c r="L476" s="8" t="s">
        <v>299</v>
      </c>
    </row>
    <row r="477">
      <c r="A477" s="10"/>
      <c r="B477" s="8" t="str">
        <f>IFERROR(__xludf.DUMMYFUNCTION("""COMPUTED_VALUE"""),"")</f>
        <v/>
      </c>
      <c r="C477" s="8" t="str">
        <f>IFERROR(__xludf.DUMMYFUNCTION("""COMPUTED_VALUE"""),"")</f>
        <v/>
      </c>
      <c r="D477" s="8" t="str">
        <f>IFERROR(__xludf.DUMMYFUNCTION("""COMPUTED_VALUE"""),"")</f>
        <v/>
      </c>
      <c r="E477" s="8" t="str">
        <f>IFERROR(__xludf.DUMMYFUNCTION("""COMPUTED_VALUE"""),"")</f>
        <v/>
      </c>
      <c r="F477" s="8" t="str">
        <f>IFERROR(__xludf.DUMMYFUNCTION("""COMPUTED_VALUE"""),"")</f>
        <v/>
      </c>
      <c r="G477" s="8" t="str">
        <f>IFERROR(__xludf.DUMMYFUNCTION("""COMPUTED_VALUE"""),"")</f>
        <v/>
      </c>
      <c r="L477" s="8" t="s">
        <v>299</v>
      </c>
    </row>
    <row r="478">
      <c r="A478" s="10"/>
      <c r="B478" s="8" t="str">
        <f>IFERROR(__xludf.DUMMYFUNCTION("""COMPUTED_VALUE"""),"")</f>
        <v/>
      </c>
      <c r="C478" s="8" t="str">
        <f>IFERROR(__xludf.DUMMYFUNCTION("""COMPUTED_VALUE"""),"")</f>
        <v/>
      </c>
      <c r="D478" s="8" t="str">
        <f>IFERROR(__xludf.DUMMYFUNCTION("""COMPUTED_VALUE"""),"")</f>
        <v/>
      </c>
      <c r="E478" s="8" t="str">
        <f>IFERROR(__xludf.DUMMYFUNCTION("""COMPUTED_VALUE"""),"")</f>
        <v/>
      </c>
      <c r="F478" s="8" t="str">
        <f>IFERROR(__xludf.DUMMYFUNCTION("""COMPUTED_VALUE"""),"")</f>
        <v/>
      </c>
      <c r="G478" s="8" t="str">
        <f>IFERROR(__xludf.DUMMYFUNCTION("""COMPUTED_VALUE"""),"")</f>
        <v/>
      </c>
      <c r="L478" s="8" t="s">
        <v>299</v>
      </c>
    </row>
    <row r="479">
      <c r="A479" s="10"/>
      <c r="B479" s="8" t="str">
        <f>IFERROR(__xludf.DUMMYFUNCTION("""COMPUTED_VALUE"""),"")</f>
        <v/>
      </c>
      <c r="C479" s="8" t="str">
        <f>IFERROR(__xludf.DUMMYFUNCTION("""COMPUTED_VALUE"""),"")</f>
        <v/>
      </c>
      <c r="D479" s="8" t="str">
        <f>IFERROR(__xludf.DUMMYFUNCTION("""COMPUTED_VALUE"""),"")</f>
        <v/>
      </c>
      <c r="E479" s="8" t="str">
        <f>IFERROR(__xludf.DUMMYFUNCTION("""COMPUTED_VALUE"""),"")</f>
        <v/>
      </c>
      <c r="F479" s="8" t="str">
        <f>IFERROR(__xludf.DUMMYFUNCTION("""COMPUTED_VALUE"""),"")</f>
        <v/>
      </c>
      <c r="G479" s="8" t="str">
        <f>IFERROR(__xludf.DUMMYFUNCTION("""COMPUTED_VALUE"""),"")</f>
        <v/>
      </c>
      <c r="L479" s="8" t="s">
        <v>299</v>
      </c>
    </row>
    <row r="480">
      <c r="A480" s="10"/>
      <c r="B480" s="8" t="str">
        <f>IFERROR(__xludf.DUMMYFUNCTION("""COMPUTED_VALUE"""),"")</f>
        <v/>
      </c>
      <c r="C480" s="8" t="str">
        <f>IFERROR(__xludf.DUMMYFUNCTION("""COMPUTED_VALUE"""),"")</f>
        <v/>
      </c>
      <c r="D480" s="8" t="str">
        <f>IFERROR(__xludf.DUMMYFUNCTION("""COMPUTED_VALUE"""),"")</f>
        <v/>
      </c>
      <c r="E480" s="8" t="str">
        <f>IFERROR(__xludf.DUMMYFUNCTION("""COMPUTED_VALUE"""),"")</f>
        <v/>
      </c>
      <c r="F480" s="8" t="str">
        <f>IFERROR(__xludf.DUMMYFUNCTION("""COMPUTED_VALUE"""),"")</f>
        <v/>
      </c>
      <c r="G480" s="8" t="str">
        <f>IFERROR(__xludf.DUMMYFUNCTION("""COMPUTED_VALUE"""),"")</f>
        <v/>
      </c>
      <c r="L480" s="8" t="s">
        <v>299</v>
      </c>
    </row>
    <row r="481">
      <c r="A481" s="10"/>
      <c r="B481" s="8" t="str">
        <f>IFERROR(__xludf.DUMMYFUNCTION("""COMPUTED_VALUE"""),"")</f>
        <v/>
      </c>
      <c r="C481" s="8" t="str">
        <f>IFERROR(__xludf.DUMMYFUNCTION("""COMPUTED_VALUE"""),"")</f>
        <v/>
      </c>
      <c r="D481" s="8" t="str">
        <f>IFERROR(__xludf.DUMMYFUNCTION("""COMPUTED_VALUE"""),"")</f>
        <v/>
      </c>
      <c r="E481" s="8" t="str">
        <f>IFERROR(__xludf.DUMMYFUNCTION("""COMPUTED_VALUE"""),"")</f>
        <v/>
      </c>
      <c r="F481" s="8" t="str">
        <f>IFERROR(__xludf.DUMMYFUNCTION("""COMPUTED_VALUE"""),"")</f>
        <v/>
      </c>
      <c r="G481" s="8" t="str">
        <f>IFERROR(__xludf.DUMMYFUNCTION("""COMPUTED_VALUE"""),"")</f>
        <v/>
      </c>
      <c r="L481" s="8" t="s">
        <v>299</v>
      </c>
    </row>
    <row r="482">
      <c r="A482" s="10"/>
      <c r="B482" s="8" t="str">
        <f>IFERROR(__xludf.DUMMYFUNCTION("""COMPUTED_VALUE"""),"")</f>
        <v/>
      </c>
      <c r="C482" s="8" t="str">
        <f>IFERROR(__xludf.DUMMYFUNCTION("""COMPUTED_VALUE"""),"")</f>
        <v/>
      </c>
      <c r="D482" s="8" t="str">
        <f>IFERROR(__xludf.DUMMYFUNCTION("""COMPUTED_VALUE"""),"")</f>
        <v/>
      </c>
      <c r="E482" s="8" t="str">
        <f>IFERROR(__xludf.DUMMYFUNCTION("""COMPUTED_VALUE"""),"")</f>
        <v/>
      </c>
      <c r="F482" s="8" t="str">
        <f>IFERROR(__xludf.DUMMYFUNCTION("""COMPUTED_VALUE"""),"")</f>
        <v/>
      </c>
      <c r="G482" s="8" t="str">
        <f>IFERROR(__xludf.DUMMYFUNCTION("""COMPUTED_VALUE"""),"")</f>
        <v/>
      </c>
      <c r="L482" s="8" t="s">
        <v>299</v>
      </c>
    </row>
    <row r="483">
      <c r="A483" s="10"/>
      <c r="B483" s="8" t="str">
        <f>IFERROR(__xludf.DUMMYFUNCTION("""COMPUTED_VALUE"""),"")</f>
        <v/>
      </c>
      <c r="C483" s="8" t="str">
        <f>IFERROR(__xludf.DUMMYFUNCTION("""COMPUTED_VALUE"""),"")</f>
        <v/>
      </c>
      <c r="D483" s="8" t="str">
        <f>IFERROR(__xludf.DUMMYFUNCTION("""COMPUTED_VALUE"""),"")</f>
        <v/>
      </c>
      <c r="E483" s="8" t="str">
        <f>IFERROR(__xludf.DUMMYFUNCTION("""COMPUTED_VALUE"""),"")</f>
        <v/>
      </c>
      <c r="F483" s="8" t="str">
        <f>IFERROR(__xludf.DUMMYFUNCTION("""COMPUTED_VALUE"""),"")</f>
        <v/>
      </c>
      <c r="G483" s="8" t="str">
        <f>IFERROR(__xludf.DUMMYFUNCTION("""COMPUTED_VALUE"""),"")</f>
        <v/>
      </c>
      <c r="L483" s="8" t="s">
        <v>299</v>
      </c>
    </row>
    <row r="484">
      <c r="A484" s="10"/>
      <c r="B484" s="8" t="str">
        <f>IFERROR(__xludf.DUMMYFUNCTION("""COMPUTED_VALUE"""),"")</f>
        <v/>
      </c>
      <c r="C484" s="8" t="str">
        <f>IFERROR(__xludf.DUMMYFUNCTION("""COMPUTED_VALUE"""),"")</f>
        <v/>
      </c>
      <c r="D484" s="8" t="str">
        <f>IFERROR(__xludf.DUMMYFUNCTION("""COMPUTED_VALUE"""),"")</f>
        <v/>
      </c>
      <c r="E484" s="8" t="str">
        <f>IFERROR(__xludf.DUMMYFUNCTION("""COMPUTED_VALUE"""),"")</f>
        <v/>
      </c>
      <c r="F484" s="8" t="str">
        <f>IFERROR(__xludf.DUMMYFUNCTION("""COMPUTED_VALUE"""),"")</f>
        <v/>
      </c>
      <c r="G484" s="8" t="str">
        <f>IFERROR(__xludf.DUMMYFUNCTION("""COMPUTED_VALUE"""),"")</f>
        <v/>
      </c>
      <c r="L484" s="8" t="s">
        <v>299</v>
      </c>
    </row>
    <row r="485">
      <c r="A485" s="10"/>
      <c r="B485" s="8" t="str">
        <f>IFERROR(__xludf.DUMMYFUNCTION("""COMPUTED_VALUE"""),"")</f>
        <v/>
      </c>
      <c r="C485" s="8" t="str">
        <f>IFERROR(__xludf.DUMMYFUNCTION("""COMPUTED_VALUE"""),"")</f>
        <v/>
      </c>
      <c r="D485" s="8" t="str">
        <f>IFERROR(__xludf.DUMMYFUNCTION("""COMPUTED_VALUE"""),"")</f>
        <v/>
      </c>
      <c r="E485" s="8" t="str">
        <f>IFERROR(__xludf.DUMMYFUNCTION("""COMPUTED_VALUE"""),"")</f>
        <v/>
      </c>
      <c r="F485" s="8" t="str">
        <f>IFERROR(__xludf.DUMMYFUNCTION("""COMPUTED_VALUE"""),"")</f>
        <v/>
      </c>
      <c r="G485" s="8" t="str">
        <f>IFERROR(__xludf.DUMMYFUNCTION("""COMPUTED_VALUE"""),"")</f>
        <v/>
      </c>
      <c r="L485" s="8" t="s">
        <v>299</v>
      </c>
    </row>
    <row r="486">
      <c r="A486" s="10"/>
      <c r="B486" s="8" t="str">
        <f>IFERROR(__xludf.DUMMYFUNCTION("""COMPUTED_VALUE"""),"")</f>
        <v/>
      </c>
      <c r="C486" s="8" t="str">
        <f>IFERROR(__xludf.DUMMYFUNCTION("""COMPUTED_VALUE"""),"")</f>
        <v/>
      </c>
      <c r="D486" s="8" t="str">
        <f>IFERROR(__xludf.DUMMYFUNCTION("""COMPUTED_VALUE"""),"")</f>
        <v/>
      </c>
      <c r="E486" s="8" t="str">
        <f>IFERROR(__xludf.DUMMYFUNCTION("""COMPUTED_VALUE"""),"")</f>
        <v/>
      </c>
      <c r="F486" s="8" t="str">
        <f>IFERROR(__xludf.DUMMYFUNCTION("""COMPUTED_VALUE"""),"")</f>
        <v/>
      </c>
      <c r="G486" s="8" t="str">
        <f>IFERROR(__xludf.DUMMYFUNCTION("""COMPUTED_VALUE"""),"")</f>
        <v/>
      </c>
      <c r="L486" s="8" t="s">
        <v>299</v>
      </c>
    </row>
    <row r="487">
      <c r="A487" s="10"/>
      <c r="B487" s="8" t="str">
        <f>IFERROR(__xludf.DUMMYFUNCTION("""COMPUTED_VALUE"""),"")</f>
        <v/>
      </c>
      <c r="C487" s="8" t="str">
        <f>IFERROR(__xludf.DUMMYFUNCTION("""COMPUTED_VALUE"""),"")</f>
        <v/>
      </c>
      <c r="D487" s="8" t="str">
        <f>IFERROR(__xludf.DUMMYFUNCTION("""COMPUTED_VALUE"""),"")</f>
        <v/>
      </c>
      <c r="E487" s="8" t="str">
        <f>IFERROR(__xludf.DUMMYFUNCTION("""COMPUTED_VALUE"""),"")</f>
        <v/>
      </c>
      <c r="F487" s="8" t="str">
        <f>IFERROR(__xludf.DUMMYFUNCTION("""COMPUTED_VALUE"""),"")</f>
        <v/>
      </c>
      <c r="G487" s="8" t="str">
        <f>IFERROR(__xludf.DUMMYFUNCTION("""COMPUTED_VALUE"""),"")</f>
        <v/>
      </c>
      <c r="L487" s="8" t="s">
        <v>299</v>
      </c>
    </row>
    <row r="488">
      <c r="A488" s="10"/>
      <c r="B488" s="8" t="str">
        <f>IFERROR(__xludf.DUMMYFUNCTION("""COMPUTED_VALUE"""),"")</f>
        <v/>
      </c>
      <c r="C488" s="8" t="str">
        <f>IFERROR(__xludf.DUMMYFUNCTION("""COMPUTED_VALUE"""),"")</f>
        <v/>
      </c>
      <c r="D488" s="8" t="str">
        <f>IFERROR(__xludf.DUMMYFUNCTION("""COMPUTED_VALUE"""),"")</f>
        <v/>
      </c>
      <c r="E488" s="8" t="str">
        <f>IFERROR(__xludf.DUMMYFUNCTION("""COMPUTED_VALUE"""),"")</f>
        <v/>
      </c>
      <c r="F488" s="8" t="str">
        <f>IFERROR(__xludf.DUMMYFUNCTION("""COMPUTED_VALUE"""),"")</f>
        <v/>
      </c>
      <c r="G488" s="8" t="str">
        <f>IFERROR(__xludf.DUMMYFUNCTION("""COMPUTED_VALUE"""),"")</f>
        <v/>
      </c>
      <c r="L488" s="8" t="s">
        <v>299</v>
      </c>
    </row>
    <row r="489">
      <c r="A489" s="10"/>
      <c r="B489" s="8" t="str">
        <f>IFERROR(__xludf.DUMMYFUNCTION("""COMPUTED_VALUE"""),"")</f>
        <v/>
      </c>
      <c r="C489" s="8" t="str">
        <f>IFERROR(__xludf.DUMMYFUNCTION("""COMPUTED_VALUE"""),"")</f>
        <v/>
      </c>
      <c r="D489" s="8" t="str">
        <f>IFERROR(__xludf.DUMMYFUNCTION("""COMPUTED_VALUE"""),"")</f>
        <v/>
      </c>
      <c r="E489" s="8" t="str">
        <f>IFERROR(__xludf.DUMMYFUNCTION("""COMPUTED_VALUE"""),"")</f>
        <v/>
      </c>
      <c r="F489" s="8" t="str">
        <f>IFERROR(__xludf.DUMMYFUNCTION("""COMPUTED_VALUE"""),"")</f>
        <v/>
      </c>
      <c r="G489" s="8" t="str">
        <f>IFERROR(__xludf.DUMMYFUNCTION("""COMPUTED_VALUE"""),"")</f>
        <v/>
      </c>
      <c r="L489" s="8" t="s">
        <v>299</v>
      </c>
    </row>
    <row r="490">
      <c r="A490" s="10"/>
      <c r="B490" s="8" t="str">
        <f>IFERROR(__xludf.DUMMYFUNCTION("""COMPUTED_VALUE"""),"")</f>
        <v/>
      </c>
      <c r="C490" s="8" t="str">
        <f>IFERROR(__xludf.DUMMYFUNCTION("""COMPUTED_VALUE"""),"")</f>
        <v/>
      </c>
      <c r="D490" s="8" t="str">
        <f>IFERROR(__xludf.DUMMYFUNCTION("""COMPUTED_VALUE"""),"")</f>
        <v/>
      </c>
      <c r="E490" s="8" t="str">
        <f>IFERROR(__xludf.DUMMYFUNCTION("""COMPUTED_VALUE"""),"")</f>
        <v/>
      </c>
      <c r="F490" s="8" t="str">
        <f>IFERROR(__xludf.DUMMYFUNCTION("""COMPUTED_VALUE"""),"")</f>
        <v/>
      </c>
      <c r="G490" s="8" t="str">
        <f>IFERROR(__xludf.DUMMYFUNCTION("""COMPUTED_VALUE"""),"")</f>
        <v/>
      </c>
      <c r="L490" s="8" t="s">
        <v>299</v>
      </c>
    </row>
    <row r="491">
      <c r="A491" s="10"/>
      <c r="B491" s="8" t="str">
        <f>IFERROR(__xludf.DUMMYFUNCTION("""COMPUTED_VALUE"""),"")</f>
        <v/>
      </c>
      <c r="C491" s="8" t="str">
        <f>IFERROR(__xludf.DUMMYFUNCTION("""COMPUTED_VALUE"""),"")</f>
        <v/>
      </c>
      <c r="D491" s="8" t="str">
        <f>IFERROR(__xludf.DUMMYFUNCTION("""COMPUTED_VALUE"""),"")</f>
        <v/>
      </c>
      <c r="E491" s="8" t="str">
        <f>IFERROR(__xludf.DUMMYFUNCTION("""COMPUTED_VALUE"""),"")</f>
        <v/>
      </c>
      <c r="F491" s="8" t="str">
        <f>IFERROR(__xludf.DUMMYFUNCTION("""COMPUTED_VALUE"""),"")</f>
        <v/>
      </c>
      <c r="G491" s="8" t="str">
        <f>IFERROR(__xludf.DUMMYFUNCTION("""COMPUTED_VALUE"""),"")</f>
        <v/>
      </c>
      <c r="L491" s="8" t="s">
        <v>299</v>
      </c>
    </row>
    <row r="492">
      <c r="A492" s="10"/>
      <c r="B492" s="8" t="str">
        <f>IFERROR(__xludf.DUMMYFUNCTION("""COMPUTED_VALUE"""),"")</f>
        <v/>
      </c>
      <c r="C492" s="8" t="str">
        <f>IFERROR(__xludf.DUMMYFUNCTION("""COMPUTED_VALUE"""),"")</f>
        <v/>
      </c>
      <c r="D492" s="8" t="str">
        <f>IFERROR(__xludf.DUMMYFUNCTION("""COMPUTED_VALUE"""),"")</f>
        <v/>
      </c>
      <c r="E492" s="8" t="str">
        <f>IFERROR(__xludf.DUMMYFUNCTION("""COMPUTED_VALUE"""),"")</f>
        <v/>
      </c>
      <c r="F492" s="8" t="str">
        <f>IFERROR(__xludf.DUMMYFUNCTION("""COMPUTED_VALUE"""),"")</f>
        <v/>
      </c>
      <c r="G492" s="8" t="str">
        <f>IFERROR(__xludf.DUMMYFUNCTION("""COMPUTED_VALUE"""),"")</f>
        <v/>
      </c>
      <c r="L492" s="8" t="s">
        <v>299</v>
      </c>
    </row>
    <row r="493">
      <c r="A493" s="10"/>
      <c r="B493" s="8" t="str">
        <f>IFERROR(__xludf.DUMMYFUNCTION("""COMPUTED_VALUE"""),"")</f>
        <v/>
      </c>
      <c r="C493" s="8" t="str">
        <f>IFERROR(__xludf.DUMMYFUNCTION("""COMPUTED_VALUE"""),"")</f>
        <v/>
      </c>
      <c r="D493" s="8" t="str">
        <f>IFERROR(__xludf.DUMMYFUNCTION("""COMPUTED_VALUE"""),"")</f>
        <v/>
      </c>
      <c r="E493" s="8" t="str">
        <f>IFERROR(__xludf.DUMMYFUNCTION("""COMPUTED_VALUE"""),"")</f>
        <v/>
      </c>
      <c r="F493" s="8" t="str">
        <f>IFERROR(__xludf.DUMMYFUNCTION("""COMPUTED_VALUE"""),"")</f>
        <v/>
      </c>
      <c r="G493" s="8" t="str">
        <f>IFERROR(__xludf.DUMMYFUNCTION("""COMPUTED_VALUE"""),"")</f>
        <v/>
      </c>
      <c r="L493" s="8" t="s">
        <v>299</v>
      </c>
    </row>
    <row r="494">
      <c r="A494" s="10"/>
      <c r="B494" s="8" t="str">
        <f>IFERROR(__xludf.DUMMYFUNCTION("""COMPUTED_VALUE"""),"")</f>
        <v/>
      </c>
      <c r="C494" s="8" t="str">
        <f>IFERROR(__xludf.DUMMYFUNCTION("""COMPUTED_VALUE"""),"")</f>
        <v/>
      </c>
      <c r="D494" s="8" t="str">
        <f>IFERROR(__xludf.DUMMYFUNCTION("""COMPUTED_VALUE"""),"")</f>
        <v/>
      </c>
      <c r="E494" s="8" t="str">
        <f>IFERROR(__xludf.DUMMYFUNCTION("""COMPUTED_VALUE"""),"")</f>
        <v/>
      </c>
      <c r="F494" s="8" t="str">
        <f>IFERROR(__xludf.DUMMYFUNCTION("""COMPUTED_VALUE"""),"")</f>
        <v/>
      </c>
      <c r="G494" s="8" t="str">
        <f>IFERROR(__xludf.DUMMYFUNCTION("""COMPUTED_VALUE"""),"")</f>
        <v/>
      </c>
      <c r="L494" s="8" t="s">
        <v>299</v>
      </c>
    </row>
    <row r="495">
      <c r="A495" s="10"/>
      <c r="B495" s="8" t="str">
        <f>IFERROR(__xludf.DUMMYFUNCTION("""COMPUTED_VALUE"""),"")</f>
        <v/>
      </c>
      <c r="C495" s="8" t="str">
        <f>IFERROR(__xludf.DUMMYFUNCTION("""COMPUTED_VALUE"""),"")</f>
        <v/>
      </c>
      <c r="D495" s="8" t="str">
        <f>IFERROR(__xludf.DUMMYFUNCTION("""COMPUTED_VALUE"""),"")</f>
        <v/>
      </c>
      <c r="E495" s="8" t="str">
        <f>IFERROR(__xludf.DUMMYFUNCTION("""COMPUTED_VALUE"""),"")</f>
        <v/>
      </c>
      <c r="F495" s="8" t="str">
        <f>IFERROR(__xludf.DUMMYFUNCTION("""COMPUTED_VALUE"""),"")</f>
        <v/>
      </c>
      <c r="G495" s="8" t="str">
        <f>IFERROR(__xludf.DUMMYFUNCTION("""COMPUTED_VALUE"""),"")</f>
        <v/>
      </c>
      <c r="L495" s="8" t="s">
        <v>299</v>
      </c>
    </row>
    <row r="496">
      <c r="A496" s="10"/>
      <c r="B496" s="8" t="str">
        <f>IFERROR(__xludf.DUMMYFUNCTION("""COMPUTED_VALUE"""),"")</f>
        <v/>
      </c>
      <c r="C496" s="8" t="str">
        <f>IFERROR(__xludf.DUMMYFUNCTION("""COMPUTED_VALUE"""),"")</f>
        <v/>
      </c>
      <c r="D496" s="8" t="str">
        <f>IFERROR(__xludf.DUMMYFUNCTION("""COMPUTED_VALUE"""),"")</f>
        <v/>
      </c>
      <c r="E496" s="8" t="str">
        <f>IFERROR(__xludf.DUMMYFUNCTION("""COMPUTED_VALUE"""),"")</f>
        <v/>
      </c>
      <c r="F496" s="8" t="str">
        <f>IFERROR(__xludf.DUMMYFUNCTION("""COMPUTED_VALUE"""),"")</f>
        <v/>
      </c>
      <c r="G496" s="8" t="str">
        <f>IFERROR(__xludf.DUMMYFUNCTION("""COMPUTED_VALUE"""),"")</f>
        <v/>
      </c>
      <c r="L496" s="8" t="s">
        <v>299</v>
      </c>
    </row>
    <row r="497">
      <c r="A497" s="10"/>
      <c r="B497" s="8" t="str">
        <f>IFERROR(__xludf.DUMMYFUNCTION("""COMPUTED_VALUE"""),"")</f>
        <v/>
      </c>
      <c r="C497" s="8" t="str">
        <f>IFERROR(__xludf.DUMMYFUNCTION("""COMPUTED_VALUE"""),"")</f>
        <v/>
      </c>
      <c r="D497" s="8" t="str">
        <f>IFERROR(__xludf.DUMMYFUNCTION("""COMPUTED_VALUE"""),"")</f>
        <v/>
      </c>
      <c r="E497" s="8" t="str">
        <f>IFERROR(__xludf.DUMMYFUNCTION("""COMPUTED_VALUE"""),"")</f>
        <v/>
      </c>
      <c r="F497" s="8" t="str">
        <f>IFERROR(__xludf.DUMMYFUNCTION("""COMPUTED_VALUE"""),"")</f>
        <v/>
      </c>
      <c r="G497" s="8" t="str">
        <f>IFERROR(__xludf.DUMMYFUNCTION("""COMPUTED_VALUE"""),"")</f>
        <v/>
      </c>
      <c r="L497" s="8" t="s">
        <v>299</v>
      </c>
    </row>
    <row r="498">
      <c r="A498" s="10"/>
      <c r="B498" s="8" t="str">
        <f>IFERROR(__xludf.DUMMYFUNCTION("""COMPUTED_VALUE"""),"")</f>
        <v/>
      </c>
      <c r="C498" s="8" t="str">
        <f>IFERROR(__xludf.DUMMYFUNCTION("""COMPUTED_VALUE"""),"")</f>
        <v/>
      </c>
      <c r="D498" s="8" t="str">
        <f>IFERROR(__xludf.DUMMYFUNCTION("""COMPUTED_VALUE"""),"")</f>
        <v/>
      </c>
      <c r="E498" s="8" t="str">
        <f>IFERROR(__xludf.DUMMYFUNCTION("""COMPUTED_VALUE"""),"")</f>
        <v/>
      </c>
      <c r="F498" s="8" t="str">
        <f>IFERROR(__xludf.DUMMYFUNCTION("""COMPUTED_VALUE"""),"")</f>
        <v/>
      </c>
      <c r="G498" s="8" t="str">
        <f>IFERROR(__xludf.DUMMYFUNCTION("""COMPUTED_VALUE"""),"")</f>
        <v/>
      </c>
      <c r="L498" s="8" t="s">
        <v>299</v>
      </c>
    </row>
    <row r="499">
      <c r="A499" s="10"/>
      <c r="B499" s="8" t="str">
        <f>IFERROR(__xludf.DUMMYFUNCTION("""COMPUTED_VALUE"""),"")</f>
        <v/>
      </c>
      <c r="C499" s="8" t="str">
        <f>IFERROR(__xludf.DUMMYFUNCTION("""COMPUTED_VALUE"""),"")</f>
        <v/>
      </c>
      <c r="D499" s="8" t="str">
        <f>IFERROR(__xludf.DUMMYFUNCTION("""COMPUTED_VALUE"""),"")</f>
        <v/>
      </c>
      <c r="E499" s="8" t="str">
        <f>IFERROR(__xludf.DUMMYFUNCTION("""COMPUTED_VALUE"""),"")</f>
        <v/>
      </c>
      <c r="F499" s="8" t="str">
        <f>IFERROR(__xludf.DUMMYFUNCTION("""COMPUTED_VALUE"""),"")</f>
        <v/>
      </c>
      <c r="G499" s="8" t="str">
        <f>IFERROR(__xludf.DUMMYFUNCTION("""COMPUTED_VALUE"""),"")</f>
        <v/>
      </c>
      <c r="L499" s="8" t="s">
        <v>299</v>
      </c>
    </row>
    <row r="500">
      <c r="A500" s="10"/>
      <c r="B500" s="8" t="str">
        <f>IFERROR(__xludf.DUMMYFUNCTION("""COMPUTED_VALUE"""),"")</f>
        <v/>
      </c>
      <c r="C500" s="8" t="str">
        <f>IFERROR(__xludf.DUMMYFUNCTION("""COMPUTED_VALUE"""),"")</f>
        <v/>
      </c>
      <c r="D500" s="8" t="str">
        <f>IFERROR(__xludf.DUMMYFUNCTION("""COMPUTED_VALUE"""),"")</f>
        <v/>
      </c>
      <c r="E500" s="8" t="str">
        <f>IFERROR(__xludf.DUMMYFUNCTION("""COMPUTED_VALUE"""),"")</f>
        <v/>
      </c>
      <c r="F500" s="8" t="str">
        <f>IFERROR(__xludf.DUMMYFUNCTION("""COMPUTED_VALUE"""),"")</f>
        <v/>
      </c>
      <c r="G500" s="8" t="str">
        <f>IFERROR(__xludf.DUMMYFUNCTION("""COMPUTED_VALUE"""),"")</f>
        <v/>
      </c>
      <c r="L500" s="8" t="s">
        <v>299</v>
      </c>
    </row>
    <row r="501">
      <c r="A501" s="10"/>
      <c r="B501" s="8" t="str">
        <f>IFERROR(__xludf.DUMMYFUNCTION("""COMPUTED_VALUE"""),"")</f>
        <v/>
      </c>
      <c r="C501" s="8" t="str">
        <f>IFERROR(__xludf.DUMMYFUNCTION("""COMPUTED_VALUE"""),"")</f>
        <v/>
      </c>
      <c r="D501" s="8" t="str">
        <f>IFERROR(__xludf.DUMMYFUNCTION("""COMPUTED_VALUE"""),"")</f>
        <v/>
      </c>
      <c r="E501" s="8" t="str">
        <f>IFERROR(__xludf.DUMMYFUNCTION("""COMPUTED_VALUE"""),"")</f>
        <v/>
      </c>
      <c r="F501" s="8" t="str">
        <f>IFERROR(__xludf.DUMMYFUNCTION("""COMPUTED_VALUE"""),"")</f>
        <v/>
      </c>
      <c r="G501" s="8" t="str">
        <f>IFERROR(__xludf.DUMMYFUNCTION("""COMPUTED_VALUE"""),"")</f>
        <v/>
      </c>
      <c r="L501" s="8" t="s">
        <v>299</v>
      </c>
    </row>
    <row r="502">
      <c r="A502" s="10"/>
      <c r="B502" s="8" t="str">
        <f>IFERROR(__xludf.DUMMYFUNCTION("""COMPUTED_VALUE"""),"")</f>
        <v/>
      </c>
      <c r="C502" s="8" t="str">
        <f>IFERROR(__xludf.DUMMYFUNCTION("""COMPUTED_VALUE"""),"")</f>
        <v/>
      </c>
      <c r="D502" s="8" t="str">
        <f>IFERROR(__xludf.DUMMYFUNCTION("""COMPUTED_VALUE"""),"")</f>
        <v/>
      </c>
      <c r="E502" s="8" t="str">
        <f>IFERROR(__xludf.DUMMYFUNCTION("""COMPUTED_VALUE"""),"")</f>
        <v/>
      </c>
      <c r="F502" s="8" t="str">
        <f>IFERROR(__xludf.DUMMYFUNCTION("""COMPUTED_VALUE"""),"")</f>
        <v/>
      </c>
      <c r="G502" s="8" t="str">
        <f>IFERROR(__xludf.DUMMYFUNCTION("""COMPUTED_VALUE"""),"")</f>
        <v/>
      </c>
      <c r="L502" s="8" t="s">
        <v>299</v>
      </c>
    </row>
    <row r="503">
      <c r="A503" s="10"/>
      <c r="B503" s="8" t="str">
        <f>IFERROR(__xludf.DUMMYFUNCTION("""COMPUTED_VALUE"""),"")</f>
        <v/>
      </c>
      <c r="C503" s="8" t="str">
        <f>IFERROR(__xludf.DUMMYFUNCTION("""COMPUTED_VALUE"""),"")</f>
        <v/>
      </c>
      <c r="D503" s="8" t="str">
        <f>IFERROR(__xludf.DUMMYFUNCTION("""COMPUTED_VALUE"""),"")</f>
        <v/>
      </c>
      <c r="E503" s="8" t="str">
        <f>IFERROR(__xludf.DUMMYFUNCTION("""COMPUTED_VALUE"""),"")</f>
        <v/>
      </c>
      <c r="F503" s="8" t="str">
        <f>IFERROR(__xludf.DUMMYFUNCTION("""COMPUTED_VALUE"""),"")</f>
        <v/>
      </c>
      <c r="G503" s="8" t="str">
        <f>IFERROR(__xludf.DUMMYFUNCTION("""COMPUTED_VALUE"""),"")</f>
        <v/>
      </c>
      <c r="L503" s="8" t="s">
        <v>299</v>
      </c>
    </row>
    <row r="504">
      <c r="A504" s="10"/>
      <c r="B504" s="8" t="str">
        <f>IFERROR(__xludf.DUMMYFUNCTION("""COMPUTED_VALUE"""),"")</f>
        <v/>
      </c>
      <c r="C504" s="8" t="str">
        <f>IFERROR(__xludf.DUMMYFUNCTION("""COMPUTED_VALUE"""),"")</f>
        <v/>
      </c>
      <c r="D504" s="8" t="str">
        <f>IFERROR(__xludf.DUMMYFUNCTION("""COMPUTED_VALUE"""),"")</f>
        <v/>
      </c>
      <c r="E504" s="8" t="str">
        <f>IFERROR(__xludf.DUMMYFUNCTION("""COMPUTED_VALUE"""),"")</f>
        <v/>
      </c>
      <c r="F504" s="8" t="str">
        <f>IFERROR(__xludf.DUMMYFUNCTION("""COMPUTED_VALUE"""),"")</f>
        <v/>
      </c>
      <c r="G504" s="8" t="str">
        <f>IFERROR(__xludf.DUMMYFUNCTION("""COMPUTED_VALUE"""),"")</f>
        <v/>
      </c>
      <c r="L504" s="8" t="s">
        <v>299</v>
      </c>
    </row>
    <row r="505">
      <c r="A505" s="10"/>
      <c r="B505" s="8" t="str">
        <f>IFERROR(__xludf.DUMMYFUNCTION("""COMPUTED_VALUE"""),"")</f>
        <v/>
      </c>
      <c r="C505" s="8" t="str">
        <f>IFERROR(__xludf.DUMMYFUNCTION("""COMPUTED_VALUE"""),"")</f>
        <v/>
      </c>
      <c r="D505" s="8" t="str">
        <f>IFERROR(__xludf.DUMMYFUNCTION("""COMPUTED_VALUE"""),"")</f>
        <v/>
      </c>
      <c r="E505" s="8" t="str">
        <f>IFERROR(__xludf.DUMMYFUNCTION("""COMPUTED_VALUE"""),"")</f>
        <v/>
      </c>
      <c r="F505" s="8" t="str">
        <f>IFERROR(__xludf.DUMMYFUNCTION("""COMPUTED_VALUE"""),"")</f>
        <v/>
      </c>
      <c r="G505" s="8" t="str">
        <f>IFERROR(__xludf.DUMMYFUNCTION("""COMPUTED_VALUE"""),"")</f>
        <v/>
      </c>
      <c r="L505" s="8" t="s">
        <v>299</v>
      </c>
    </row>
    <row r="506">
      <c r="A506" s="10"/>
      <c r="B506" s="8" t="str">
        <f>IFERROR(__xludf.DUMMYFUNCTION("""COMPUTED_VALUE"""),"")</f>
        <v/>
      </c>
      <c r="C506" s="8" t="str">
        <f>IFERROR(__xludf.DUMMYFUNCTION("""COMPUTED_VALUE"""),"")</f>
        <v/>
      </c>
      <c r="D506" s="8" t="str">
        <f>IFERROR(__xludf.DUMMYFUNCTION("""COMPUTED_VALUE"""),"")</f>
        <v/>
      </c>
      <c r="E506" s="8" t="str">
        <f>IFERROR(__xludf.DUMMYFUNCTION("""COMPUTED_VALUE"""),"")</f>
        <v/>
      </c>
      <c r="F506" s="8" t="str">
        <f>IFERROR(__xludf.DUMMYFUNCTION("""COMPUTED_VALUE"""),"")</f>
        <v/>
      </c>
      <c r="G506" s="8" t="str">
        <f>IFERROR(__xludf.DUMMYFUNCTION("""COMPUTED_VALUE"""),"")</f>
        <v/>
      </c>
      <c r="L506" s="8" t="s">
        <v>299</v>
      </c>
    </row>
    <row r="507">
      <c r="A507" s="10"/>
      <c r="B507" s="8" t="str">
        <f>IFERROR(__xludf.DUMMYFUNCTION("""COMPUTED_VALUE"""),"")</f>
        <v/>
      </c>
      <c r="C507" s="8" t="str">
        <f>IFERROR(__xludf.DUMMYFUNCTION("""COMPUTED_VALUE"""),"")</f>
        <v/>
      </c>
      <c r="D507" s="8" t="str">
        <f>IFERROR(__xludf.DUMMYFUNCTION("""COMPUTED_VALUE"""),"")</f>
        <v/>
      </c>
      <c r="E507" s="8" t="str">
        <f>IFERROR(__xludf.DUMMYFUNCTION("""COMPUTED_VALUE"""),"")</f>
        <v/>
      </c>
      <c r="F507" s="8" t="str">
        <f>IFERROR(__xludf.DUMMYFUNCTION("""COMPUTED_VALUE"""),"")</f>
        <v/>
      </c>
      <c r="G507" s="8" t="str">
        <f>IFERROR(__xludf.DUMMYFUNCTION("""COMPUTED_VALUE"""),"")</f>
        <v/>
      </c>
      <c r="L507" s="8" t="s">
        <v>299</v>
      </c>
    </row>
    <row r="508">
      <c r="A508" s="10"/>
      <c r="B508" s="8" t="str">
        <f>IFERROR(__xludf.DUMMYFUNCTION("""COMPUTED_VALUE"""),"")</f>
        <v/>
      </c>
      <c r="C508" s="8" t="str">
        <f>IFERROR(__xludf.DUMMYFUNCTION("""COMPUTED_VALUE"""),"")</f>
        <v/>
      </c>
      <c r="D508" s="8" t="str">
        <f>IFERROR(__xludf.DUMMYFUNCTION("""COMPUTED_VALUE"""),"")</f>
        <v/>
      </c>
      <c r="E508" s="8" t="str">
        <f>IFERROR(__xludf.DUMMYFUNCTION("""COMPUTED_VALUE"""),"")</f>
        <v/>
      </c>
      <c r="F508" s="8" t="str">
        <f>IFERROR(__xludf.DUMMYFUNCTION("""COMPUTED_VALUE"""),"")</f>
        <v/>
      </c>
      <c r="G508" s="8" t="str">
        <f>IFERROR(__xludf.DUMMYFUNCTION("""COMPUTED_VALUE"""),"")</f>
        <v/>
      </c>
      <c r="L508" s="8" t="s">
        <v>299</v>
      </c>
    </row>
    <row r="509">
      <c r="A509" s="10"/>
      <c r="B509" s="8" t="str">
        <f>IFERROR(__xludf.DUMMYFUNCTION("""COMPUTED_VALUE"""),"")</f>
        <v/>
      </c>
      <c r="C509" s="8" t="str">
        <f>IFERROR(__xludf.DUMMYFUNCTION("""COMPUTED_VALUE"""),"")</f>
        <v/>
      </c>
      <c r="D509" s="8" t="str">
        <f>IFERROR(__xludf.DUMMYFUNCTION("""COMPUTED_VALUE"""),"")</f>
        <v/>
      </c>
      <c r="E509" s="8" t="str">
        <f>IFERROR(__xludf.DUMMYFUNCTION("""COMPUTED_VALUE"""),"")</f>
        <v/>
      </c>
      <c r="F509" s="8" t="str">
        <f>IFERROR(__xludf.DUMMYFUNCTION("""COMPUTED_VALUE"""),"")</f>
        <v/>
      </c>
      <c r="G509" s="8" t="str">
        <f>IFERROR(__xludf.DUMMYFUNCTION("""COMPUTED_VALUE"""),"")</f>
        <v/>
      </c>
      <c r="L509" s="8" t="s">
        <v>299</v>
      </c>
    </row>
    <row r="510">
      <c r="A510" s="10"/>
      <c r="B510" s="8" t="str">
        <f>IFERROR(__xludf.DUMMYFUNCTION("""COMPUTED_VALUE"""),"")</f>
        <v/>
      </c>
      <c r="C510" s="8" t="str">
        <f>IFERROR(__xludf.DUMMYFUNCTION("""COMPUTED_VALUE"""),"")</f>
        <v/>
      </c>
      <c r="D510" s="8" t="str">
        <f>IFERROR(__xludf.DUMMYFUNCTION("""COMPUTED_VALUE"""),"")</f>
        <v/>
      </c>
      <c r="E510" s="8" t="str">
        <f>IFERROR(__xludf.DUMMYFUNCTION("""COMPUTED_VALUE"""),"")</f>
        <v/>
      </c>
      <c r="F510" s="8" t="str">
        <f>IFERROR(__xludf.DUMMYFUNCTION("""COMPUTED_VALUE"""),"")</f>
        <v/>
      </c>
      <c r="G510" s="8" t="str">
        <f>IFERROR(__xludf.DUMMYFUNCTION("""COMPUTED_VALUE"""),"")</f>
        <v/>
      </c>
      <c r="L510" s="8" t="s">
        <v>299</v>
      </c>
    </row>
    <row r="511">
      <c r="A511" s="10"/>
      <c r="B511" s="8" t="str">
        <f>IFERROR(__xludf.DUMMYFUNCTION("""COMPUTED_VALUE"""),"")</f>
        <v/>
      </c>
      <c r="C511" s="8" t="str">
        <f>IFERROR(__xludf.DUMMYFUNCTION("""COMPUTED_VALUE"""),"")</f>
        <v/>
      </c>
      <c r="D511" s="8" t="str">
        <f>IFERROR(__xludf.DUMMYFUNCTION("""COMPUTED_VALUE"""),"")</f>
        <v/>
      </c>
      <c r="E511" s="8" t="str">
        <f>IFERROR(__xludf.DUMMYFUNCTION("""COMPUTED_VALUE"""),"")</f>
        <v/>
      </c>
      <c r="F511" s="8" t="str">
        <f>IFERROR(__xludf.DUMMYFUNCTION("""COMPUTED_VALUE"""),"")</f>
        <v/>
      </c>
      <c r="G511" s="8" t="str">
        <f>IFERROR(__xludf.DUMMYFUNCTION("""COMPUTED_VALUE"""),"")</f>
        <v/>
      </c>
      <c r="L511" s="8" t="s">
        <v>299</v>
      </c>
    </row>
    <row r="512">
      <c r="A512" s="10"/>
      <c r="B512" s="8" t="str">
        <f>IFERROR(__xludf.DUMMYFUNCTION("""COMPUTED_VALUE"""),"")</f>
        <v/>
      </c>
      <c r="C512" s="8" t="str">
        <f>IFERROR(__xludf.DUMMYFUNCTION("""COMPUTED_VALUE"""),"")</f>
        <v/>
      </c>
      <c r="D512" s="8" t="str">
        <f>IFERROR(__xludf.DUMMYFUNCTION("""COMPUTED_VALUE"""),"")</f>
        <v/>
      </c>
      <c r="E512" s="8" t="str">
        <f>IFERROR(__xludf.DUMMYFUNCTION("""COMPUTED_VALUE"""),"")</f>
        <v/>
      </c>
      <c r="F512" s="8" t="str">
        <f>IFERROR(__xludf.DUMMYFUNCTION("""COMPUTED_VALUE"""),"")</f>
        <v/>
      </c>
      <c r="G512" s="8" t="str">
        <f>IFERROR(__xludf.DUMMYFUNCTION("""COMPUTED_VALUE"""),"")</f>
        <v/>
      </c>
      <c r="L512" s="8" t="s">
        <v>299</v>
      </c>
    </row>
    <row r="513">
      <c r="A513" s="10"/>
      <c r="B513" s="8" t="str">
        <f>IFERROR(__xludf.DUMMYFUNCTION("""COMPUTED_VALUE"""),"")</f>
        <v/>
      </c>
      <c r="C513" s="8" t="str">
        <f>IFERROR(__xludf.DUMMYFUNCTION("""COMPUTED_VALUE"""),"")</f>
        <v/>
      </c>
      <c r="D513" s="8" t="str">
        <f>IFERROR(__xludf.DUMMYFUNCTION("""COMPUTED_VALUE"""),"")</f>
        <v/>
      </c>
      <c r="E513" s="8" t="str">
        <f>IFERROR(__xludf.DUMMYFUNCTION("""COMPUTED_VALUE"""),"")</f>
        <v/>
      </c>
      <c r="F513" s="8" t="str">
        <f>IFERROR(__xludf.DUMMYFUNCTION("""COMPUTED_VALUE"""),"")</f>
        <v/>
      </c>
      <c r="G513" s="8" t="str">
        <f>IFERROR(__xludf.DUMMYFUNCTION("""COMPUTED_VALUE"""),"")</f>
        <v/>
      </c>
      <c r="L513" s="8" t="s">
        <v>299</v>
      </c>
    </row>
    <row r="514">
      <c r="A514" s="10"/>
      <c r="B514" s="8" t="str">
        <f>IFERROR(__xludf.DUMMYFUNCTION("""COMPUTED_VALUE"""),"")</f>
        <v/>
      </c>
      <c r="C514" s="8" t="str">
        <f>IFERROR(__xludf.DUMMYFUNCTION("""COMPUTED_VALUE"""),"")</f>
        <v/>
      </c>
      <c r="D514" s="8" t="str">
        <f>IFERROR(__xludf.DUMMYFUNCTION("""COMPUTED_VALUE"""),"")</f>
        <v/>
      </c>
      <c r="E514" s="8" t="str">
        <f>IFERROR(__xludf.DUMMYFUNCTION("""COMPUTED_VALUE"""),"")</f>
        <v/>
      </c>
      <c r="F514" s="8" t="str">
        <f>IFERROR(__xludf.DUMMYFUNCTION("""COMPUTED_VALUE"""),"")</f>
        <v/>
      </c>
      <c r="G514" s="8" t="str">
        <f>IFERROR(__xludf.DUMMYFUNCTION("""COMPUTED_VALUE"""),"")</f>
        <v/>
      </c>
      <c r="L514" s="8" t="s">
        <v>299</v>
      </c>
    </row>
    <row r="515">
      <c r="A515" s="10"/>
      <c r="B515" s="8" t="str">
        <f>IFERROR(__xludf.DUMMYFUNCTION("""COMPUTED_VALUE"""),"")</f>
        <v/>
      </c>
      <c r="C515" s="8" t="str">
        <f>IFERROR(__xludf.DUMMYFUNCTION("""COMPUTED_VALUE"""),"")</f>
        <v/>
      </c>
      <c r="D515" s="8" t="str">
        <f>IFERROR(__xludf.DUMMYFUNCTION("""COMPUTED_VALUE"""),"")</f>
        <v/>
      </c>
      <c r="E515" s="8" t="str">
        <f>IFERROR(__xludf.DUMMYFUNCTION("""COMPUTED_VALUE"""),"")</f>
        <v/>
      </c>
      <c r="F515" s="8" t="str">
        <f>IFERROR(__xludf.DUMMYFUNCTION("""COMPUTED_VALUE"""),"")</f>
        <v/>
      </c>
      <c r="G515" s="8" t="str">
        <f>IFERROR(__xludf.DUMMYFUNCTION("""COMPUTED_VALUE"""),"")</f>
        <v/>
      </c>
      <c r="L515" s="8" t="s">
        <v>299</v>
      </c>
    </row>
    <row r="516">
      <c r="A516" s="10"/>
      <c r="B516" s="8" t="str">
        <f>IFERROR(__xludf.DUMMYFUNCTION("""COMPUTED_VALUE"""),"")</f>
        <v/>
      </c>
      <c r="C516" s="8" t="str">
        <f>IFERROR(__xludf.DUMMYFUNCTION("""COMPUTED_VALUE"""),"")</f>
        <v/>
      </c>
      <c r="D516" s="8" t="str">
        <f>IFERROR(__xludf.DUMMYFUNCTION("""COMPUTED_VALUE"""),"")</f>
        <v/>
      </c>
      <c r="E516" s="8" t="str">
        <f>IFERROR(__xludf.DUMMYFUNCTION("""COMPUTED_VALUE"""),"")</f>
        <v/>
      </c>
      <c r="F516" s="8" t="str">
        <f>IFERROR(__xludf.DUMMYFUNCTION("""COMPUTED_VALUE"""),"")</f>
        <v/>
      </c>
      <c r="G516" s="8" t="str">
        <f>IFERROR(__xludf.DUMMYFUNCTION("""COMPUTED_VALUE"""),"")</f>
        <v/>
      </c>
      <c r="L516" s="8" t="s">
        <v>299</v>
      </c>
    </row>
    <row r="517">
      <c r="A517" s="10"/>
      <c r="B517" s="8" t="str">
        <f>IFERROR(__xludf.DUMMYFUNCTION("""COMPUTED_VALUE"""),"")</f>
        <v/>
      </c>
      <c r="C517" s="8" t="str">
        <f>IFERROR(__xludf.DUMMYFUNCTION("""COMPUTED_VALUE"""),"")</f>
        <v/>
      </c>
      <c r="D517" s="8" t="str">
        <f>IFERROR(__xludf.DUMMYFUNCTION("""COMPUTED_VALUE"""),"")</f>
        <v/>
      </c>
      <c r="E517" s="8" t="str">
        <f>IFERROR(__xludf.DUMMYFUNCTION("""COMPUTED_VALUE"""),"")</f>
        <v/>
      </c>
      <c r="F517" s="8" t="str">
        <f>IFERROR(__xludf.DUMMYFUNCTION("""COMPUTED_VALUE"""),"")</f>
        <v/>
      </c>
      <c r="G517" s="8" t="str">
        <f>IFERROR(__xludf.DUMMYFUNCTION("""COMPUTED_VALUE"""),"")</f>
        <v/>
      </c>
      <c r="L517" s="8" t="s">
        <v>299</v>
      </c>
    </row>
    <row r="518">
      <c r="A518" s="10"/>
      <c r="B518" s="8" t="str">
        <f>IFERROR(__xludf.DUMMYFUNCTION("""COMPUTED_VALUE"""),"")</f>
        <v/>
      </c>
      <c r="C518" s="8" t="str">
        <f>IFERROR(__xludf.DUMMYFUNCTION("""COMPUTED_VALUE"""),"")</f>
        <v/>
      </c>
      <c r="D518" s="8" t="str">
        <f>IFERROR(__xludf.DUMMYFUNCTION("""COMPUTED_VALUE"""),"")</f>
        <v/>
      </c>
      <c r="E518" s="8" t="str">
        <f>IFERROR(__xludf.DUMMYFUNCTION("""COMPUTED_VALUE"""),"")</f>
        <v/>
      </c>
      <c r="F518" s="8" t="str">
        <f>IFERROR(__xludf.DUMMYFUNCTION("""COMPUTED_VALUE"""),"")</f>
        <v/>
      </c>
      <c r="G518" s="8" t="str">
        <f>IFERROR(__xludf.DUMMYFUNCTION("""COMPUTED_VALUE"""),"")</f>
        <v/>
      </c>
      <c r="L518" s="8" t="s">
        <v>299</v>
      </c>
    </row>
    <row r="519">
      <c r="A519" s="10"/>
      <c r="B519" s="8" t="str">
        <f>IFERROR(__xludf.DUMMYFUNCTION("""COMPUTED_VALUE"""),"")</f>
        <v/>
      </c>
      <c r="C519" s="8" t="str">
        <f>IFERROR(__xludf.DUMMYFUNCTION("""COMPUTED_VALUE"""),"")</f>
        <v/>
      </c>
      <c r="D519" s="8" t="str">
        <f>IFERROR(__xludf.DUMMYFUNCTION("""COMPUTED_VALUE"""),"")</f>
        <v/>
      </c>
      <c r="E519" s="8" t="str">
        <f>IFERROR(__xludf.DUMMYFUNCTION("""COMPUTED_VALUE"""),"")</f>
        <v/>
      </c>
      <c r="F519" s="8" t="str">
        <f>IFERROR(__xludf.DUMMYFUNCTION("""COMPUTED_VALUE"""),"")</f>
        <v/>
      </c>
      <c r="G519" s="8" t="str">
        <f>IFERROR(__xludf.DUMMYFUNCTION("""COMPUTED_VALUE"""),"")</f>
        <v/>
      </c>
      <c r="L519" s="8" t="s">
        <v>299</v>
      </c>
    </row>
    <row r="520">
      <c r="A520" s="10"/>
      <c r="B520" s="8" t="str">
        <f>IFERROR(__xludf.DUMMYFUNCTION("""COMPUTED_VALUE"""),"")</f>
        <v/>
      </c>
      <c r="C520" s="8" t="str">
        <f>IFERROR(__xludf.DUMMYFUNCTION("""COMPUTED_VALUE"""),"")</f>
        <v/>
      </c>
      <c r="D520" s="8" t="str">
        <f>IFERROR(__xludf.DUMMYFUNCTION("""COMPUTED_VALUE"""),"")</f>
        <v/>
      </c>
      <c r="E520" s="8" t="str">
        <f>IFERROR(__xludf.DUMMYFUNCTION("""COMPUTED_VALUE"""),"")</f>
        <v/>
      </c>
      <c r="F520" s="8" t="str">
        <f>IFERROR(__xludf.DUMMYFUNCTION("""COMPUTED_VALUE"""),"")</f>
        <v/>
      </c>
      <c r="G520" s="8" t="str">
        <f>IFERROR(__xludf.DUMMYFUNCTION("""COMPUTED_VALUE"""),"")</f>
        <v/>
      </c>
      <c r="L520" s="8" t="s">
        <v>299</v>
      </c>
    </row>
    <row r="521">
      <c r="A521" s="10"/>
      <c r="B521" s="8" t="str">
        <f>IFERROR(__xludf.DUMMYFUNCTION("""COMPUTED_VALUE"""),"")</f>
        <v/>
      </c>
      <c r="C521" s="8" t="str">
        <f>IFERROR(__xludf.DUMMYFUNCTION("""COMPUTED_VALUE"""),"")</f>
        <v/>
      </c>
      <c r="D521" s="8" t="str">
        <f>IFERROR(__xludf.DUMMYFUNCTION("""COMPUTED_VALUE"""),"")</f>
        <v/>
      </c>
      <c r="E521" s="8" t="str">
        <f>IFERROR(__xludf.DUMMYFUNCTION("""COMPUTED_VALUE"""),"")</f>
        <v/>
      </c>
      <c r="F521" s="8" t="str">
        <f>IFERROR(__xludf.DUMMYFUNCTION("""COMPUTED_VALUE"""),"")</f>
        <v/>
      </c>
      <c r="G521" s="8" t="str">
        <f>IFERROR(__xludf.DUMMYFUNCTION("""COMPUTED_VALUE"""),"")</f>
        <v/>
      </c>
      <c r="L521" s="8" t="s">
        <v>299</v>
      </c>
    </row>
    <row r="522">
      <c r="A522" s="10"/>
      <c r="B522" s="8" t="str">
        <f>IFERROR(__xludf.DUMMYFUNCTION("""COMPUTED_VALUE"""),"")</f>
        <v/>
      </c>
      <c r="C522" s="8" t="str">
        <f>IFERROR(__xludf.DUMMYFUNCTION("""COMPUTED_VALUE"""),"")</f>
        <v/>
      </c>
      <c r="D522" s="8" t="str">
        <f>IFERROR(__xludf.DUMMYFUNCTION("""COMPUTED_VALUE"""),"")</f>
        <v/>
      </c>
      <c r="E522" s="8" t="str">
        <f>IFERROR(__xludf.DUMMYFUNCTION("""COMPUTED_VALUE"""),"")</f>
        <v/>
      </c>
      <c r="F522" s="8" t="str">
        <f>IFERROR(__xludf.DUMMYFUNCTION("""COMPUTED_VALUE"""),"")</f>
        <v/>
      </c>
      <c r="G522" s="8" t="str">
        <f>IFERROR(__xludf.DUMMYFUNCTION("""COMPUTED_VALUE"""),"")</f>
        <v/>
      </c>
      <c r="L522" s="8" t="s">
        <v>299</v>
      </c>
    </row>
    <row r="523">
      <c r="A523" s="10"/>
      <c r="B523" s="8" t="str">
        <f>IFERROR(__xludf.DUMMYFUNCTION("""COMPUTED_VALUE"""),"")</f>
        <v/>
      </c>
      <c r="C523" s="8" t="str">
        <f>IFERROR(__xludf.DUMMYFUNCTION("""COMPUTED_VALUE"""),"")</f>
        <v/>
      </c>
      <c r="D523" s="8" t="str">
        <f>IFERROR(__xludf.DUMMYFUNCTION("""COMPUTED_VALUE"""),"")</f>
        <v/>
      </c>
      <c r="E523" s="8" t="str">
        <f>IFERROR(__xludf.DUMMYFUNCTION("""COMPUTED_VALUE"""),"")</f>
        <v/>
      </c>
      <c r="F523" s="8" t="str">
        <f>IFERROR(__xludf.DUMMYFUNCTION("""COMPUTED_VALUE"""),"")</f>
        <v/>
      </c>
      <c r="G523" s="8" t="str">
        <f>IFERROR(__xludf.DUMMYFUNCTION("""COMPUTED_VALUE"""),"")</f>
        <v/>
      </c>
      <c r="L523" s="8" t="s">
        <v>299</v>
      </c>
    </row>
    <row r="524">
      <c r="A524" s="10"/>
      <c r="B524" s="8" t="str">
        <f>IFERROR(__xludf.DUMMYFUNCTION("""COMPUTED_VALUE"""),"")</f>
        <v/>
      </c>
      <c r="C524" s="8" t="str">
        <f>IFERROR(__xludf.DUMMYFUNCTION("""COMPUTED_VALUE"""),"")</f>
        <v/>
      </c>
      <c r="D524" s="8" t="str">
        <f>IFERROR(__xludf.DUMMYFUNCTION("""COMPUTED_VALUE"""),"")</f>
        <v/>
      </c>
      <c r="E524" s="8" t="str">
        <f>IFERROR(__xludf.DUMMYFUNCTION("""COMPUTED_VALUE"""),"")</f>
        <v/>
      </c>
      <c r="F524" s="8" t="str">
        <f>IFERROR(__xludf.DUMMYFUNCTION("""COMPUTED_VALUE"""),"")</f>
        <v/>
      </c>
      <c r="G524" s="8" t="str">
        <f>IFERROR(__xludf.DUMMYFUNCTION("""COMPUTED_VALUE"""),"")</f>
        <v/>
      </c>
      <c r="L524" s="8" t="s">
        <v>299</v>
      </c>
    </row>
    <row r="525">
      <c r="A525" s="10"/>
      <c r="B525" s="8" t="str">
        <f>IFERROR(__xludf.DUMMYFUNCTION("""COMPUTED_VALUE"""),"")</f>
        <v/>
      </c>
      <c r="C525" s="8" t="str">
        <f>IFERROR(__xludf.DUMMYFUNCTION("""COMPUTED_VALUE"""),"")</f>
        <v/>
      </c>
      <c r="D525" s="8" t="str">
        <f>IFERROR(__xludf.DUMMYFUNCTION("""COMPUTED_VALUE"""),"")</f>
        <v/>
      </c>
      <c r="E525" s="8" t="str">
        <f>IFERROR(__xludf.DUMMYFUNCTION("""COMPUTED_VALUE"""),"")</f>
        <v/>
      </c>
      <c r="F525" s="8" t="str">
        <f>IFERROR(__xludf.DUMMYFUNCTION("""COMPUTED_VALUE"""),"")</f>
        <v/>
      </c>
      <c r="G525" s="8" t="str">
        <f>IFERROR(__xludf.DUMMYFUNCTION("""COMPUTED_VALUE"""),"")</f>
        <v/>
      </c>
      <c r="L525" s="8" t="s">
        <v>299</v>
      </c>
    </row>
    <row r="526">
      <c r="A526" s="10"/>
      <c r="B526" s="8" t="str">
        <f>IFERROR(__xludf.DUMMYFUNCTION("""COMPUTED_VALUE"""),"")</f>
        <v/>
      </c>
      <c r="C526" s="8" t="str">
        <f>IFERROR(__xludf.DUMMYFUNCTION("""COMPUTED_VALUE"""),"")</f>
        <v/>
      </c>
      <c r="D526" s="8" t="str">
        <f>IFERROR(__xludf.DUMMYFUNCTION("""COMPUTED_VALUE"""),"")</f>
        <v/>
      </c>
      <c r="E526" s="8" t="str">
        <f>IFERROR(__xludf.DUMMYFUNCTION("""COMPUTED_VALUE"""),"")</f>
        <v/>
      </c>
      <c r="F526" s="8" t="str">
        <f>IFERROR(__xludf.DUMMYFUNCTION("""COMPUTED_VALUE"""),"")</f>
        <v/>
      </c>
      <c r="G526" s="8" t="str">
        <f>IFERROR(__xludf.DUMMYFUNCTION("""COMPUTED_VALUE"""),"")</f>
        <v/>
      </c>
      <c r="L526" s="8" t="s">
        <v>299</v>
      </c>
    </row>
    <row r="527">
      <c r="A527" s="10"/>
      <c r="B527" s="8" t="str">
        <f>IFERROR(__xludf.DUMMYFUNCTION("""COMPUTED_VALUE"""),"")</f>
        <v/>
      </c>
      <c r="C527" s="8" t="str">
        <f>IFERROR(__xludf.DUMMYFUNCTION("""COMPUTED_VALUE"""),"")</f>
        <v/>
      </c>
      <c r="D527" s="8" t="str">
        <f>IFERROR(__xludf.DUMMYFUNCTION("""COMPUTED_VALUE"""),"")</f>
        <v/>
      </c>
      <c r="E527" s="8" t="str">
        <f>IFERROR(__xludf.DUMMYFUNCTION("""COMPUTED_VALUE"""),"")</f>
        <v/>
      </c>
      <c r="F527" s="8" t="str">
        <f>IFERROR(__xludf.DUMMYFUNCTION("""COMPUTED_VALUE"""),"")</f>
        <v/>
      </c>
      <c r="G527" s="8" t="str">
        <f>IFERROR(__xludf.DUMMYFUNCTION("""COMPUTED_VALUE"""),"")</f>
        <v/>
      </c>
      <c r="L527" s="8" t="s">
        <v>299</v>
      </c>
    </row>
    <row r="528">
      <c r="A528" s="10"/>
      <c r="B528" s="8" t="str">
        <f>IFERROR(__xludf.DUMMYFUNCTION("""COMPUTED_VALUE"""),"")</f>
        <v/>
      </c>
      <c r="C528" s="8" t="str">
        <f>IFERROR(__xludf.DUMMYFUNCTION("""COMPUTED_VALUE"""),"")</f>
        <v/>
      </c>
      <c r="D528" s="8" t="str">
        <f>IFERROR(__xludf.DUMMYFUNCTION("""COMPUTED_VALUE"""),"")</f>
        <v/>
      </c>
      <c r="E528" s="8" t="str">
        <f>IFERROR(__xludf.DUMMYFUNCTION("""COMPUTED_VALUE"""),"")</f>
        <v/>
      </c>
      <c r="F528" s="8" t="str">
        <f>IFERROR(__xludf.DUMMYFUNCTION("""COMPUTED_VALUE"""),"")</f>
        <v/>
      </c>
      <c r="G528" s="8" t="str">
        <f>IFERROR(__xludf.DUMMYFUNCTION("""COMPUTED_VALUE"""),"")</f>
        <v/>
      </c>
      <c r="L528" s="8" t="s">
        <v>299</v>
      </c>
    </row>
    <row r="529">
      <c r="A529" s="10"/>
      <c r="B529" s="8" t="str">
        <f>IFERROR(__xludf.DUMMYFUNCTION("""COMPUTED_VALUE"""),"")</f>
        <v/>
      </c>
      <c r="C529" s="8" t="str">
        <f>IFERROR(__xludf.DUMMYFUNCTION("""COMPUTED_VALUE"""),"")</f>
        <v/>
      </c>
      <c r="D529" s="8" t="str">
        <f>IFERROR(__xludf.DUMMYFUNCTION("""COMPUTED_VALUE"""),"")</f>
        <v/>
      </c>
      <c r="E529" s="8" t="str">
        <f>IFERROR(__xludf.DUMMYFUNCTION("""COMPUTED_VALUE"""),"")</f>
        <v/>
      </c>
      <c r="F529" s="8" t="str">
        <f>IFERROR(__xludf.DUMMYFUNCTION("""COMPUTED_VALUE"""),"")</f>
        <v/>
      </c>
      <c r="G529" s="8" t="str">
        <f>IFERROR(__xludf.DUMMYFUNCTION("""COMPUTED_VALUE"""),"")</f>
        <v/>
      </c>
      <c r="L529" s="8" t="s">
        <v>299</v>
      </c>
    </row>
    <row r="530">
      <c r="A530" s="10"/>
      <c r="B530" s="8" t="str">
        <f>IFERROR(__xludf.DUMMYFUNCTION("""COMPUTED_VALUE"""),"")</f>
        <v/>
      </c>
      <c r="C530" s="8" t="str">
        <f>IFERROR(__xludf.DUMMYFUNCTION("""COMPUTED_VALUE"""),"")</f>
        <v/>
      </c>
      <c r="D530" s="8" t="str">
        <f>IFERROR(__xludf.DUMMYFUNCTION("""COMPUTED_VALUE"""),"")</f>
        <v/>
      </c>
      <c r="E530" s="8" t="str">
        <f>IFERROR(__xludf.DUMMYFUNCTION("""COMPUTED_VALUE"""),"")</f>
        <v/>
      </c>
      <c r="F530" s="8" t="str">
        <f>IFERROR(__xludf.DUMMYFUNCTION("""COMPUTED_VALUE"""),"")</f>
        <v/>
      </c>
      <c r="G530" s="8" t="str">
        <f>IFERROR(__xludf.DUMMYFUNCTION("""COMPUTED_VALUE"""),"")</f>
        <v/>
      </c>
      <c r="L530" s="8" t="s">
        <v>299</v>
      </c>
    </row>
    <row r="531">
      <c r="A531" s="10"/>
      <c r="B531" s="8" t="str">
        <f>IFERROR(__xludf.DUMMYFUNCTION("""COMPUTED_VALUE"""),"")</f>
        <v/>
      </c>
      <c r="C531" s="8" t="str">
        <f>IFERROR(__xludf.DUMMYFUNCTION("""COMPUTED_VALUE"""),"")</f>
        <v/>
      </c>
      <c r="D531" s="8" t="str">
        <f>IFERROR(__xludf.DUMMYFUNCTION("""COMPUTED_VALUE"""),"")</f>
        <v/>
      </c>
      <c r="E531" s="8" t="str">
        <f>IFERROR(__xludf.DUMMYFUNCTION("""COMPUTED_VALUE"""),"")</f>
        <v/>
      </c>
      <c r="F531" s="8" t="str">
        <f>IFERROR(__xludf.DUMMYFUNCTION("""COMPUTED_VALUE"""),"")</f>
        <v/>
      </c>
      <c r="G531" s="8" t="str">
        <f>IFERROR(__xludf.DUMMYFUNCTION("""COMPUTED_VALUE"""),"")</f>
        <v/>
      </c>
      <c r="L531" s="8" t="s">
        <v>299</v>
      </c>
    </row>
    <row r="532">
      <c r="A532" s="10"/>
      <c r="B532" s="8" t="str">
        <f>IFERROR(__xludf.DUMMYFUNCTION("""COMPUTED_VALUE"""),"")</f>
        <v/>
      </c>
      <c r="C532" s="8" t="str">
        <f>IFERROR(__xludf.DUMMYFUNCTION("""COMPUTED_VALUE"""),"")</f>
        <v/>
      </c>
      <c r="D532" s="8" t="str">
        <f>IFERROR(__xludf.DUMMYFUNCTION("""COMPUTED_VALUE"""),"")</f>
        <v/>
      </c>
      <c r="E532" s="8" t="str">
        <f>IFERROR(__xludf.DUMMYFUNCTION("""COMPUTED_VALUE"""),"")</f>
        <v/>
      </c>
      <c r="F532" s="8" t="str">
        <f>IFERROR(__xludf.DUMMYFUNCTION("""COMPUTED_VALUE"""),"")</f>
        <v/>
      </c>
      <c r="G532" s="8" t="str">
        <f>IFERROR(__xludf.DUMMYFUNCTION("""COMPUTED_VALUE"""),"")</f>
        <v/>
      </c>
      <c r="L532" s="8" t="s">
        <v>299</v>
      </c>
    </row>
    <row r="533">
      <c r="A533" s="10"/>
      <c r="B533" s="8" t="str">
        <f>IFERROR(__xludf.DUMMYFUNCTION("""COMPUTED_VALUE"""),"")</f>
        <v/>
      </c>
      <c r="C533" s="8" t="str">
        <f>IFERROR(__xludf.DUMMYFUNCTION("""COMPUTED_VALUE"""),"")</f>
        <v/>
      </c>
      <c r="D533" s="8" t="str">
        <f>IFERROR(__xludf.DUMMYFUNCTION("""COMPUTED_VALUE"""),"")</f>
        <v/>
      </c>
      <c r="E533" s="8" t="str">
        <f>IFERROR(__xludf.DUMMYFUNCTION("""COMPUTED_VALUE"""),"")</f>
        <v/>
      </c>
      <c r="F533" s="8" t="str">
        <f>IFERROR(__xludf.DUMMYFUNCTION("""COMPUTED_VALUE"""),"")</f>
        <v/>
      </c>
      <c r="G533" s="8" t="str">
        <f>IFERROR(__xludf.DUMMYFUNCTION("""COMPUTED_VALUE"""),"")</f>
        <v/>
      </c>
      <c r="L533" s="8" t="s">
        <v>299</v>
      </c>
    </row>
    <row r="534">
      <c r="A534" s="10"/>
      <c r="B534" s="8" t="str">
        <f>IFERROR(__xludf.DUMMYFUNCTION("""COMPUTED_VALUE"""),"")</f>
        <v/>
      </c>
      <c r="C534" s="8" t="str">
        <f>IFERROR(__xludf.DUMMYFUNCTION("""COMPUTED_VALUE"""),"")</f>
        <v/>
      </c>
      <c r="D534" s="8" t="str">
        <f>IFERROR(__xludf.DUMMYFUNCTION("""COMPUTED_VALUE"""),"")</f>
        <v/>
      </c>
      <c r="E534" s="8" t="str">
        <f>IFERROR(__xludf.DUMMYFUNCTION("""COMPUTED_VALUE"""),"")</f>
        <v/>
      </c>
      <c r="F534" s="8" t="str">
        <f>IFERROR(__xludf.DUMMYFUNCTION("""COMPUTED_VALUE"""),"")</f>
        <v/>
      </c>
      <c r="G534" s="8" t="str">
        <f>IFERROR(__xludf.DUMMYFUNCTION("""COMPUTED_VALUE"""),"")</f>
        <v/>
      </c>
      <c r="L534" s="8" t="s">
        <v>299</v>
      </c>
    </row>
    <row r="535">
      <c r="A535" s="10"/>
      <c r="B535" s="8" t="str">
        <f>IFERROR(__xludf.DUMMYFUNCTION("""COMPUTED_VALUE"""),"")</f>
        <v/>
      </c>
      <c r="C535" s="8" t="str">
        <f>IFERROR(__xludf.DUMMYFUNCTION("""COMPUTED_VALUE"""),"")</f>
        <v/>
      </c>
      <c r="D535" s="8" t="str">
        <f>IFERROR(__xludf.DUMMYFUNCTION("""COMPUTED_VALUE"""),"")</f>
        <v/>
      </c>
      <c r="E535" s="8" t="str">
        <f>IFERROR(__xludf.DUMMYFUNCTION("""COMPUTED_VALUE"""),"")</f>
        <v/>
      </c>
      <c r="F535" s="8" t="str">
        <f>IFERROR(__xludf.DUMMYFUNCTION("""COMPUTED_VALUE"""),"")</f>
        <v/>
      </c>
      <c r="G535" s="8" t="str">
        <f>IFERROR(__xludf.DUMMYFUNCTION("""COMPUTED_VALUE"""),"")</f>
        <v/>
      </c>
      <c r="L535" s="8" t="s">
        <v>299</v>
      </c>
    </row>
    <row r="536">
      <c r="A536" s="10"/>
      <c r="B536" s="8" t="str">
        <f>IFERROR(__xludf.DUMMYFUNCTION("""COMPUTED_VALUE"""),"")</f>
        <v/>
      </c>
      <c r="C536" s="8" t="str">
        <f>IFERROR(__xludf.DUMMYFUNCTION("""COMPUTED_VALUE"""),"")</f>
        <v/>
      </c>
      <c r="D536" s="8" t="str">
        <f>IFERROR(__xludf.DUMMYFUNCTION("""COMPUTED_VALUE"""),"")</f>
        <v/>
      </c>
      <c r="E536" s="8" t="str">
        <f>IFERROR(__xludf.DUMMYFUNCTION("""COMPUTED_VALUE"""),"")</f>
        <v/>
      </c>
      <c r="F536" s="8" t="str">
        <f>IFERROR(__xludf.DUMMYFUNCTION("""COMPUTED_VALUE"""),"")</f>
        <v/>
      </c>
      <c r="G536" s="8" t="str">
        <f>IFERROR(__xludf.DUMMYFUNCTION("""COMPUTED_VALUE"""),"")</f>
        <v/>
      </c>
      <c r="L536" s="8" t="s">
        <v>299</v>
      </c>
    </row>
    <row r="537">
      <c r="A537" s="10"/>
      <c r="B537" s="8" t="str">
        <f>IFERROR(__xludf.DUMMYFUNCTION("""COMPUTED_VALUE"""),"")</f>
        <v/>
      </c>
      <c r="C537" s="8" t="str">
        <f>IFERROR(__xludf.DUMMYFUNCTION("""COMPUTED_VALUE"""),"")</f>
        <v/>
      </c>
      <c r="D537" s="8" t="str">
        <f>IFERROR(__xludf.DUMMYFUNCTION("""COMPUTED_VALUE"""),"")</f>
        <v/>
      </c>
      <c r="E537" s="8" t="str">
        <f>IFERROR(__xludf.DUMMYFUNCTION("""COMPUTED_VALUE"""),"")</f>
        <v/>
      </c>
      <c r="F537" s="8" t="str">
        <f>IFERROR(__xludf.DUMMYFUNCTION("""COMPUTED_VALUE"""),"")</f>
        <v/>
      </c>
      <c r="G537" s="8" t="str">
        <f>IFERROR(__xludf.DUMMYFUNCTION("""COMPUTED_VALUE"""),"")</f>
        <v/>
      </c>
      <c r="L537" s="8" t="s">
        <v>299</v>
      </c>
    </row>
    <row r="538">
      <c r="A538" s="10"/>
      <c r="B538" s="8" t="str">
        <f>IFERROR(__xludf.DUMMYFUNCTION("""COMPUTED_VALUE"""),"")</f>
        <v/>
      </c>
      <c r="C538" s="8" t="str">
        <f>IFERROR(__xludf.DUMMYFUNCTION("""COMPUTED_VALUE"""),"")</f>
        <v/>
      </c>
      <c r="D538" s="8" t="str">
        <f>IFERROR(__xludf.DUMMYFUNCTION("""COMPUTED_VALUE"""),"")</f>
        <v/>
      </c>
      <c r="E538" s="8" t="str">
        <f>IFERROR(__xludf.DUMMYFUNCTION("""COMPUTED_VALUE"""),"")</f>
        <v/>
      </c>
      <c r="F538" s="8" t="str">
        <f>IFERROR(__xludf.DUMMYFUNCTION("""COMPUTED_VALUE"""),"")</f>
        <v/>
      </c>
      <c r="G538" s="8" t="str">
        <f>IFERROR(__xludf.DUMMYFUNCTION("""COMPUTED_VALUE"""),"")</f>
        <v/>
      </c>
      <c r="L538" s="8" t="s">
        <v>299</v>
      </c>
    </row>
    <row r="539">
      <c r="A539" s="10"/>
      <c r="B539" s="8" t="str">
        <f>IFERROR(__xludf.DUMMYFUNCTION("""COMPUTED_VALUE"""),"")</f>
        <v/>
      </c>
      <c r="C539" s="8" t="str">
        <f>IFERROR(__xludf.DUMMYFUNCTION("""COMPUTED_VALUE"""),"")</f>
        <v/>
      </c>
      <c r="D539" s="8" t="str">
        <f>IFERROR(__xludf.DUMMYFUNCTION("""COMPUTED_VALUE"""),"")</f>
        <v/>
      </c>
      <c r="E539" s="8" t="str">
        <f>IFERROR(__xludf.DUMMYFUNCTION("""COMPUTED_VALUE"""),"")</f>
        <v/>
      </c>
      <c r="F539" s="8" t="str">
        <f>IFERROR(__xludf.DUMMYFUNCTION("""COMPUTED_VALUE"""),"")</f>
        <v/>
      </c>
      <c r="G539" s="8" t="str">
        <f>IFERROR(__xludf.DUMMYFUNCTION("""COMPUTED_VALUE"""),"")</f>
        <v/>
      </c>
      <c r="L539" s="8" t="s">
        <v>299</v>
      </c>
    </row>
    <row r="540">
      <c r="A540" s="10"/>
      <c r="B540" s="8" t="str">
        <f>IFERROR(__xludf.DUMMYFUNCTION("""COMPUTED_VALUE"""),"")</f>
        <v/>
      </c>
      <c r="C540" s="8" t="str">
        <f>IFERROR(__xludf.DUMMYFUNCTION("""COMPUTED_VALUE"""),"")</f>
        <v/>
      </c>
      <c r="D540" s="8" t="str">
        <f>IFERROR(__xludf.DUMMYFUNCTION("""COMPUTED_VALUE"""),"")</f>
        <v/>
      </c>
      <c r="E540" s="8" t="str">
        <f>IFERROR(__xludf.DUMMYFUNCTION("""COMPUTED_VALUE"""),"")</f>
        <v/>
      </c>
      <c r="F540" s="8" t="str">
        <f>IFERROR(__xludf.DUMMYFUNCTION("""COMPUTED_VALUE"""),"")</f>
        <v/>
      </c>
      <c r="G540" s="8" t="str">
        <f>IFERROR(__xludf.DUMMYFUNCTION("""COMPUTED_VALUE"""),"")</f>
        <v/>
      </c>
      <c r="L540" s="8" t="s">
        <v>299</v>
      </c>
    </row>
    <row r="541">
      <c r="A541" s="10"/>
      <c r="B541" s="8" t="str">
        <f>IFERROR(__xludf.DUMMYFUNCTION("""COMPUTED_VALUE"""),"")</f>
        <v/>
      </c>
      <c r="C541" s="8" t="str">
        <f>IFERROR(__xludf.DUMMYFUNCTION("""COMPUTED_VALUE"""),"")</f>
        <v/>
      </c>
      <c r="D541" s="8" t="str">
        <f>IFERROR(__xludf.DUMMYFUNCTION("""COMPUTED_VALUE"""),"")</f>
        <v/>
      </c>
      <c r="E541" s="8" t="str">
        <f>IFERROR(__xludf.DUMMYFUNCTION("""COMPUTED_VALUE"""),"")</f>
        <v/>
      </c>
      <c r="F541" s="8" t="str">
        <f>IFERROR(__xludf.DUMMYFUNCTION("""COMPUTED_VALUE"""),"")</f>
        <v/>
      </c>
      <c r="G541" s="8" t="str">
        <f>IFERROR(__xludf.DUMMYFUNCTION("""COMPUTED_VALUE"""),"")</f>
        <v/>
      </c>
      <c r="L541" s="8" t="s">
        <v>299</v>
      </c>
    </row>
    <row r="542">
      <c r="A542" s="10"/>
      <c r="B542" s="8" t="str">
        <f>IFERROR(__xludf.DUMMYFUNCTION("""COMPUTED_VALUE"""),"")</f>
        <v/>
      </c>
      <c r="C542" s="8" t="str">
        <f>IFERROR(__xludf.DUMMYFUNCTION("""COMPUTED_VALUE"""),"")</f>
        <v/>
      </c>
      <c r="D542" s="8" t="str">
        <f>IFERROR(__xludf.DUMMYFUNCTION("""COMPUTED_VALUE"""),"")</f>
        <v/>
      </c>
      <c r="E542" s="8" t="str">
        <f>IFERROR(__xludf.DUMMYFUNCTION("""COMPUTED_VALUE"""),"")</f>
        <v/>
      </c>
      <c r="F542" s="8" t="str">
        <f>IFERROR(__xludf.DUMMYFUNCTION("""COMPUTED_VALUE"""),"")</f>
        <v/>
      </c>
      <c r="G542" s="8" t="str">
        <f>IFERROR(__xludf.DUMMYFUNCTION("""COMPUTED_VALUE"""),"")</f>
        <v/>
      </c>
      <c r="L542" s="8" t="s">
        <v>299</v>
      </c>
    </row>
    <row r="543">
      <c r="A543" s="10"/>
      <c r="B543" s="8" t="str">
        <f>IFERROR(__xludf.DUMMYFUNCTION("""COMPUTED_VALUE"""),"")</f>
        <v/>
      </c>
      <c r="C543" s="8" t="str">
        <f>IFERROR(__xludf.DUMMYFUNCTION("""COMPUTED_VALUE"""),"")</f>
        <v/>
      </c>
      <c r="D543" s="8" t="str">
        <f>IFERROR(__xludf.DUMMYFUNCTION("""COMPUTED_VALUE"""),"")</f>
        <v/>
      </c>
      <c r="E543" s="8" t="str">
        <f>IFERROR(__xludf.DUMMYFUNCTION("""COMPUTED_VALUE"""),"")</f>
        <v/>
      </c>
      <c r="F543" s="8" t="str">
        <f>IFERROR(__xludf.DUMMYFUNCTION("""COMPUTED_VALUE"""),"")</f>
        <v/>
      </c>
      <c r="G543" s="8" t="str">
        <f>IFERROR(__xludf.DUMMYFUNCTION("""COMPUTED_VALUE"""),"")</f>
        <v/>
      </c>
      <c r="L543" s="8" t="s">
        <v>299</v>
      </c>
    </row>
    <row r="544">
      <c r="A544" s="10"/>
      <c r="B544" s="8" t="str">
        <f>IFERROR(__xludf.DUMMYFUNCTION("""COMPUTED_VALUE"""),"")</f>
        <v/>
      </c>
      <c r="C544" s="8" t="str">
        <f>IFERROR(__xludf.DUMMYFUNCTION("""COMPUTED_VALUE"""),"")</f>
        <v/>
      </c>
      <c r="D544" s="8" t="str">
        <f>IFERROR(__xludf.DUMMYFUNCTION("""COMPUTED_VALUE"""),"")</f>
        <v/>
      </c>
      <c r="E544" s="8" t="str">
        <f>IFERROR(__xludf.DUMMYFUNCTION("""COMPUTED_VALUE"""),"")</f>
        <v/>
      </c>
      <c r="F544" s="8" t="str">
        <f>IFERROR(__xludf.DUMMYFUNCTION("""COMPUTED_VALUE"""),"")</f>
        <v/>
      </c>
      <c r="G544" s="8" t="str">
        <f>IFERROR(__xludf.DUMMYFUNCTION("""COMPUTED_VALUE"""),"")</f>
        <v/>
      </c>
      <c r="L544" s="8" t="s">
        <v>299</v>
      </c>
    </row>
    <row r="545">
      <c r="A545" s="10"/>
      <c r="B545" s="8" t="str">
        <f>IFERROR(__xludf.DUMMYFUNCTION("""COMPUTED_VALUE"""),"")</f>
        <v/>
      </c>
      <c r="C545" s="8" t="str">
        <f>IFERROR(__xludf.DUMMYFUNCTION("""COMPUTED_VALUE"""),"")</f>
        <v/>
      </c>
      <c r="D545" s="8" t="str">
        <f>IFERROR(__xludf.DUMMYFUNCTION("""COMPUTED_VALUE"""),"")</f>
        <v/>
      </c>
      <c r="E545" s="8" t="str">
        <f>IFERROR(__xludf.DUMMYFUNCTION("""COMPUTED_VALUE"""),"")</f>
        <v/>
      </c>
      <c r="F545" s="8" t="str">
        <f>IFERROR(__xludf.DUMMYFUNCTION("""COMPUTED_VALUE"""),"")</f>
        <v/>
      </c>
      <c r="G545" s="8" t="str">
        <f>IFERROR(__xludf.DUMMYFUNCTION("""COMPUTED_VALUE"""),"")</f>
        <v/>
      </c>
      <c r="L545" s="8" t="s">
        <v>299</v>
      </c>
    </row>
    <row r="546">
      <c r="A546" s="10"/>
      <c r="B546" s="8" t="str">
        <f>IFERROR(__xludf.DUMMYFUNCTION("""COMPUTED_VALUE"""),"")</f>
        <v/>
      </c>
      <c r="C546" s="8" t="str">
        <f>IFERROR(__xludf.DUMMYFUNCTION("""COMPUTED_VALUE"""),"")</f>
        <v/>
      </c>
      <c r="D546" s="8" t="str">
        <f>IFERROR(__xludf.DUMMYFUNCTION("""COMPUTED_VALUE"""),"")</f>
        <v/>
      </c>
      <c r="E546" s="8" t="str">
        <f>IFERROR(__xludf.DUMMYFUNCTION("""COMPUTED_VALUE"""),"")</f>
        <v/>
      </c>
      <c r="F546" s="8" t="str">
        <f>IFERROR(__xludf.DUMMYFUNCTION("""COMPUTED_VALUE"""),"")</f>
        <v/>
      </c>
      <c r="G546" s="8" t="str">
        <f>IFERROR(__xludf.DUMMYFUNCTION("""COMPUTED_VALUE"""),"")</f>
        <v/>
      </c>
      <c r="L546" s="8" t="s">
        <v>299</v>
      </c>
    </row>
    <row r="547">
      <c r="A547" s="10"/>
      <c r="B547" s="8" t="str">
        <f>IFERROR(__xludf.DUMMYFUNCTION("""COMPUTED_VALUE"""),"")</f>
        <v/>
      </c>
      <c r="C547" s="8" t="str">
        <f>IFERROR(__xludf.DUMMYFUNCTION("""COMPUTED_VALUE"""),"")</f>
        <v/>
      </c>
      <c r="D547" s="8" t="str">
        <f>IFERROR(__xludf.DUMMYFUNCTION("""COMPUTED_VALUE"""),"")</f>
        <v/>
      </c>
      <c r="E547" s="8" t="str">
        <f>IFERROR(__xludf.DUMMYFUNCTION("""COMPUTED_VALUE"""),"")</f>
        <v/>
      </c>
      <c r="F547" s="8" t="str">
        <f>IFERROR(__xludf.DUMMYFUNCTION("""COMPUTED_VALUE"""),"")</f>
        <v/>
      </c>
      <c r="G547" s="8" t="str">
        <f>IFERROR(__xludf.DUMMYFUNCTION("""COMPUTED_VALUE"""),"")</f>
        <v/>
      </c>
      <c r="L547" s="8" t="s">
        <v>299</v>
      </c>
    </row>
    <row r="548">
      <c r="A548" s="10"/>
      <c r="B548" s="8" t="str">
        <f>IFERROR(__xludf.DUMMYFUNCTION("""COMPUTED_VALUE"""),"")</f>
        <v/>
      </c>
      <c r="C548" s="8" t="str">
        <f>IFERROR(__xludf.DUMMYFUNCTION("""COMPUTED_VALUE"""),"")</f>
        <v/>
      </c>
      <c r="D548" s="8" t="str">
        <f>IFERROR(__xludf.DUMMYFUNCTION("""COMPUTED_VALUE"""),"")</f>
        <v/>
      </c>
      <c r="E548" s="8" t="str">
        <f>IFERROR(__xludf.DUMMYFUNCTION("""COMPUTED_VALUE"""),"")</f>
        <v/>
      </c>
      <c r="F548" s="8" t="str">
        <f>IFERROR(__xludf.DUMMYFUNCTION("""COMPUTED_VALUE"""),"")</f>
        <v/>
      </c>
      <c r="G548" s="8" t="str">
        <f>IFERROR(__xludf.DUMMYFUNCTION("""COMPUTED_VALUE"""),"")</f>
        <v/>
      </c>
      <c r="L548" s="8" t="s">
        <v>299</v>
      </c>
    </row>
    <row r="549">
      <c r="A549" s="10"/>
      <c r="B549" s="8" t="str">
        <f>IFERROR(__xludf.DUMMYFUNCTION("""COMPUTED_VALUE"""),"")</f>
        <v/>
      </c>
      <c r="C549" s="8" t="str">
        <f>IFERROR(__xludf.DUMMYFUNCTION("""COMPUTED_VALUE"""),"")</f>
        <v/>
      </c>
      <c r="D549" s="8" t="str">
        <f>IFERROR(__xludf.DUMMYFUNCTION("""COMPUTED_VALUE"""),"")</f>
        <v/>
      </c>
      <c r="E549" s="8" t="str">
        <f>IFERROR(__xludf.DUMMYFUNCTION("""COMPUTED_VALUE"""),"")</f>
        <v/>
      </c>
      <c r="F549" s="8" t="str">
        <f>IFERROR(__xludf.DUMMYFUNCTION("""COMPUTED_VALUE"""),"")</f>
        <v/>
      </c>
      <c r="G549" s="8" t="str">
        <f>IFERROR(__xludf.DUMMYFUNCTION("""COMPUTED_VALUE"""),"")</f>
        <v/>
      </c>
      <c r="L549" s="8" t="s">
        <v>299</v>
      </c>
    </row>
    <row r="550">
      <c r="A550" s="10"/>
      <c r="B550" s="8" t="str">
        <f>IFERROR(__xludf.DUMMYFUNCTION("""COMPUTED_VALUE"""),"")</f>
        <v/>
      </c>
      <c r="C550" s="8" t="str">
        <f>IFERROR(__xludf.DUMMYFUNCTION("""COMPUTED_VALUE"""),"")</f>
        <v/>
      </c>
      <c r="D550" s="8" t="str">
        <f>IFERROR(__xludf.DUMMYFUNCTION("""COMPUTED_VALUE"""),"")</f>
        <v/>
      </c>
      <c r="E550" s="8" t="str">
        <f>IFERROR(__xludf.DUMMYFUNCTION("""COMPUTED_VALUE"""),"")</f>
        <v/>
      </c>
      <c r="F550" s="8" t="str">
        <f>IFERROR(__xludf.DUMMYFUNCTION("""COMPUTED_VALUE"""),"")</f>
        <v/>
      </c>
      <c r="G550" s="8" t="str">
        <f>IFERROR(__xludf.DUMMYFUNCTION("""COMPUTED_VALUE"""),"")</f>
        <v/>
      </c>
      <c r="L550" s="8" t="s">
        <v>299</v>
      </c>
    </row>
    <row r="551">
      <c r="A551" s="10"/>
      <c r="B551" s="8" t="str">
        <f>IFERROR(__xludf.DUMMYFUNCTION("""COMPUTED_VALUE"""),"")</f>
        <v/>
      </c>
      <c r="C551" s="8" t="str">
        <f>IFERROR(__xludf.DUMMYFUNCTION("""COMPUTED_VALUE"""),"")</f>
        <v/>
      </c>
      <c r="D551" s="8" t="str">
        <f>IFERROR(__xludf.DUMMYFUNCTION("""COMPUTED_VALUE"""),"")</f>
        <v/>
      </c>
      <c r="E551" s="8" t="str">
        <f>IFERROR(__xludf.DUMMYFUNCTION("""COMPUTED_VALUE"""),"")</f>
        <v/>
      </c>
      <c r="F551" s="8" t="str">
        <f>IFERROR(__xludf.DUMMYFUNCTION("""COMPUTED_VALUE"""),"")</f>
        <v/>
      </c>
      <c r="G551" s="8" t="str">
        <f>IFERROR(__xludf.DUMMYFUNCTION("""COMPUTED_VALUE"""),"")</f>
        <v/>
      </c>
      <c r="L551" s="8" t="s">
        <v>299</v>
      </c>
    </row>
    <row r="552">
      <c r="A552" s="10"/>
      <c r="B552" s="8" t="str">
        <f>IFERROR(__xludf.DUMMYFUNCTION("""COMPUTED_VALUE"""),"")</f>
        <v/>
      </c>
      <c r="C552" s="8" t="str">
        <f>IFERROR(__xludf.DUMMYFUNCTION("""COMPUTED_VALUE"""),"")</f>
        <v/>
      </c>
      <c r="D552" s="8" t="str">
        <f>IFERROR(__xludf.DUMMYFUNCTION("""COMPUTED_VALUE"""),"")</f>
        <v/>
      </c>
      <c r="E552" s="8" t="str">
        <f>IFERROR(__xludf.DUMMYFUNCTION("""COMPUTED_VALUE"""),"")</f>
        <v/>
      </c>
      <c r="F552" s="8" t="str">
        <f>IFERROR(__xludf.DUMMYFUNCTION("""COMPUTED_VALUE"""),"")</f>
        <v/>
      </c>
      <c r="G552" s="8" t="str">
        <f>IFERROR(__xludf.DUMMYFUNCTION("""COMPUTED_VALUE"""),"")</f>
        <v/>
      </c>
      <c r="L552" s="8" t="s">
        <v>299</v>
      </c>
    </row>
    <row r="553">
      <c r="A553" s="10"/>
      <c r="B553" s="8" t="str">
        <f>IFERROR(__xludf.DUMMYFUNCTION("""COMPUTED_VALUE"""),"")</f>
        <v/>
      </c>
      <c r="C553" s="8" t="str">
        <f>IFERROR(__xludf.DUMMYFUNCTION("""COMPUTED_VALUE"""),"")</f>
        <v/>
      </c>
      <c r="D553" s="8" t="str">
        <f>IFERROR(__xludf.DUMMYFUNCTION("""COMPUTED_VALUE"""),"")</f>
        <v/>
      </c>
      <c r="E553" s="8" t="str">
        <f>IFERROR(__xludf.DUMMYFUNCTION("""COMPUTED_VALUE"""),"")</f>
        <v/>
      </c>
      <c r="F553" s="8" t="str">
        <f>IFERROR(__xludf.DUMMYFUNCTION("""COMPUTED_VALUE"""),"")</f>
        <v/>
      </c>
      <c r="G553" s="8" t="str">
        <f>IFERROR(__xludf.DUMMYFUNCTION("""COMPUTED_VALUE"""),"")</f>
        <v/>
      </c>
      <c r="L553" s="8" t="s">
        <v>299</v>
      </c>
    </row>
    <row r="554">
      <c r="A554" s="10"/>
      <c r="B554" s="8" t="str">
        <f>IFERROR(__xludf.DUMMYFUNCTION("""COMPUTED_VALUE"""),"")</f>
        <v/>
      </c>
      <c r="C554" s="8" t="str">
        <f>IFERROR(__xludf.DUMMYFUNCTION("""COMPUTED_VALUE"""),"")</f>
        <v/>
      </c>
      <c r="D554" s="8" t="str">
        <f>IFERROR(__xludf.DUMMYFUNCTION("""COMPUTED_VALUE"""),"")</f>
        <v/>
      </c>
      <c r="E554" s="8" t="str">
        <f>IFERROR(__xludf.DUMMYFUNCTION("""COMPUTED_VALUE"""),"")</f>
        <v/>
      </c>
      <c r="F554" s="8" t="str">
        <f>IFERROR(__xludf.DUMMYFUNCTION("""COMPUTED_VALUE"""),"")</f>
        <v/>
      </c>
      <c r="G554" s="8" t="str">
        <f>IFERROR(__xludf.DUMMYFUNCTION("""COMPUTED_VALUE"""),"")</f>
        <v/>
      </c>
      <c r="L554" s="8" t="s">
        <v>299</v>
      </c>
    </row>
    <row r="555">
      <c r="A555" s="10"/>
      <c r="B555" s="8" t="str">
        <f>IFERROR(__xludf.DUMMYFUNCTION("""COMPUTED_VALUE"""),"")</f>
        <v/>
      </c>
      <c r="C555" s="8" t="str">
        <f>IFERROR(__xludf.DUMMYFUNCTION("""COMPUTED_VALUE"""),"")</f>
        <v/>
      </c>
      <c r="D555" s="8" t="str">
        <f>IFERROR(__xludf.DUMMYFUNCTION("""COMPUTED_VALUE"""),"")</f>
        <v/>
      </c>
      <c r="E555" s="8" t="str">
        <f>IFERROR(__xludf.DUMMYFUNCTION("""COMPUTED_VALUE"""),"")</f>
        <v/>
      </c>
      <c r="F555" s="8" t="str">
        <f>IFERROR(__xludf.DUMMYFUNCTION("""COMPUTED_VALUE"""),"")</f>
        <v/>
      </c>
      <c r="G555" s="8" t="str">
        <f>IFERROR(__xludf.DUMMYFUNCTION("""COMPUTED_VALUE"""),"")</f>
        <v/>
      </c>
      <c r="L555" s="8" t="s">
        <v>299</v>
      </c>
    </row>
    <row r="556">
      <c r="A556" s="10"/>
      <c r="B556" s="8" t="str">
        <f>IFERROR(__xludf.DUMMYFUNCTION("""COMPUTED_VALUE"""),"")</f>
        <v/>
      </c>
      <c r="C556" s="8" t="str">
        <f>IFERROR(__xludf.DUMMYFUNCTION("""COMPUTED_VALUE"""),"")</f>
        <v/>
      </c>
      <c r="D556" s="8" t="str">
        <f>IFERROR(__xludf.DUMMYFUNCTION("""COMPUTED_VALUE"""),"")</f>
        <v/>
      </c>
      <c r="E556" s="8" t="str">
        <f>IFERROR(__xludf.DUMMYFUNCTION("""COMPUTED_VALUE"""),"")</f>
        <v/>
      </c>
      <c r="F556" s="8" t="str">
        <f>IFERROR(__xludf.DUMMYFUNCTION("""COMPUTED_VALUE"""),"")</f>
        <v/>
      </c>
      <c r="G556" s="8" t="str">
        <f>IFERROR(__xludf.DUMMYFUNCTION("""COMPUTED_VALUE"""),"")</f>
        <v/>
      </c>
      <c r="L556" s="8" t="s">
        <v>299</v>
      </c>
    </row>
    <row r="557">
      <c r="A557" s="10"/>
      <c r="B557" s="8" t="str">
        <f>IFERROR(__xludf.DUMMYFUNCTION("""COMPUTED_VALUE"""),"")</f>
        <v/>
      </c>
      <c r="C557" s="8" t="str">
        <f>IFERROR(__xludf.DUMMYFUNCTION("""COMPUTED_VALUE"""),"")</f>
        <v/>
      </c>
      <c r="D557" s="8" t="str">
        <f>IFERROR(__xludf.DUMMYFUNCTION("""COMPUTED_VALUE"""),"")</f>
        <v/>
      </c>
      <c r="E557" s="8" t="str">
        <f>IFERROR(__xludf.DUMMYFUNCTION("""COMPUTED_VALUE"""),"")</f>
        <v/>
      </c>
      <c r="F557" s="8" t="str">
        <f>IFERROR(__xludf.DUMMYFUNCTION("""COMPUTED_VALUE"""),"")</f>
        <v/>
      </c>
      <c r="G557" s="8" t="str">
        <f>IFERROR(__xludf.DUMMYFUNCTION("""COMPUTED_VALUE"""),"")</f>
        <v/>
      </c>
      <c r="L557" s="8" t="s">
        <v>299</v>
      </c>
    </row>
    <row r="558">
      <c r="A558" s="10"/>
      <c r="B558" s="8" t="str">
        <f>IFERROR(__xludf.DUMMYFUNCTION("""COMPUTED_VALUE"""),"")</f>
        <v/>
      </c>
      <c r="C558" s="8" t="str">
        <f>IFERROR(__xludf.DUMMYFUNCTION("""COMPUTED_VALUE"""),"")</f>
        <v/>
      </c>
      <c r="D558" s="8" t="str">
        <f>IFERROR(__xludf.DUMMYFUNCTION("""COMPUTED_VALUE"""),"")</f>
        <v/>
      </c>
      <c r="E558" s="8" t="str">
        <f>IFERROR(__xludf.DUMMYFUNCTION("""COMPUTED_VALUE"""),"")</f>
        <v/>
      </c>
      <c r="F558" s="8" t="str">
        <f>IFERROR(__xludf.DUMMYFUNCTION("""COMPUTED_VALUE"""),"")</f>
        <v/>
      </c>
      <c r="G558" s="8" t="str">
        <f>IFERROR(__xludf.DUMMYFUNCTION("""COMPUTED_VALUE"""),"")</f>
        <v/>
      </c>
      <c r="L558" s="8" t="s">
        <v>299</v>
      </c>
    </row>
    <row r="559">
      <c r="A559" s="10"/>
      <c r="B559" s="8" t="str">
        <f>IFERROR(__xludf.DUMMYFUNCTION("""COMPUTED_VALUE"""),"")</f>
        <v/>
      </c>
      <c r="C559" s="8" t="str">
        <f>IFERROR(__xludf.DUMMYFUNCTION("""COMPUTED_VALUE"""),"")</f>
        <v/>
      </c>
      <c r="D559" s="8" t="str">
        <f>IFERROR(__xludf.DUMMYFUNCTION("""COMPUTED_VALUE"""),"")</f>
        <v/>
      </c>
      <c r="E559" s="8" t="str">
        <f>IFERROR(__xludf.DUMMYFUNCTION("""COMPUTED_VALUE"""),"")</f>
        <v/>
      </c>
      <c r="F559" s="8" t="str">
        <f>IFERROR(__xludf.DUMMYFUNCTION("""COMPUTED_VALUE"""),"")</f>
        <v/>
      </c>
      <c r="G559" s="8" t="str">
        <f>IFERROR(__xludf.DUMMYFUNCTION("""COMPUTED_VALUE"""),"")</f>
        <v/>
      </c>
      <c r="L559" s="8" t="s">
        <v>299</v>
      </c>
    </row>
    <row r="560">
      <c r="A560" s="10"/>
      <c r="B560" s="8" t="str">
        <f>IFERROR(__xludf.DUMMYFUNCTION("""COMPUTED_VALUE"""),"")</f>
        <v/>
      </c>
      <c r="C560" s="8" t="str">
        <f>IFERROR(__xludf.DUMMYFUNCTION("""COMPUTED_VALUE"""),"")</f>
        <v/>
      </c>
      <c r="D560" s="8" t="str">
        <f>IFERROR(__xludf.DUMMYFUNCTION("""COMPUTED_VALUE"""),"")</f>
        <v/>
      </c>
      <c r="E560" s="8" t="str">
        <f>IFERROR(__xludf.DUMMYFUNCTION("""COMPUTED_VALUE"""),"")</f>
        <v/>
      </c>
      <c r="F560" s="8" t="str">
        <f>IFERROR(__xludf.DUMMYFUNCTION("""COMPUTED_VALUE"""),"")</f>
        <v/>
      </c>
      <c r="G560" s="8" t="str">
        <f>IFERROR(__xludf.DUMMYFUNCTION("""COMPUTED_VALUE"""),"")</f>
        <v/>
      </c>
      <c r="L560" s="8" t="s">
        <v>299</v>
      </c>
    </row>
    <row r="561">
      <c r="A561" s="10"/>
      <c r="B561" s="8" t="str">
        <f>IFERROR(__xludf.DUMMYFUNCTION("""COMPUTED_VALUE"""),"")</f>
        <v/>
      </c>
      <c r="C561" s="8" t="str">
        <f>IFERROR(__xludf.DUMMYFUNCTION("""COMPUTED_VALUE"""),"")</f>
        <v/>
      </c>
      <c r="D561" s="8" t="str">
        <f>IFERROR(__xludf.DUMMYFUNCTION("""COMPUTED_VALUE"""),"")</f>
        <v/>
      </c>
      <c r="E561" s="8" t="str">
        <f>IFERROR(__xludf.DUMMYFUNCTION("""COMPUTED_VALUE"""),"")</f>
        <v/>
      </c>
      <c r="F561" s="8" t="str">
        <f>IFERROR(__xludf.DUMMYFUNCTION("""COMPUTED_VALUE"""),"")</f>
        <v/>
      </c>
      <c r="G561" s="8" t="str">
        <f>IFERROR(__xludf.DUMMYFUNCTION("""COMPUTED_VALUE"""),"")</f>
        <v/>
      </c>
      <c r="L561" s="8" t="s">
        <v>299</v>
      </c>
    </row>
    <row r="562">
      <c r="A562" s="10"/>
      <c r="B562" s="8" t="str">
        <f>IFERROR(__xludf.DUMMYFUNCTION("""COMPUTED_VALUE"""),"")</f>
        <v/>
      </c>
      <c r="C562" s="8" t="str">
        <f>IFERROR(__xludf.DUMMYFUNCTION("""COMPUTED_VALUE"""),"")</f>
        <v/>
      </c>
      <c r="D562" s="8" t="str">
        <f>IFERROR(__xludf.DUMMYFUNCTION("""COMPUTED_VALUE"""),"")</f>
        <v/>
      </c>
      <c r="E562" s="8" t="str">
        <f>IFERROR(__xludf.DUMMYFUNCTION("""COMPUTED_VALUE"""),"")</f>
        <v/>
      </c>
      <c r="F562" s="8" t="str">
        <f>IFERROR(__xludf.DUMMYFUNCTION("""COMPUTED_VALUE"""),"")</f>
        <v/>
      </c>
      <c r="G562" s="8" t="str">
        <f>IFERROR(__xludf.DUMMYFUNCTION("""COMPUTED_VALUE"""),"")</f>
        <v/>
      </c>
      <c r="L562" s="8" t="s">
        <v>299</v>
      </c>
    </row>
    <row r="563">
      <c r="A563" s="10"/>
      <c r="B563" s="8" t="str">
        <f>IFERROR(__xludf.DUMMYFUNCTION("""COMPUTED_VALUE"""),"")</f>
        <v/>
      </c>
      <c r="C563" s="8" t="str">
        <f>IFERROR(__xludf.DUMMYFUNCTION("""COMPUTED_VALUE"""),"")</f>
        <v/>
      </c>
      <c r="D563" s="8" t="str">
        <f>IFERROR(__xludf.DUMMYFUNCTION("""COMPUTED_VALUE"""),"")</f>
        <v/>
      </c>
      <c r="E563" s="8" t="str">
        <f>IFERROR(__xludf.DUMMYFUNCTION("""COMPUTED_VALUE"""),"")</f>
        <v/>
      </c>
      <c r="F563" s="8" t="str">
        <f>IFERROR(__xludf.DUMMYFUNCTION("""COMPUTED_VALUE"""),"")</f>
        <v/>
      </c>
      <c r="G563" s="8" t="str">
        <f>IFERROR(__xludf.DUMMYFUNCTION("""COMPUTED_VALUE"""),"")</f>
        <v/>
      </c>
      <c r="L563" s="8" t="s">
        <v>299</v>
      </c>
    </row>
    <row r="564">
      <c r="A564" s="10"/>
      <c r="B564" s="8" t="str">
        <f>IFERROR(__xludf.DUMMYFUNCTION("""COMPUTED_VALUE"""),"")</f>
        <v/>
      </c>
      <c r="C564" s="8" t="str">
        <f>IFERROR(__xludf.DUMMYFUNCTION("""COMPUTED_VALUE"""),"")</f>
        <v/>
      </c>
      <c r="D564" s="8" t="str">
        <f>IFERROR(__xludf.DUMMYFUNCTION("""COMPUTED_VALUE"""),"")</f>
        <v/>
      </c>
      <c r="E564" s="8" t="str">
        <f>IFERROR(__xludf.DUMMYFUNCTION("""COMPUTED_VALUE"""),"")</f>
        <v/>
      </c>
      <c r="F564" s="8" t="str">
        <f>IFERROR(__xludf.DUMMYFUNCTION("""COMPUTED_VALUE"""),"")</f>
        <v/>
      </c>
      <c r="G564" s="8" t="str">
        <f>IFERROR(__xludf.DUMMYFUNCTION("""COMPUTED_VALUE"""),"")</f>
        <v/>
      </c>
      <c r="L564" s="8" t="s">
        <v>299</v>
      </c>
    </row>
    <row r="565">
      <c r="A565" s="10"/>
      <c r="B565" s="8" t="str">
        <f>IFERROR(__xludf.DUMMYFUNCTION("""COMPUTED_VALUE"""),"")</f>
        <v/>
      </c>
      <c r="C565" s="8" t="str">
        <f>IFERROR(__xludf.DUMMYFUNCTION("""COMPUTED_VALUE"""),"")</f>
        <v/>
      </c>
      <c r="D565" s="8" t="str">
        <f>IFERROR(__xludf.DUMMYFUNCTION("""COMPUTED_VALUE"""),"")</f>
        <v/>
      </c>
      <c r="E565" s="8" t="str">
        <f>IFERROR(__xludf.DUMMYFUNCTION("""COMPUTED_VALUE"""),"")</f>
        <v/>
      </c>
      <c r="F565" s="8" t="str">
        <f>IFERROR(__xludf.DUMMYFUNCTION("""COMPUTED_VALUE"""),"")</f>
        <v/>
      </c>
      <c r="G565" s="8" t="str">
        <f>IFERROR(__xludf.DUMMYFUNCTION("""COMPUTED_VALUE"""),"")</f>
        <v/>
      </c>
      <c r="L565" s="8" t="s">
        <v>299</v>
      </c>
    </row>
    <row r="566">
      <c r="A566" s="10"/>
      <c r="B566" s="8" t="str">
        <f>IFERROR(__xludf.DUMMYFUNCTION("""COMPUTED_VALUE"""),"")</f>
        <v/>
      </c>
      <c r="C566" s="8" t="str">
        <f>IFERROR(__xludf.DUMMYFUNCTION("""COMPUTED_VALUE"""),"")</f>
        <v/>
      </c>
      <c r="D566" s="8" t="str">
        <f>IFERROR(__xludf.DUMMYFUNCTION("""COMPUTED_VALUE"""),"")</f>
        <v/>
      </c>
      <c r="E566" s="8" t="str">
        <f>IFERROR(__xludf.DUMMYFUNCTION("""COMPUTED_VALUE"""),"")</f>
        <v/>
      </c>
      <c r="F566" s="8" t="str">
        <f>IFERROR(__xludf.DUMMYFUNCTION("""COMPUTED_VALUE"""),"")</f>
        <v/>
      </c>
      <c r="G566" s="8" t="str">
        <f>IFERROR(__xludf.DUMMYFUNCTION("""COMPUTED_VALUE"""),"")</f>
        <v/>
      </c>
      <c r="L566" s="8" t="s">
        <v>299</v>
      </c>
    </row>
    <row r="567">
      <c r="A567" s="10"/>
      <c r="B567" s="8" t="str">
        <f>IFERROR(__xludf.DUMMYFUNCTION("""COMPUTED_VALUE"""),"")</f>
        <v/>
      </c>
      <c r="C567" s="8" t="str">
        <f>IFERROR(__xludf.DUMMYFUNCTION("""COMPUTED_VALUE"""),"")</f>
        <v/>
      </c>
      <c r="D567" s="8" t="str">
        <f>IFERROR(__xludf.DUMMYFUNCTION("""COMPUTED_VALUE"""),"")</f>
        <v/>
      </c>
      <c r="E567" s="8" t="str">
        <f>IFERROR(__xludf.DUMMYFUNCTION("""COMPUTED_VALUE"""),"")</f>
        <v/>
      </c>
      <c r="F567" s="8" t="str">
        <f>IFERROR(__xludf.DUMMYFUNCTION("""COMPUTED_VALUE"""),"")</f>
        <v/>
      </c>
      <c r="G567" s="8" t="str">
        <f>IFERROR(__xludf.DUMMYFUNCTION("""COMPUTED_VALUE"""),"")</f>
        <v/>
      </c>
      <c r="L567" s="8" t="s">
        <v>299</v>
      </c>
    </row>
    <row r="568">
      <c r="A568" s="10"/>
      <c r="B568" s="8" t="str">
        <f>IFERROR(__xludf.DUMMYFUNCTION("""COMPUTED_VALUE"""),"")</f>
        <v/>
      </c>
      <c r="C568" s="8" t="str">
        <f>IFERROR(__xludf.DUMMYFUNCTION("""COMPUTED_VALUE"""),"")</f>
        <v/>
      </c>
      <c r="D568" s="8" t="str">
        <f>IFERROR(__xludf.DUMMYFUNCTION("""COMPUTED_VALUE"""),"")</f>
        <v/>
      </c>
      <c r="E568" s="8" t="str">
        <f>IFERROR(__xludf.DUMMYFUNCTION("""COMPUTED_VALUE"""),"")</f>
        <v/>
      </c>
      <c r="F568" s="8" t="str">
        <f>IFERROR(__xludf.DUMMYFUNCTION("""COMPUTED_VALUE"""),"")</f>
        <v/>
      </c>
      <c r="G568" s="8" t="str">
        <f>IFERROR(__xludf.DUMMYFUNCTION("""COMPUTED_VALUE"""),"")</f>
        <v/>
      </c>
      <c r="L568" s="8" t="s">
        <v>299</v>
      </c>
    </row>
    <row r="569">
      <c r="A569" s="10"/>
      <c r="B569" s="8" t="str">
        <f>IFERROR(__xludf.DUMMYFUNCTION("""COMPUTED_VALUE"""),"")</f>
        <v/>
      </c>
      <c r="C569" s="8" t="str">
        <f>IFERROR(__xludf.DUMMYFUNCTION("""COMPUTED_VALUE"""),"")</f>
        <v/>
      </c>
      <c r="D569" s="8" t="str">
        <f>IFERROR(__xludf.DUMMYFUNCTION("""COMPUTED_VALUE"""),"")</f>
        <v/>
      </c>
      <c r="E569" s="8" t="str">
        <f>IFERROR(__xludf.DUMMYFUNCTION("""COMPUTED_VALUE"""),"")</f>
        <v/>
      </c>
      <c r="F569" s="8" t="str">
        <f>IFERROR(__xludf.DUMMYFUNCTION("""COMPUTED_VALUE"""),"")</f>
        <v/>
      </c>
      <c r="G569" s="8" t="str">
        <f>IFERROR(__xludf.DUMMYFUNCTION("""COMPUTED_VALUE"""),"")</f>
        <v/>
      </c>
      <c r="L569" s="8" t="s">
        <v>299</v>
      </c>
    </row>
    <row r="570">
      <c r="A570" s="10"/>
      <c r="B570" s="8" t="str">
        <f>IFERROR(__xludf.DUMMYFUNCTION("""COMPUTED_VALUE"""),"")</f>
        <v/>
      </c>
      <c r="C570" s="8" t="str">
        <f>IFERROR(__xludf.DUMMYFUNCTION("""COMPUTED_VALUE"""),"")</f>
        <v/>
      </c>
      <c r="D570" s="8" t="str">
        <f>IFERROR(__xludf.DUMMYFUNCTION("""COMPUTED_VALUE"""),"")</f>
        <v/>
      </c>
      <c r="E570" s="8" t="str">
        <f>IFERROR(__xludf.DUMMYFUNCTION("""COMPUTED_VALUE"""),"")</f>
        <v/>
      </c>
      <c r="F570" s="8" t="str">
        <f>IFERROR(__xludf.DUMMYFUNCTION("""COMPUTED_VALUE"""),"")</f>
        <v/>
      </c>
      <c r="G570" s="8" t="str">
        <f>IFERROR(__xludf.DUMMYFUNCTION("""COMPUTED_VALUE"""),"")</f>
        <v/>
      </c>
      <c r="L570" s="8" t="s">
        <v>299</v>
      </c>
    </row>
    <row r="571">
      <c r="A571" s="10"/>
      <c r="B571" s="8" t="str">
        <f>IFERROR(__xludf.DUMMYFUNCTION("""COMPUTED_VALUE"""),"")</f>
        <v/>
      </c>
      <c r="C571" s="8" t="str">
        <f>IFERROR(__xludf.DUMMYFUNCTION("""COMPUTED_VALUE"""),"")</f>
        <v/>
      </c>
      <c r="D571" s="8" t="str">
        <f>IFERROR(__xludf.DUMMYFUNCTION("""COMPUTED_VALUE"""),"")</f>
        <v/>
      </c>
      <c r="E571" s="8" t="str">
        <f>IFERROR(__xludf.DUMMYFUNCTION("""COMPUTED_VALUE"""),"")</f>
        <v/>
      </c>
      <c r="F571" s="8" t="str">
        <f>IFERROR(__xludf.DUMMYFUNCTION("""COMPUTED_VALUE"""),"")</f>
        <v/>
      </c>
      <c r="G571" s="8" t="str">
        <f>IFERROR(__xludf.DUMMYFUNCTION("""COMPUTED_VALUE"""),"")</f>
        <v/>
      </c>
      <c r="L571" s="8" t="s">
        <v>299</v>
      </c>
    </row>
    <row r="572">
      <c r="A572" s="10"/>
      <c r="B572" s="8" t="str">
        <f>IFERROR(__xludf.DUMMYFUNCTION("""COMPUTED_VALUE"""),"")</f>
        <v/>
      </c>
      <c r="C572" s="8" t="str">
        <f>IFERROR(__xludf.DUMMYFUNCTION("""COMPUTED_VALUE"""),"")</f>
        <v/>
      </c>
      <c r="D572" s="8" t="str">
        <f>IFERROR(__xludf.DUMMYFUNCTION("""COMPUTED_VALUE"""),"")</f>
        <v/>
      </c>
      <c r="E572" s="8" t="str">
        <f>IFERROR(__xludf.DUMMYFUNCTION("""COMPUTED_VALUE"""),"")</f>
        <v/>
      </c>
      <c r="F572" s="8" t="str">
        <f>IFERROR(__xludf.DUMMYFUNCTION("""COMPUTED_VALUE"""),"")</f>
        <v/>
      </c>
      <c r="G572" s="8" t="str">
        <f>IFERROR(__xludf.DUMMYFUNCTION("""COMPUTED_VALUE"""),"")</f>
        <v/>
      </c>
      <c r="L572" s="8" t="s">
        <v>299</v>
      </c>
    </row>
    <row r="573">
      <c r="A573" s="10"/>
      <c r="B573" s="8" t="str">
        <f>IFERROR(__xludf.DUMMYFUNCTION("""COMPUTED_VALUE"""),"")</f>
        <v/>
      </c>
      <c r="C573" s="8" t="str">
        <f>IFERROR(__xludf.DUMMYFUNCTION("""COMPUTED_VALUE"""),"")</f>
        <v/>
      </c>
      <c r="D573" s="8" t="str">
        <f>IFERROR(__xludf.DUMMYFUNCTION("""COMPUTED_VALUE"""),"")</f>
        <v/>
      </c>
      <c r="E573" s="8" t="str">
        <f>IFERROR(__xludf.DUMMYFUNCTION("""COMPUTED_VALUE"""),"")</f>
        <v/>
      </c>
      <c r="F573" s="8" t="str">
        <f>IFERROR(__xludf.DUMMYFUNCTION("""COMPUTED_VALUE"""),"")</f>
        <v/>
      </c>
      <c r="G573" s="8" t="str">
        <f>IFERROR(__xludf.DUMMYFUNCTION("""COMPUTED_VALUE"""),"")</f>
        <v/>
      </c>
      <c r="L573" s="8" t="s">
        <v>299</v>
      </c>
    </row>
    <row r="574">
      <c r="A574" s="10"/>
      <c r="B574" s="8" t="str">
        <f>IFERROR(__xludf.DUMMYFUNCTION("""COMPUTED_VALUE"""),"")</f>
        <v/>
      </c>
      <c r="C574" s="8" t="str">
        <f>IFERROR(__xludf.DUMMYFUNCTION("""COMPUTED_VALUE"""),"")</f>
        <v/>
      </c>
      <c r="D574" s="8" t="str">
        <f>IFERROR(__xludf.DUMMYFUNCTION("""COMPUTED_VALUE"""),"")</f>
        <v/>
      </c>
      <c r="E574" s="8" t="str">
        <f>IFERROR(__xludf.DUMMYFUNCTION("""COMPUTED_VALUE"""),"")</f>
        <v/>
      </c>
      <c r="F574" s="8" t="str">
        <f>IFERROR(__xludf.DUMMYFUNCTION("""COMPUTED_VALUE"""),"")</f>
        <v/>
      </c>
      <c r="G574" s="8" t="str">
        <f>IFERROR(__xludf.DUMMYFUNCTION("""COMPUTED_VALUE"""),"")</f>
        <v/>
      </c>
      <c r="L574" s="8" t="s">
        <v>299</v>
      </c>
    </row>
    <row r="575">
      <c r="A575" s="10"/>
      <c r="B575" s="8" t="str">
        <f>IFERROR(__xludf.DUMMYFUNCTION("""COMPUTED_VALUE"""),"")</f>
        <v/>
      </c>
      <c r="C575" s="8" t="str">
        <f>IFERROR(__xludf.DUMMYFUNCTION("""COMPUTED_VALUE"""),"")</f>
        <v/>
      </c>
      <c r="D575" s="8" t="str">
        <f>IFERROR(__xludf.DUMMYFUNCTION("""COMPUTED_VALUE"""),"")</f>
        <v/>
      </c>
      <c r="E575" s="8" t="str">
        <f>IFERROR(__xludf.DUMMYFUNCTION("""COMPUTED_VALUE"""),"")</f>
        <v/>
      </c>
      <c r="F575" s="8" t="str">
        <f>IFERROR(__xludf.DUMMYFUNCTION("""COMPUTED_VALUE"""),"")</f>
        <v/>
      </c>
      <c r="G575" s="8" t="str">
        <f>IFERROR(__xludf.DUMMYFUNCTION("""COMPUTED_VALUE"""),"")</f>
        <v/>
      </c>
      <c r="L575" s="8" t="s">
        <v>299</v>
      </c>
    </row>
    <row r="576">
      <c r="A576" s="10"/>
      <c r="B576" s="8" t="str">
        <f>IFERROR(__xludf.DUMMYFUNCTION("""COMPUTED_VALUE"""),"")</f>
        <v/>
      </c>
      <c r="C576" s="8" t="str">
        <f>IFERROR(__xludf.DUMMYFUNCTION("""COMPUTED_VALUE"""),"")</f>
        <v/>
      </c>
      <c r="D576" s="8" t="str">
        <f>IFERROR(__xludf.DUMMYFUNCTION("""COMPUTED_VALUE"""),"")</f>
        <v/>
      </c>
      <c r="E576" s="8" t="str">
        <f>IFERROR(__xludf.DUMMYFUNCTION("""COMPUTED_VALUE"""),"")</f>
        <v/>
      </c>
      <c r="F576" s="8" t="str">
        <f>IFERROR(__xludf.DUMMYFUNCTION("""COMPUTED_VALUE"""),"")</f>
        <v/>
      </c>
      <c r="G576" s="8" t="str">
        <f>IFERROR(__xludf.DUMMYFUNCTION("""COMPUTED_VALUE"""),"")</f>
        <v/>
      </c>
      <c r="L576" s="8" t="s">
        <v>299</v>
      </c>
    </row>
    <row r="577">
      <c r="A577" s="10"/>
      <c r="B577" s="8" t="str">
        <f>IFERROR(__xludf.DUMMYFUNCTION("""COMPUTED_VALUE"""),"")</f>
        <v/>
      </c>
      <c r="C577" s="8" t="str">
        <f>IFERROR(__xludf.DUMMYFUNCTION("""COMPUTED_VALUE"""),"")</f>
        <v/>
      </c>
      <c r="D577" s="8" t="str">
        <f>IFERROR(__xludf.DUMMYFUNCTION("""COMPUTED_VALUE"""),"")</f>
        <v/>
      </c>
      <c r="E577" s="8" t="str">
        <f>IFERROR(__xludf.DUMMYFUNCTION("""COMPUTED_VALUE"""),"")</f>
        <v/>
      </c>
      <c r="F577" s="8" t="str">
        <f>IFERROR(__xludf.DUMMYFUNCTION("""COMPUTED_VALUE"""),"")</f>
        <v/>
      </c>
      <c r="G577" s="8" t="str">
        <f>IFERROR(__xludf.DUMMYFUNCTION("""COMPUTED_VALUE"""),"")</f>
        <v/>
      </c>
      <c r="L577" s="8" t="s">
        <v>299</v>
      </c>
    </row>
    <row r="578">
      <c r="A578" s="10"/>
      <c r="B578" s="8" t="str">
        <f>IFERROR(__xludf.DUMMYFUNCTION("""COMPUTED_VALUE"""),"")</f>
        <v/>
      </c>
      <c r="C578" s="8" t="str">
        <f>IFERROR(__xludf.DUMMYFUNCTION("""COMPUTED_VALUE"""),"")</f>
        <v/>
      </c>
      <c r="D578" s="8" t="str">
        <f>IFERROR(__xludf.DUMMYFUNCTION("""COMPUTED_VALUE"""),"")</f>
        <v/>
      </c>
      <c r="E578" s="8" t="str">
        <f>IFERROR(__xludf.DUMMYFUNCTION("""COMPUTED_VALUE"""),"")</f>
        <v/>
      </c>
      <c r="F578" s="8" t="str">
        <f>IFERROR(__xludf.DUMMYFUNCTION("""COMPUTED_VALUE"""),"")</f>
        <v/>
      </c>
      <c r="G578" s="8" t="str">
        <f>IFERROR(__xludf.DUMMYFUNCTION("""COMPUTED_VALUE"""),"")</f>
        <v/>
      </c>
      <c r="L578" s="8" t="s">
        <v>299</v>
      </c>
    </row>
    <row r="579">
      <c r="A579" s="10"/>
      <c r="B579" s="8" t="str">
        <f>IFERROR(__xludf.DUMMYFUNCTION("""COMPUTED_VALUE"""),"")</f>
        <v/>
      </c>
      <c r="C579" s="8" t="str">
        <f>IFERROR(__xludf.DUMMYFUNCTION("""COMPUTED_VALUE"""),"")</f>
        <v/>
      </c>
      <c r="D579" s="8" t="str">
        <f>IFERROR(__xludf.DUMMYFUNCTION("""COMPUTED_VALUE"""),"")</f>
        <v/>
      </c>
      <c r="E579" s="8" t="str">
        <f>IFERROR(__xludf.DUMMYFUNCTION("""COMPUTED_VALUE"""),"")</f>
        <v/>
      </c>
      <c r="F579" s="8" t="str">
        <f>IFERROR(__xludf.DUMMYFUNCTION("""COMPUTED_VALUE"""),"")</f>
        <v/>
      </c>
      <c r="G579" s="8" t="str">
        <f>IFERROR(__xludf.DUMMYFUNCTION("""COMPUTED_VALUE"""),"")</f>
        <v/>
      </c>
      <c r="L579" s="8" t="s">
        <v>299</v>
      </c>
    </row>
    <row r="580">
      <c r="A580" s="10"/>
      <c r="B580" s="8" t="str">
        <f>IFERROR(__xludf.DUMMYFUNCTION("""COMPUTED_VALUE"""),"")</f>
        <v/>
      </c>
      <c r="C580" s="8" t="str">
        <f>IFERROR(__xludf.DUMMYFUNCTION("""COMPUTED_VALUE"""),"")</f>
        <v/>
      </c>
      <c r="D580" s="8" t="str">
        <f>IFERROR(__xludf.DUMMYFUNCTION("""COMPUTED_VALUE"""),"")</f>
        <v/>
      </c>
      <c r="E580" s="8" t="str">
        <f>IFERROR(__xludf.DUMMYFUNCTION("""COMPUTED_VALUE"""),"")</f>
        <v/>
      </c>
      <c r="F580" s="8" t="str">
        <f>IFERROR(__xludf.DUMMYFUNCTION("""COMPUTED_VALUE"""),"")</f>
        <v/>
      </c>
      <c r="G580" s="8" t="str">
        <f>IFERROR(__xludf.DUMMYFUNCTION("""COMPUTED_VALUE"""),"")</f>
        <v/>
      </c>
      <c r="L580" s="8" t="s">
        <v>299</v>
      </c>
    </row>
    <row r="581">
      <c r="A581" s="10"/>
      <c r="B581" s="8" t="str">
        <f>IFERROR(__xludf.DUMMYFUNCTION("""COMPUTED_VALUE"""),"")</f>
        <v/>
      </c>
      <c r="C581" s="8" t="str">
        <f>IFERROR(__xludf.DUMMYFUNCTION("""COMPUTED_VALUE"""),"")</f>
        <v/>
      </c>
      <c r="D581" s="8" t="str">
        <f>IFERROR(__xludf.DUMMYFUNCTION("""COMPUTED_VALUE"""),"")</f>
        <v/>
      </c>
      <c r="E581" s="8" t="str">
        <f>IFERROR(__xludf.DUMMYFUNCTION("""COMPUTED_VALUE"""),"")</f>
        <v/>
      </c>
      <c r="F581" s="8" t="str">
        <f>IFERROR(__xludf.DUMMYFUNCTION("""COMPUTED_VALUE"""),"")</f>
        <v/>
      </c>
      <c r="G581" s="8" t="str">
        <f>IFERROR(__xludf.DUMMYFUNCTION("""COMPUTED_VALUE"""),"")</f>
        <v/>
      </c>
      <c r="L581" s="8" t="s">
        <v>299</v>
      </c>
    </row>
    <row r="582">
      <c r="A582" s="10"/>
      <c r="B582" s="8" t="str">
        <f>IFERROR(__xludf.DUMMYFUNCTION("""COMPUTED_VALUE"""),"")</f>
        <v/>
      </c>
      <c r="C582" s="8" t="str">
        <f>IFERROR(__xludf.DUMMYFUNCTION("""COMPUTED_VALUE"""),"")</f>
        <v/>
      </c>
      <c r="D582" s="8" t="str">
        <f>IFERROR(__xludf.DUMMYFUNCTION("""COMPUTED_VALUE"""),"")</f>
        <v/>
      </c>
      <c r="E582" s="8" t="str">
        <f>IFERROR(__xludf.DUMMYFUNCTION("""COMPUTED_VALUE"""),"")</f>
        <v/>
      </c>
      <c r="F582" s="8" t="str">
        <f>IFERROR(__xludf.DUMMYFUNCTION("""COMPUTED_VALUE"""),"")</f>
        <v/>
      </c>
      <c r="G582" s="8" t="str">
        <f>IFERROR(__xludf.DUMMYFUNCTION("""COMPUTED_VALUE"""),"")</f>
        <v/>
      </c>
      <c r="L582" s="8" t="s">
        <v>299</v>
      </c>
    </row>
    <row r="583">
      <c r="A583" s="10"/>
      <c r="B583" s="8" t="str">
        <f>IFERROR(__xludf.DUMMYFUNCTION("""COMPUTED_VALUE"""),"")</f>
        <v/>
      </c>
      <c r="C583" s="8" t="str">
        <f>IFERROR(__xludf.DUMMYFUNCTION("""COMPUTED_VALUE"""),"")</f>
        <v/>
      </c>
      <c r="D583" s="8" t="str">
        <f>IFERROR(__xludf.DUMMYFUNCTION("""COMPUTED_VALUE"""),"")</f>
        <v/>
      </c>
      <c r="E583" s="8" t="str">
        <f>IFERROR(__xludf.DUMMYFUNCTION("""COMPUTED_VALUE"""),"")</f>
        <v/>
      </c>
      <c r="F583" s="8" t="str">
        <f>IFERROR(__xludf.DUMMYFUNCTION("""COMPUTED_VALUE"""),"")</f>
        <v/>
      </c>
      <c r="G583" s="8" t="str">
        <f>IFERROR(__xludf.DUMMYFUNCTION("""COMPUTED_VALUE"""),"")</f>
        <v/>
      </c>
      <c r="L583" s="8" t="s">
        <v>299</v>
      </c>
    </row>
    <row r="584">
      <c r="A584" s="10"/>
      <c r="B584" s="8" t="str">
        <f>IFERROR(__xludf.DUMMYFUNCTION("""COMPUTED_VALUE"""),"")</f>
        <v/>
      </c>
      <c r="C584" s="8" t="str">
        <f>IFERROR(__xludf.DUMMYFUNCTION("""COMPUTED_VALUE"""),"")</f>
        <v/>
      </c>
      <c r="D584" s="8" t="str">
        <f>IFERROR(__xludf.DUMMYFUNCTION("""COMPUTED_VALUE"""),"")</f>
        <v/>
      </c>
      <c r="E584" s="8" t="str">
        <f>IFERROR(__xludf.DUMMYFUNCTION("""COMPUTED_VALUE"""),"")</f>
        <v/>
      </c>
      <c r="F584" s="8" t="str">
        <f>IFERROR(__xludf.DUMMYFUNCTION("""COMPUTED_VALUE"""),"")</f>
        <v/>
      </c>
      <c r="G584" s="8" t="str">
        <f>IFERROR(__xludf.DUMMYFUNCTION("""COMPUTED_VALUE"""),"")</f>
        <v/>
      </c>
      <c r="L584" s="8" t="s">
        <v>299</v>
      </c>
    </row>
    <row r="585">
      <c r="A585" s="10"/>
      <c r="B585" s="8" t="str">
        <f>IFERROR(__xludf.DUMMYFUNCTION("""COMPUTED_VALUE"""),"")</f>
        <v/>
      </c>
      <c r="C585" s="8" t="str">
        <f>IFERROR(__xludf.DUMMYFUNCTION("""COMPUTED_VALUE"""),"")</f>
        <v/>
      </c>
      <c r="D585" s="8" t="str">
        <f>IFERROR(__xludf.DUMMYFUNCTION("""COMPUTED_VALUE"""),"")</f>
        <v/>
      </c>
      <c r="E585" s="8" t="str">
        <f>IFERROR(__xludf.DUMMYFUNCTION("""COMPUTED_VALUE"""),"")</f>
        <v/>
      </c>
      <c r="F585" s="8" t="str">
        <f>IFERROR(__xludf.DUMMYFUNCTION("""COMPUTED_VALUE"""),"")</f>
        <v/>
      </c>
      <c r="G585" s="8" t="str">
        <f>IFERROR(__xludf.DUMMYFUNCTION("""COMPUTED_VALUE"""),"")</f>
        <v/>
      </c>
      <c r="L585" s="8" t="s">
        <v>299</v>
      </c>
    </row>
    <row r="586">
      <c r="A586" s="10"/>
      <c r="B586" s="8" t="str">
        <f>IFERROR(__xludf.DUMMYFUNCTION("""COMPUTED_VALUE"""),"")</f>
        <v/>
      </c>
      <c r="C586" s="8" t="str">
        <f>IFERROR(__xludf.DUMMYFUNCTION("""COMPUTED_VALUE"""),"")</f>
        <v/>
      </c>
      <c r="D586" s="8" t="str">
        <f>IFERROR(__xludf.DUMMYFUNCTION("""COMPUTED_VALUE"""),"")</f>
        <v/>
      </c>
      <c r="E586" s="8" t="str">
        <f>IFERROR(__xludf.DUMMYFUNCTION("""COMPUTED_VALUE"""),"")</f>
        <v/>
      </c>
      <c r="F586" s="8" t="str">
        <f>IFERROR(__xludf.DUMMYFUNCTION("""COMPUTED_VALUE"""),"")</f>
        <v/>
      </c>
      <c r="G586" s="8" t="str">
        <f>IFERROR(__xludf.DUMMYFUNCTION("""COMPUTED_VALUE"""),"")</f>
        <v/>
      </c>
      <c r="L586" s="8" t="s">
        <v>299</v>
      </c>
    </row>
    <row r="587">
      <c r="A587" s="10"/>
      <c r="B587" s="8" t="str">
        <f>IFERROR(__xludf.DUMMYFUNCTION("""COMPUTED_VALUE"""),"")</f>
        <v/>
      </c>
      <c r="C587" s="8" t="str">
        <f>IFERROR(__xludf.DUMMYFUNCTION("""COMPUTED_VALUE"""),"")</f>
        <v/>
      </c>
      <c r="D587" s="8" t="str">
        <f>IFERROR(__xludf.DUMMYFUNCTION("""COMPUTED_VALUE"""),"")</f>
        <v/>
      </c>
      <c r="E587" s="8" t="str">
        <f>IFERROR(__xludf.DUMMYFUNCTION("""COMPUTED_VALUE"""),"")</f>
        <v/>
      </c>
      <c r="F587" s="8" t="str">
        <f>IFERROR(__xludf.DUMMYFUNCTION("""COMPUTED_VALUE"""),"")</f>
        <v/>
      </c>
      <c r="G587" s="8" t="str">
        <f>IFERROR(__xludf.DUMMYFUNCTION("""COMPUTED_VALUE"""),"")</f>
        <v/>
      </c>
      <c r="L587" s="8" t="s">
        <v>299</v>
      </c>
    </row>
    <row r="588">
      <c r="A588" s="10"/>
      <c r="B588" s="8" t="str">
        <f>IFERROR(__xludf.DUMMYFUNCTION("""COMPUTED_VALUE"""),"")</f>
        <v/>
      </c>
      <c r="C588" s="8" t="str">
        <f>IFERROR(__xludf.DUMMYFUNCTION("""COMPUTED_VALUE"""),"")</f>
        <v/>
      </c>
      <c r="D588" s="8" t="str">
        <f>IFERROR(__xludf.DUMMYFUNCTION("""COMPUTED_VALUE"""),"")</f>
        <v/>
      </c>
      <c r="E588" s="8" t="str">
        <f>IFERROR(__xludf.DUMMYFUNCTION("""COMPUTED_VALUE"""),"")</f>
        <v/>
      </c>
      <c r="F588" s="8" t="str">
        <f>IFERROR(__xludf.DUMMYFUNCTION("""COMPUTED_VALUE"""),"")</f>
        <v/>
      </c>
      <c r="G588" s="8" t="str">
        <f>IFERROR(__xludf.DUMMYFUNCTION("""COMPUTED_VALUE"""),"")</f>
        <v/>
      </c>
      <c r="L588" s="8" t="s">
        <v>299</v>
      </c>
    </row>
    <row r="589">
      <c r="A589" s="10"/>
      <c r="B589" s="8" t="str">
        <f>IFERROR(__xludf.DUMMYFUNCTION("""COMPUTED_VALUE"""),"")</f>
        <v/>
      </c>
      <c r="C589" s="8" t="str">
        <f>IFERROR(__xludf.DUMMYFUNCTION("""COMPUTED_VALUE"""),"")</f>
        <v/>
      </c>
      <c r="D589" s="8" t="str">
        <f>IFERROR(__xludf.DUMMYFUNCTION("""COMPUTED_VALUE"""),"")</f>
        <v/>
      </c>
      <c r="E589" s="8" t="str">
        <f>IFERROR(__xludf.DUMMYFUNCTION("""COMPUTED_VALUE"""),"")</f>
        <v/>
      </c>
      <c r="F589" s="8" t="str">
        <f>IFERROR(__xludf.DUMMYFUNCTION("""COMPUTED_VALUE"""),"")</f>
        <v/>
      </c>
      <c r="G589" s="8" t="str">
        <f>IFERROR(__xludf.DUMMYFUNCTION("""COMPUTED_VALUE"""),"")</f>
        <v/>
      </c>
      <c r="L589" s="8" t="s">
        <v>299</v>
      </c>
    </row>
    <row r="590">
      <c r="A590" s="10"/>
      <c r="B590" s="8" t="str">
        <f>IFERROR(__xludf.DUMMYFUNCTION("""COMPUTED_VALUE"""),"")</f>
        <v/>
      </c>
      <c r="C590" s="8" t="str">
        <f>IFERROR(__xludf.DUMMYFUNCTION("""COMPUTED_VALUE"""),"")</f>
        <v/>
      </c>
      <c r="D590" s="8" t="str">
        <f>IFERROR(__xludf.DUMMYFUNCTION("""COMPUTED_VALUE"""),"")</f>
        <v/>
      </c>
      <c r="E590" s="8" t="str">
        <f>IFERROR(__xludf.DUMMYFUNCTION("""COMPUTED_VALUE"""),"")</f>
        <v/>
      </c>
      <c r="F590" s="8" t="str">
        <f>IFERROR(__xludf.DUMMYFUNCTION("""COMPUTED_VALUE"""),"")</f>
        <v/>
      </c>
      <c r="G590" s="8" t="str">
        <f>IFERROR(__xludf.DUMMYFUNCTION("""COMPUTED_VALUE"""),"")</f>
        <v/>
      </c>
      <c r="L590" s="8" t="s">
        <v>299</v>
      </c>
    </row>
    <row r="591">
      <c r="A591" s="10"/>
      <c r="B591" s="8" t="str">
        <f>IFERROR(__xludf.DUMMYFUNCTION("""COMPUTED_VALUE"""),"")</f>
        <v/>
      </c>
      <c r="C591" s="8" t="str">
        <f>IFERROR(__xludf.DUMMYFUNCTION("""COMPUTED_VALUE"""),"")</f>
        <v/>
      </c>
      <c r="D591" s="8" t="str">
        <f>IFERROR(__xludf.DUMMYFUNCTION("""COMPUTED_VALUE"""),"")</f>
        <v/>
      </c>
      <c r="E591" s="8" t="str">
        <f>IFERROR(__xludf.DUMMYFUNCTION("""COMPUTED_VALUE"""),"")</f>
        <v/>
      </c>
      <c r="F591" s="8" t="str">
        <f>IFERROR(__xludf.DUMMYFUNCTION("""COMPUTED_VALUE"""),"")</f>
        <v/>
      </c>
      <c r="G591" s="8" t="str">
        <f>IFERROR(__xludf.DUMMYFUNCTION("""COMPUTED_VALUE"""),"")</f>
        <v/>
      </c>
      <c r="L591" s="8" t="s">
        <v>299</v>
      </c>
    </row>
    <row r="592">
      <c r="A592" s="10"/>
      <c r="B592" s="8" t="str">
        <f>IFERROR(__xludf.DUMMYFUNCTION("""COMPUTED_VALUE"""),"")</f>
        <v/>
      </c>
      <c r="C592" s="8" t="str">
        <f>IFERROR(__xludf.DUMMYFUNCTION("""COMPUTED_VALUE"""),"")</f>
        <v/>
      </c>
      <c r="D592" s="8" t="str">
        <f>IFERROR(__xludf.DUMMYFUNCTION("""COMPUTED_VALUE"""),"")</f>
        <v/>
      </c>
      <c r="E592" s="8" t="str">
        <f>IFERROR(__xludf.DUMMYFUNCTION("""COMPUTED_VALUE"""),"")</f>
        <v/>
      </c>
      <c r="F592" s="8" t="str">
        <f>IFERROR(__xludf.DUMMYFUNCTION("""COMPUTED_VALUE"""),"")</f>
        <v/>
      </c>
      <c r="G592" s="8" t="str">
        <f>IFERROR(__xludf.DUMMYFUNCTION("""COMPUTED_VALUE"""),"")</f>
        <v/>
      </c>
      <c r="L592" s="8" t="s">
        <v>299</v>
      </c>
    </row>
    <row r="593">
      <c r="A593" s="10"/>
      <c r="B593" s="8" t="str">
        <f>IFERROR(__xludf.DUMMYFUNCTION("""COMPUTED_VALUE"""),"")</f>
        <v/>
      </c>
      <c r="C593" s="8" t="str">
        <f>IFERROR(__xludf.DUMMYFUNCTION("""COMPUTED_VALUE"""),"")</f>
        <v/>
      </c>
      <c r="D593" s="8" t="str">
        <f>IFERROR(__xludf.DUMMYFUNCTION("""COMPUTED_VALUE"""),"")</f>
        <v/>
      </c>
      <c r="E593" s="8" t="str">
        <f>IFERROR(__xludf.DUMMYFUNCTION("""COMPUTED_VALUE"""),"")</f>
        <v/>
      </c>
      <c r="F593" s="8" t="str">
        <f>IFERROR(__xludf.DUMMYFUNCTION("""COMPUTED_VALUE"""),"")</f>
        <v/>
      </c>
      <c r="G593" s="8" t="str">
        <f>IFERROR(__xludf.DUMMYFUNCTION("""COMPUTED_VALUE"""),"")</f>
        <v/>
      </c>
      <c r="L593" s="8" t="s">
        <v>299</v>
      </c>
    </row>
    <row r="594">
      <c r="A594" s="10"/>
      <c r="B594" s="8" t="str">
        <f>IFERROR(__xludf.DUMMYFUNCTION("""COMPUTED_VALUE"""),"")</f>
        <v/>
      </c>
      <c r="C594" s="8" t="str">
        <f>IFERROR(__xludf.DUMMYFUNCTION("""COMPUTED_VALUE"""),"")</f>
        <v/>
      </c>
      <c r="D594" s="8" t="str">
        <f>IFERROR(__xludf.DUMMYFUNCTION("""COMPUTED_VALUE"""),"")</f>
        <v/>
      </c>
      <c r="E594" s="8" t="str">
        <f>IFERROR(__xludf.DUMMYFUNCTION("""COMPUTED_VALUE"""),"")</f>
        <v/>
      </c>
      <c r="F594" s="8" t="str">
        <f>IFERROR(__xludf.DUMMYFUNCTION("""COMPUTED_VALUE"""),"")</f>
        <v/>
      </c>
      <c r="G594" s="8" t="str">
        <f>IFERROR(__xludf.DUMMYFUNCTION("""COMPUTED_VALUE"""),"")</f>
        <v/>
      </c>
      <c r="L594" s="8" t="s">
        <v>299</v>
      </c>
    </row>
    <row r="595">
      <c r="A595" s="10"/>
      <c r="B595" s="8" t="str">
        <f>IFERROR(__xludf.DUMMYFUNCTION("""COMPUTED_VALUE"""),"")</f>
        <v/>
      </c>
      <c r="C595" s="8" t="str">
        <f>IFERROR(__xludf.DUMMYFUNCTION("""COMPUTED_VALUE"""),"")</f>
        <v/>
      </c>
      <c r="D595" s="8" t="str">
        <f>IFERROR(__xludf.DUMMYFUNCTION("""COMPUTED_VALUE"""),"")</f>
        <v/>
      </c>
      <c r="E595" s="8" t="str">
        <f>IFERROR(__xludf.DUMMYFUNCTION("""COMPUTED_VALUE"""),"")</f>
        <v/>
      </c>
      <c r="F595" s="8" t="str">
        <f>IFERROR(__xludf.DUMMYFUNCTION("""COMPUTED_VALUE"""),"")</f>
        <v/>
      </c>
      <c r="G595" s="8" t="str">
        <f>IFERROR(__xludf.DUMMYFUNCTION("""COMPUTED_VALUE"""),"")</f>
        <v/>
      </c>
      <c r="L595" s="8" t="s">
        <v>299</v>
      </c>
    </row>
    <row r="596">
      <c r="A596" s="10"/>
      <c r="B596" s="8" t="str">
        <f>IFERROR(__xludf.DUMMYFUNCTION("""COMPUTED_VALUE"""),"")</f>
        <v/>
      </c>
      <c r="C596" s="8" t="str">
        <f>IFERROR(__xludf.DUMMYFUNCTION("""COMPUTED_VALUE"""),"")</f>
        <v/>
      </c>
      <c r="D596" s="8" t="str">
        <f>IFERROR(__xludf.DUMMYFUNCTION("""COMPUTED_VALUE"""),"")</f>
        <v/>
      </c>
      <c r="E596" s="8" t="str">
        <f>IFERROR(__xludf.DUMMYFUNCTION("""COMPUTED_VALUE"""),"")</f>
        <v/>
      </c>
      <c r="F596" s="8" t="str">
        <f>IFERROR(__xludf.DUMMYFUNCTION("""COMPUTED_VALUE"""),"")</f>
        <v/>
      </c>
      <c r="G596" s="8" t="str">
        <f>IFERROR(__xludf.DUMMYFUNCTION("""COMPUTED_VALUE"""),"")</f>
        <v/>
      </c>
      <c r="L596" s="8" t="s">
        <v>299</v>
      </c>
    </row>
    <row r="597">
      <c r="A597" s="10"/>
      <c r="B597" s="8" t="str">
        <f>IFERROR(__xludf.DUMMYFUNCTION("""COMPUTED_VALUE"""),"")</f>
        <v/>
      </c>
      <c r="C597" s="8" t="str">
        <f>IFERROR(__xludf.DUMMYFUNCTION("""COMPUTED_VALUE"""),"")</f>
        <v/>
      </c>
      <c r="D597" s="8" t="str">
        <f>IFERROR(__xludf.DUMMYFUNCTION("""COMPUTED_VALUE"""),"")</f>
        <v/>
      </c>
      <c r="E597" s="8" t="str">
        <f>IFERROR(__xludf.DUMMYFUNCTION("""COMPUTED_VALUE"""),"")</f>
        <v/>
      </c>
      <c r="F597" s="8" t="str">
        <f>IFERROR(__xludf.DUMMYFUNCTION("""COMPUTED_VALUE"""),"")</f>
        <v/>
      </c>
      <c r="G597" s="8" t="str">
        <f>IFERROR(__xludf.DUMMYFUNCTION("""COMPUTED_VALUE"""),"")</f>
        <v/>
      </c>
      <c r="L597" s="8" t="s">
        <v>299</v>
      </c>
    </row>
    <row r="598">
      <c r="A598" s="10"/>
      <c r="B598" s="8" t="str">
        <f>IFERROR(__xludf.DUMMYFUNCTION("""COMPUTED_VALUE"""),"")</f>
        <v/>
      </c>
      <c r="C598" s="8" t="str">
        <f>IFERROR(__xludf.DUMMYFUNCTION("""COMPUTED_VALUE"""),"")</f>
        <v/>
      </c>
      <c r="D598" s="8" t="str">
        <f>IFERROR(__xludf.DUMMYFUNCTION("""COMPUTED_VALUE"""),"")</f>
        <v/>
      </c>
      <c r="E598" s="8" t="str">
        <f>IFERROR(__xludf.DUMMYFUNCTION("""COMPUTED_VALUE"""),"")</f>
        <v/>
      </c>
      <c r="F598" s="8" t="str">
        <f>IFERROR(__xludf.DUMMYFUNCTION("""COMPUTED_VALUE"""),"")</f>
        <v/>
      </c>
      <c r="G598" s="8" t="str">
        <f>IFERROR(__xludf.DUMMYFUNCTION("""COMPUTED_VALUE"""),"")</f>
        <v/>
      </c>
      <c r="L598" s="8" t="s">
        <v>299</v>
      </c>
    </row>
    <row r="599">
      <c r="A599" s="10"/>
      <c r="B599" s="8" t="str">
        <f>IFERROR(__xludf.DUMMYFUNCTION("""COMPUTED_VALUE"""),"")</f>
        <v/>
      </c>
      <c r="C599" s="8" t="str">
        <f>IFERROR(__xludf.DUMMYFUNCTION("""COMPUTED_VALUE"""),"")</f>
        <v/>
      </c>
      <c r="D599" s="8" t="str">
        <f>IFERROR(__xludf.DUMMYFUNCTION("""COMPUTED_VALUE"""),"")</f>
        <v/>
      </c>
      <c r="E599" s="8" t="str">
        <f>IFERROR(__xludf.DUMMYFUNCTION("""COMPUTED_VALUE"""),"")</f>
        <v/>
      </c>
      <c r="F599" s="8" t="str">
        <f>IFERROR(__xludf.DUMMYFUNCTION("""COMPUTED_VALUE"""),"")</f>
        <v/>
      </c>
      <c r="G599" s="8" t="str">
        <f>IFERROR(__xludf.DUMMYFUNCTION("""COMPUTED_VALUE"""),"")</f>
        <v/>
      </c>
      <c r="L599" s="8" t="s">
        <v>299</v>
      </c>
    </row>
    <row r="600">
      <c r="A600" s="10"/>
      <c r="B600" s="8" t="str">
        <f>IFERROR(__xludf.DUMMYFUNCTION("""COMPUTED_VALUE"""),"")</f>
        <v/>
      </c>
      <c r="C600" s="8" t="str">
        <f>IFERROR(__xludf.DUMMYFUNCTION("""COMPUTED_VALUE"""),"")</f>
        <v/>
      </c>
      <c r="D600" s="8" t="str">
        <f>IFERROR(__xludf.DUMMYFUNCTION("""COMPUTED_VALUE"""),"")</f>
        <v/>
      </c>
      <c r="E600" s="8" t="str">
        <f>IFERROR(__xludf.DUMMYFUNCTION("""COMPUTED_VALUE"""),"")</f>
        <v/>
      </c>
      <c r="F600" s="8" t="str">
        <f>IFERROR(__xludf.DUMMYFUNCTION("""COMPUTED_VALUE"""),"")</f>
        <v/>
      </c>
      <c r="G600" s="8" t="str">
        <f>IFERROR(__xludf.DUMMYFUNCTION("""COMPUTED_VALUE"""),"")</f>
        <v/>
      </c>
      <c r="L600" s="8" t="s">
        <v>299</v>
      </c>
    </row>
    <row r="601">
      <c r="A601" s="10"/>
      <c r="B601" s="8" t="str">
        <f>IFERROR(__xludf.DUMMYFUNCTION("""COMPUTED_VALUE"""),"")</f>
        <v/>
      </c>
      <c r="C601" s="8" t="str">
        <f>IFERROR(__xludf.DUMMYFUNCTION("""COMPUTED_VALUE"""),"")</f>
        <v/>
      </c>
      <c r="D601" s="8" t="str">
        <f>IFERROR(__xludf.DUMMYFUNCTION("""COMPUTED_VALUE"""),"")</f>
        <v/>
      </c>
      <c r="E601" s="8" t="str">
        <f>IFERROR(__xludf.DUMMYFUNCTION("""COMPUTED_VALUE"""),"")</f>
        <v/>
      </c>
      <c r="F601" s="8" t="str">
        <f>IFERROR(__xludf.DUMMYFUNCTION("""COMPUTED_VALUE"""),"")</f>
        <v/>
      </c>
      <c r="G601" s="8" t="str">
        <f>IFERROR(__xludf.DUMMYFUNCTION("""COMPUTED_VALUE"""),"")</f>
        <v/>
      </c>
      <c r="L601" s="8" t="s">
        <v>299</v>
      </c>
    </row>
    <row r="602">
      <c r="A602" s="10"/>
      <c r="B602" s="8" t="str">
        <f>IFERROR(__xludf.DUMMYFUNCTION("""COMPUTED_VALUE"""),"")</f>
        <v/>
      </c>
      <c r="C602" s="8" t="str">
        <f>IFERROR(__xludf.DUMMYFUNCTION("""COMPUTED_VALUE"""),"")</f>
        <v/>
      </c>
      <c r="D602" s="8" t="str">
        <f>IFERROR(__xludf.DUMMYFUNCTION("""COMPUTED_VALUE"""),"")</f>
        <v/>
      </c>
      <c r="E602" s="8" t="str">
        <f>IFERROR(__xludf.DUMMYFUNCTION("""COMPUTED_VALUE"""),"")</f>
        <v/>
      </c>
      <c r="F602" s="8" t="str">
        <f>IFERROR(__xludf.DUMMYFUNCTION("""COMPUTED_VALUE"""),"")</f>
        <v/>
      </c>
      <c r="G602" s="8" t="str">
        <f>IFERROR(__xludf.DUMMYFUNCTION("""COMPUTED_VALUE"""),"")</f>
        <v/>
      </c>
      <c r="L602" s="8" t="s">
        <v>299</v>
      </c>
    </row>
    <row r="603">
      <c r="A603" s="10"/>
      <c r="B603" s="8" t="str">
        <f>IFERROR(__xludf.DUMMYFUNCTION("""COMPUTED_VALUE"""),"")</f>
        <v/>
      </c>
      <c r="C603" s="8" t="str">
        <f>IFERROR(__xludf.DUMMYFUNCTION("""COMPUTED_VALUE"""),"")</f>
        <v/>
      </c>
      <c r="D603" s="8" t="str">
        <f>IFERROR(__xludf.DUMMYFUNCTION("""COMPUTED_VALUE"""),"")</f>
        <v/>
      </c>
      <c r="E603" s="8" t="str">
        <f>IFERROR(__xludf.DUMMYFUNCTION("""COMPUTED_VALUE"""),"")</f>
        <v/>
      </c>
      <c r="F603" s="8" t="str">
        <f>IFERROR(__xludf.DUMMYFUNCTION("""COMPUTED_VALUE"""),"")</f>
        <v/>
      </c>
      <c r="G603" s="8" t="str">
        <f>IFERROR(__xludf.DUMMYFUNCTION("""COMPUTED_VALUE"""),"")</f>
        <v/>
      </c>
      <c r="L603" s="8" t="s">
        <v>299</v>
      </c>
    </row>
    <row r="604">
      <c r="A604" s="10"/>
      <c r="B604" s="8" t="str">
        <f>IFERROR(__xludf.DUMMYFUNCTION("""COMPUTED_VALUE"""),"")</f>
        <v/>
      </c>
      <c r="C604" s="8" t="str">
        <f>IFERROR(__xludf.DUMMYFUNCTION("""COMPUTED_VALUE"""),"")</f>
        <v/>
      </c>
      <c r="D604" s="8" t="str">
        <f>IFERROR(__xludf.DUMMYFUNCTION("""COMPUTED_VALUE"""),"")</f>
        <v/>
      </c>
      <c r="E604" s="8" t="str">
        <f>IFERROR(__xludf.DUMMYFUNCTION("""COMPUTED_VALUE"""),"")</f>
        <v/>
      </c>
      <c r="F604" s="8" t="str">
        <f>IFERROR(__xludf.DUMMYFUNCTION("""COMPUTED_VALUE"""),"")</f>
        <v/>
      </c>
      <c r="G604" s="8" t="str">
        <f>IFERROR(__xludf.DUMMYFUNCTION("""COMPUTED_VALUE"""),"")</f>
        <v/>
      </c>
      <c r="L604" s="8" t="s">
        <v>299</v>
      </c>
    </row>
    <row r="605">
      <c r="A605" s="10"/>
      <c r="B605" s="8" t="str">
        <f>IFERROR(__xludf.DUMMYFUNCTION("""COMPUTED_VALUE"""),"")</f>
        <v/>
      </c>
      <c r="C605" s="8" t="str">
        <f>IFERROR(__xludf.DUMMYFUNCTION("""COMPUTED_VALUE"""),"")</f>
        <v/>
      </c>
      <c r="D605" s="8" t="str">
        <f>IFERROR(__xludf.DUMMYFUNCTION("""COMPUTED_VALUE"""),"")</f>
        <v/>
      </c>
      <c r="E605" s="8" t="str">
        <f>IFERROR(__xludf.DUMMYFUNCTION("""COMPUTED_VALUE"""),"")</f>
        <v/>
      </c>
      <c r="F605" s="8" t="str">
        <f>IFERROR(__xludf.DUMMYFUNCTION("""COMPUTED_VALUE"""),"")</f>
        <v/>
      </c>
      <c r="G605" s="8" t="str">
        <f>IFERROR(__xludf.DUMMYFUNCTION("""COMPUTED_VALUE"""),"")</f>
        <v/>
      </c>
      <c r="L605" s="8" t="s">
        <v>299</v>
      </c>
    </row>
    <row r="606">
      <c r="A606" s="10"/>
      <c r="B606" s="8" t="str">
        <f>IFERROR(__xludf.DUMMYFUNCTION("""COMPUTED_VALUE"""),"")</f>
        <v/>
      </c>
      <c r="C606" s="8" t="str">
        <f>IFERROR(__xludf.DUMMYFUNCTION("""COMPUTED_VALUE"""),"")</f>
        <v/>
      </c>
      <c r="D606" s="8" t="str">
        <f>IFERROR(__xludf.DUMMYFUNCTION("""COMPUTED_VALUE"""),"")</f>
        <v/>
      </c>
      <c r="E606" s="8" t="str">
        <f>IFERROR(__xludf.DUMMYFUNCTION("""COMPUTED_VALUE"""),"")</f>
        <v/>
      </c>
      <c r="F606" s="8" t="str">
        <f>IFERROR(__xludf.DUMMYFUNCTION("""COMPUTED_VALUE"""),"")</f>
        <v/>
      </c>
      <c r="G606" s="8" t="str">
        <f>IFERROR(__xludf.DUMMYFUNCTION("""COMPUTED_VALUE"""),"")</f>
        <v/>
      </c>
      <c r="L606" s="8" t="s">
        <v>299</v>
      </c>
    </row>
    <row r="607">
      <c r="A607" s="10"/>
      <c r="B607" s="8" t="str">
        <f>IFERROR(__xludf.DUMMYFUNCTION("""COMPUTED_VALUE"""),"")</f>
        <v/>
      </c>
      <c r="C607" s="8" t="str">
        <f>IFERROR(__xludf.DUMMYFUNCTION("""COMPUTED_VALUE"""),"")</f>
        <v/>
      </c>
      <c r="D607" s="8" t="str">
        <f>IFERROR(__xludf.DUMMYFUNCTION("""COMPUTED_VALUE"""),"")</f>
        <v/>
      </c>
      <c r="E607" s="8" t="str">
        <f>IFERROR(__xludf.DUMMYFUNCTION("""COMPUTED_VALUE"""),"")</f>
        <v/>
      </c>
      <c r="F607" s="8" t="str">
        <f>IFERROR(__xludf.DUMMYFUNCTION("""COMPUTED_VALUE"""),"")</f>
        <v/>
      </c>
      <c r="G607" s="8" t="str">
        <f>IFERROR(__xludf.DUMMYFUNCTION("""COMPUTED_VALUE"""),"")</f>
        <v/>
      </c>
      <c r="L607" s="8" t="s">
        <v>299</v>
      </c>
    </row>
    <row r="608">
      <c r="A608" s="10"/>
      <c r="B608" s="8" t="str">
        <f>IFERROR(__xludf.DUMMYFUNCTION("""COMPUTED_VALUE"""),"")</f>
        <v/>
      </c>
      <c r="C608" s="8" t="str">
        <f>IFERROR(__xludf.DUMMYFUNCTION("""COMPUTED_VALUE"""),"")</f>
        <v/>
      </c>
      <c r="D608" s="8" t="str">
        <f>IFERROR(__xludf.DUMMYFUNCTION("""COMPUTED_VALUE"""),"")</f>
        <v/>
      </c>
      <c r="E608" s="8" t="str">
        <f>IFERROR(__xludf.DUMMYFUNCTION("""COMPUTED_VALUE"""),"")</f>
        <v/>
      </c>
      <c r="F608" s="8" t="str">
        <f>IFERROR(__xludf.DUMMYFUNCTION("""COMPUTED_VALUE"""),"")</f>
        <v/>
      </c>
      <c r="G608" s="8" t="str">
        <f>IFERROR(__xludf.DUMMYFUNCTION("""COMPUTED_VALUE"""),"")</f>
        <v/>
      </c>
      <c r="L608" s="8" t="s">
        <v>299</v>
      </c>
    </row>
    <row r="609">
      <c r="A609" s="10"/>
      <c r="B609" s="8" t="str">
        <f>IFERROR(__xludf.DUMMYFUNCTION("""COMPUTED_VALUE"""),"")</f>
        <v/>
      </c>
      <c r="C609" s="8" t="str">
        <f>IFERROR(__xludf.DUMMYFUNCTION("""COMPUTED_VALUE"""),"")</f>
        <v/>
      </c>
      <c r="D609" s="8" t="str">
        <f>IFERROR(__xludf.DUMMYFUNCTION("""COMPUTED_VALUE"""),"")</f>
        <v/>
      </c>
      <c r="E609" s="8" t="str">
        <f>IFERROR(__xludf.DUMMYFUNCTION("""COMPUTED_VALUE"""),"")</f>
        <v/>
      </c>
      <c r="F609" s="8" t="str">
        <f>IFERROR(__xludf.DUMMYFUNCTION("""COMPUTED_VALUE"""),"")</f>
        <v/>
      </c>
      <c r="G609" s="8" t="str">
        <f>IFERROR(__xludf.DUMMYFUNCTION("""COMPUTED_VALUE"""),"")</f>
        <v/>
      </c>
      <c r="L609" s="8" t="s">
        <v>299</v>
      </c>
    </row>
    <row r="610">
      <c r="A610" s="10"/>
      <c r="B610" s="8" t="str">
        <f>IFERROR(__xludf.DUMMYFUNCTION("""COMPUTED_VALUE"""),"")</f>
        <v/>
      </c>
      <c r="C610" s="8" t="str">
        <f>IFERROR(__xludf.DUMMYFUNCTION("""COMPUTED_VALUE"""),"")</f>
        <v/>
      </c>
      <c r="D610" s="8" t="str">
        <f>IFERROR(__xludf.DUMMYFUNCTION("""COMPUTED_VALUE"""),"")</f>
        <v/>
      </c>
      <c r="E610" s="8" t="str">
        <f>IFERROR(__xludf.DUMMYFUNCTION("""COMPUTED_VALUE"""),"")</f>
        <v/>
      </c>
      <c r="F610" s="8" t="str">
        <f>IFERROR(__xludf.DUMMYFUNCTION("""COMPUTED_VALUE"""),"")</f>
        <v/>
      </c>
      <c r="G610" s="8" t="str">
        <f>IFERROR(__xludf.DUMMYFUNCTION("""COMPUTED_VALUE"""),"")</f>
        <v/>
      </c>
      <c r="L610" s="8" t="s">
        <v>299</v>
      </c>
    </row>
    <row r="611">
      <c r="A611" s="10"/>
      <c r="B611" s="8" t="str">
        <f>IFERROR(__xludf.DUMMYFUNCTION("""COMPUTED_VALUE"""),"")</f>
        <v/>
      </c>
      <c r="C611" s="8" t="str">
        <f>IFERROR(__xludf.DUMMYFUNCTION("""COMPUTED_VALUE"""),"")</f>
        <v/>
      </c>
      <c r="D611" s="8" t="str">
        <f>IFERROR(__xludf.DUMMYFUNCTION("""COMPUTED_VALUE"""),"")</f>
        <v/>
      </c>
      <c r="E611" s="8" t="str">
        <f>IFERROR(__xludf.DUMMYFUNCTION("""COMPUTED_VALUE"""),"")</f>
        <v/>
      </c>
      <c r="F611" s="8" t="str">
        <f>IFERROR(__xludf.DUMMYFUNCTION("""COMPUTED_VALUE"""),"")</f>
        <v/>
      </c>
      <c r="G611" s="8" t="str">
        <f>IFERROR(__xludf.DUMMYFUNCTION("""COMPUTED_VALUE"""),"")</f>
        <v/>
      </c>
      <c r="L611" s="8" t="s">
        <v>299</v>
      </c>
    </row>
    <row r="612">
      <c r="A612" s="10"/>
      <c r="B612" s="8" t="str">
        <f>IFERROR(__xludf.DUMMYFUNCTION("""COMPUTED_VALUE"""),"")</f>
        <v/>
      </c>
      <c r="C612" s="8" t="str">
        <f>IFERROR(__xludf.DUMMYFUNCTION("""COMPUTED_VALUE"""),"")</f>
        <v/>
      </c>
      <c r="D612" s="8" t="str">
        <f>IFERROR(__xludf.DUMMYFUNCTION("""COMPUTED_VALUE"""),"")</f>
        <v/>
      </c>
      <c r="E612" s="8" t="str">
        <f>IFERROR(__xludf.DUMMYFUNCTION("""COMPUTED_VALUE"""),"")</f>
        <v/>
      </c>
      <c r="F612" s="8" t="str">
        <f>IFERROR(__xludf.DUMMYFUNCTION("""COMPUTED_VALUE"""),"")</f>
        <v/>
      </c>
      <c r="G612" s="8" t="str">
        <f>IFERROR(__xludf.DUMMYFUNCTION("""COMPUTED_VALUE"""),"")</f>
        <v/>
      </c>
      <c r="L612" s="8" t="s">
        <v>299</v>
      </c>
    </row>
    <row r="613">
      <c r="A613" s="10"/>
      <c r="B613" s="8" t="str">
        <f>IFERROR(__xludf.DUMMYFUNCTION("""COMPUTED_VALUE"""),"")</f>
        <v/>
      </c>
      <c r="C613" s="8" t="str">
        <f>IFERROR(__xludf.DUMMYFUNCTION("""COMPUTED_VALUE"""),"")</f>
        <v/>
      </c>
      <c r="D613" s="8" t="str">
        <f>IFERROR(__xludf.DUMMYFUNCTION("""COMPUTED_VALUE"""),"")</f>
        <v/>
      </c>
      <c r="E613" s="8" t="str">
        <f>IFERROR(__xludf.DUMMYFUNCTION("""COMPUTED_VALUE"""),"")</f>
        <v/>
      </c>
      <c r="F613" s="8" t="str">
        <f>IFERROR(__xludf.DUMMYFUNCTION("""COMPUTED_VALUE"""),"")</f>
        <v/>
      </c>
      <c r="G613" s="8" t="str">
        <f>IFERROR(__xludf.DUMMYFUNCTION("""COMPUTED_VALUE"""),"")</f>
        <v/>
      </c>
      <c r="L613" s="8" t="s">
        <v>299</v>
      </c>
    </row>
    <row r="614">
      <c r="A614" s="10"/>
      <c r="B614" s="8" t="str">
        <f>IFERROR(__xludf.DUMMYFUNCTION("""COMPUTED_VALUE"""),"")</f>
        <v/>
      </c>
      <c r="C614" s="8" t="str">
        <f>IFERROR(__xludf.DUMMYFUNCTION("""COMPUTED_VALUE"""),"")</f>
        <v/>
      </c>
      <c r="D614" s="8" t="str">
        <f>IFERROR(__xludf.DUMMYFUNCTION("""COMPUTED_VALUE"""),"")</f>
        <v/>
      </c>
      <c r="E614" s="8" t="str">
        <f>IFERROR(__xludf.DUMMYFUNCTION("""COMPUTED_VALUE"""),"")</f>
        <v/>
      </c>
      <c r="F614" s="8" t="str">
        <f>IFERROR(__xludf.DUMMYFUNCTION("""COMPUTED_VALUE"""),"")</f>
        <v/>
      </c>
      <c r="G614" s="8" t="str">
        <f>IFERROR(__xludf.DUMMYFUNCTION("""COMPUTED_VALUE"""),"")</f>
        <v/>
      </c>
      <c r="L614" s="8" t="s">
        <v>299</v>
      </c>
    </row>
    <row r="615">
      <c r="A615" s="10"/>
      <c r="B615" s="8" t="str">
        <f>IFERROR(__xludf.DUMMYFUNCTION("""COMPUTED_VALUE"""),"")</f>
        <v/>
      </c>
      <c r="C615" s="8" t="str">
        <f>IFERROR(__xludf.DUMMYFUNCTION("""COMPUTED_VALUE"""),"")</f>
        <v/>
      </c>
      <c r="D615" s="8" t="str">
        <f>IFERROR(__xludf.DUMMYFUNCTION("""COMPUTED_VALUE"""),"")</f>
        <v/>
      </c>
      <c r="E615" s="8" t="str">
        <f>IFERROR(__xludf.DUMMYFUNCTION("""COMPUTED_VALUE"""),"")</f>
        <v/>
      </c>
      <c r="F615" s="8" t="str">
        <f>IFERROR(__xludf.DUMMYFUNCTION("""COMPUTED_VALUE"""),"")</f>
        <v/>
      </c>
      <c r="G615" s="8" t="str">
        <f>IFERROR(__xludf.DUMMYFUNCTION("""COMPUTED_VALUE"""),"")</f>
        <v/>
      </c>
      <c r="L615" s="8" t="s">
        <v>299</v>
      </c>
    </row>
    <row r="616">
      <c r="A616" s="10"/>
      <c r="B616" s="8" t="str">
        <f>IFERROR(__xludf.DUMMYFUNCTION("""COMPUTED_VALUE"""),"")</f>
        <v/>
      </c>
      <c r="C616" s="8" t="str">
        <f>IFERROR(__xludf.DUMMYFUNCTION("""COMPUTED_VALUE"""),"")</f>
        <v/>
      </c>
      <c r="D616" s="8" t="str">
        <f>IFERROR(__xludf.DUMMYFUNCTION("""COMPUTED_VALUE"""),"")</f>
        <v/>
      </c>
      <c r="E616" s="8" t="str">
        <f>IFERROR(__xludf.DUMMYFUNCTION("""COMPUTED_VALUE"""),"")</f>
        <v/>
      </c>
      <c r="F616" s="8" t="str">
        <f>IFERROR(__xludf.DUMMYFUNCTION("""COMPUTED_VALUE"""),"")</f>
        <v/>
      </c>
      <c r="G616" s="8" t="str">
        <f>IFERROR(__xludf.DUMMYFUNCTION("""COMPUTED_VALUE"""),"")</f>
        <v/>
      </c>
      <c r="L616" s="8" t="s">
        <v>299</v>
      </c>
    </row>
    <row r="617">
      <c r="A617" s="10"/>
      <c r="B617" s="8" t="str">
        <f>IFERROR(__xludf.DUMMYFUNCTION("""COMPUTED_VALUE"""),"")</f>
        <v/>
      </c>
      <c r="C617" s="8" t="str">
        <f>IFERROR(__xludf.DUMMYFUNCTION("""COMPUTED_VALUE"""),"")</f>
        <v/>
      </c>
      <c r="D617" s="8" t="str">
        <f>IFERROR(__xludf.DUMMYFUNCTION("""COMPUTED_VALUE"""),"")</f>
        <v/>
      </c>
      <c r="E617" s="8" t="str">
        <f>IFERROR(__xludf.DUMMYFUNCTION("""COMPUTED_VALUE"""),"")</f>
        <v/>
      </c>
      <c r="F617" s="8" t="str">
        <f>IFERROR(__xludf.DUMMYFUNCTION("""COMPUTED_VALUE"""),"")</f>
        <v/>
      </c>
      <c r="G617" s="8" t="str">
        <f>IFERROR(__xludf.DUMMYFUNCTION("""COMPUTED_VALUE"""),"")</f>
        <v/>
      </c>
      <c r="L617" s="8" t="s">
        <v>299</v>
      </c>
    </row>
    <row r="618">
      <c r="A618" s="10"/>
      <c r="B618" s="8" t="str">
        <f>IFERROR(__xludf.DUMMYFUNCTION("""COMPUTED_VALUE"""),"")</f>
        <v/>
      </c>
      <c r="C618" s="8" t="str">
        <f>IFERROR(__xludf.DUMMYFUNCTION("""COMPUTED_VALUE"""),"")</f>
        <v/>
      </c>
      <c r="D618" s="8" t="str">
        <f>IFERROR(__xludf.DUMMYFUNCTION("""COMPUTED_VALUE"""),"")</f>
        <v/>
      </c>
      <c r="E618" s="8" t="str">
        <f>IFERROR(__xludf.DUMMYFUNCTION("""COMPUTED_VALUE"""),"")</f>
        <v/>
      </c>
      <c r="F618" s="8" t="str">
        <f>IFERROR(__xludf.DUMMYFUNCTION("""COMPUTED_VALUE"""),"")</f>
        <v/>
      </c>
      <c r="G618" s="8" t="str">
        <f>IFERROR(__xludf.DUMMYFUNCTION("""COMPUTED_VALUE"""),"")</f>
        <v/>
      </c>
      <c r="L618" s="8" t="s">
        <v>299</v>
      </c>
    </row>
    <row r="619">
      <c r="A619" s="10"/>
      <c r="B619" s="8" t="str">
        <f>IFERROR(__xludf.DUMMYFUNCTION("""COMPUTED_VALUE"""),"")</f>
        <v/>
      </c>
      <c r="C619" s="8" t="str">
        <f>IFERROR(__xludf.DUMMYFUNCTION("""COMPUTED_VALUE"""),"")</f>
        <v/>
      </c>
      <c r="D619" s="8" t="str">
        <f>IFERROR(__xludf.DUMMYFUNCTION("""COMPUTED_VALUE"""),"")</f>
        <v/>
      </c>
      <c r="E619" s="8" t="str">
        <f>IFERROR(__xludf.DUMMYFUNCTION("""COMPUTED_VALUE"""),"")</f>
        <v/>
      </c>
      <c r="F619" s="8" t="str">
        <f>IFERROR(__xludf.DUMMYFUNCTION("""COMPUTED_VALUE"""),"")</f>
        <v/>
      </c>
      <c r="G619" s="8" t="str">
        <f>IFERROR(__xludf.DUMMYFUNCTION("""COMPUTED_VALUE"""),"")</f>
        <v/>
      </c>
      <c r="L619" s="8" t="s">
        <v>299</v>
      </c>
    </row>
    <row r="620">
      <c r="A620" s="10"/>
      <c r="B620" s="8" t="str">
        <f>IFERROR(__xludf.DUMMYFUNCTION("""COMPUTED_VALUE"""),"")</f>
        <v/>
      </c>
      <c r="C620" s="8" t="str">
        <f>IFERROR(__xludf.DUMMYFUNCTION("""COMPUTED_VALUE"""),"")</f>
        <v/>
      </c>
      <c r="D620" s="8" t="str">
        <f>IFERROR(__xludf.DUMMYFUNCTION("""COMPUTED_VALUE"""),"")</f>
        <v/>
      </c>
      <c r="E620" s="8" t="str">
        <f>IFERROR(__xludf.DUMMYFUNCTION("""COMPUTED_VALUE"""),"")</f>
        <v/>
      </c>
      <c r="F620" s="8" t="str">
        <f>IFERROR(__xludf.DUMMYFUNCTION("""COMPUTED_VALUE"""),"")</f>
        <v/>
      </c>
      <c r="G620" s="8" t="str">
        <f>IFERROR(__xludf.DUMMYFUNCTION("""COMPUTED_VALUE"""),"")</f>
        <v/>
      </c>
      <c r="L620" s="8" t="s">
        <v>299</v>
      </c>
    </row>
    <row r="621">
      <c r="A621" s="10"/>
      <c r="B621" s="8" t="str">
        <f>IFERROR(__xludf.DUMMYFUNCTION("""COMPUTED_VALUE"""),"")</f>
        <v/>
      </c>
      <c r="C621" s="8" t="str">
        <f>IFERROR(__xludf.DUMMYFUNCTION("""COMPUTED_VALUE"""),"")</f>
        <v/>
      </c>
      <c r="D621" s="8" t="str">
        <f>IFERROR(__xludf.DUMMYFUNCTION("""COMPUTED_VALUE"""),"")</f>
        <v/>
      </c>
      <c r="E621" s="8" t="str">
        <f>IFERROR(__xludf.DUMMYFUNCTION("""COMPUTED_VALUE"""),"")</f>
        <v/>
      </c>
      <c r="F621" s="8" t="str">
        <f>IFERROR(__xludf.DUMMYFUNCTION("""COMPUTED_VALUE"""),"")</f>
        <v/>
      </c>
      <c r="G621" s="8" t="str">
        <f>IFERROR(__xludf.DUMMYFUNCTION("""COMPUTED_VALUE"""),"")</f>
        <v/>
      </c>
      <c r="L621" s="8" t="s">
        <v>299</v>
      </c>
    </row>
    <row r="622">
      <c r="A622" s="10"/>
      <c r="B622" s="8" t="str">
        <f>IFERROR(__xludf.DUMMYFUNCTION("""COMPUTED_VALUE"""),"")</f>
        <v/>
      </c>
      <c r="C622" s="8" t="str">
        <f>IFERROR(__xludf.DUMMYFUNCTION("""COMPUTED_VALUE"""),"")</f>
        <v/>
      </c>
      <c r="D622" s="8" t="str">
        <f>IFERROR(__xludf.DUMMYFUNCTION("""COMPUTED_VALUE"""),"")</f>
        <v/>
      </c>
      <c r="E622" s="8" t="str">
        <f>IFERROR(__xludf.DUMMYFUNCTION("""COMPUTED_VALUE"""),"")</f>
        <v/>
      </c>
      <c r="F622" s="8" t="str">
        <f>IFERROR(__xludf.DUMMYFUNCTION("""COMPUTED_VALUE"""),"")</f>
        <v/>
      </c>
      <c r="G622" s="8" t="str">
        <f>IFERROR(__xludf.DUMMYFUNCTION("""COMPUTED_VALUE"""),"")</f>
        <v/>
      </c>
      <c r="L622" s="8" t="s">
        <v>299</v>
      </c>
    </row>
    <row r="623">
      <c r="A623" s="10"/>
      <c r="B623" s="8" t="str">
        <f>IFERROR(__xludf.DUMMYFUNCTION("""COMPUTED_VALUE"""),"")</f>
        <v/>
      </c>
      <c r="C623" s="8" t="str">
        <f>IFERROR(__xludf.DUMMYFUNCTION("""COMPUTED_VALUE"""),"")</f>
        <v/>
      </c>
      <c r="D623" s="8" t="str">
        <f>IFERROR(__xludf.DUMMYFUNCTION("""COMPUTED_VALUE"""),"")</f>
        <v/>
      </c>
      <c r="E623" s="8" t="str">
        <f>IFERROR(__xludf.DUMMYFUNCTION("""COMPUTED_VALUE"""),"")</f>
        <v/>
      </c>
      <c r="F623" s="8" t="str">
        <f>IFERROR(__xludf.DUMMYFUNCTION("""COMPUTED_VALUE"""),"")</f>
        <v/>
      </c>
      <c r="G623" s="8" t="str">
        <f>IFERROR(__xludf.DUMMYFUNCTION("""COMPUTED_VALUE"""),"")</f>
        <v/>
      </c>
      <c r="L623" s="8" t="s">
        <v>299</v>
      </c>
    </row>
    <row r="624">
      <c r="A624" s="10"/>
      <c r="B624" s="8" t="str">
        <f>IFERROR(__xludf.DUMMYFUNCTION("""COMPUTED_VALUE"""),"")</f>
        <v/>
      </c>
      <c r="C624" s="8" t="str">
        <f>IFERROR(__xludf.DUMMYFUNCTION("""COMPUTED_VALUE"""),"")</f>
        <v/>
      </c>
      <c r="D624" s="8" t="str">
        <f>IFERROR(__xludf.DUMMYFUNCTION("""COMPUTED_VALUE"""),"")</f>
        <v/>
      </c>
      <c r="E624" s="8" t="str">
        <f>IFERROR(__xludf.DUMMYFUNCTION("""COMPUTED_VALUE"""),"")</f>
        <v/>
      </c>
      <c r="F624" s="8" t="str">
        <f>IFERROR(__xludf.DUMMYFUNCTION("""COMPUTED_VALUE"""),"")</f>
        <v/>
      </c>
      <c r="G624" s="8" t="str">
        <f>IFERROR(__xludf.DUMMYFUNCTION("""COMPUTED_VALUE"""),"")</f>
        <v/>
      </c>
      <c r="L624" s="8" t="s">
        <v>299</v>
      </c>
    </row>
    <row r="625">
      <c r="A625" s="10"/>
      <c r="B625" s="8" t="str">
        <f>IFERROR(__xludf.DUMMYFUNCTION("""COMPUTED_VALUE"""),"")</f>
        <v/>
      </c>
      <c r="C625" s="8" t="str">
        <f>IFERROR(__xludf.DUMMYFUNCTION("""COMPUTED_VALUE"""),"")</f>
        <v/>
      </c>
      <c r="D625" s="8" t="str">
        <f>IFERROR(__xludf.DUMMYFUNCTION("""COMPUTED_VALUE"""),"")</f>
        <v/>
      </c>
      <c r="E625" s="8" t="str">
        <f>IFERROR(__xludf.DUMMYFUNCTION("""COMPUTED_VALUE"""),"")</f>
        <v/>
      </c>
      <c r="F625" s="8" t="str">
        <f>IFERROR(__xludf.DUMMYFUNCTION("""COMPUTED_VALUE"""),"")</f>
        <v/>
      </c>
      <c r="G625" s="8" t="str">
        <f>IFERROR(__xludf.DUMMYFUNCTION("""COMPUTED_VALUE"""),"")</f>
        <v/>
      </c>
      <c r="L625" s="8" t="s">
        <v>299</v>
      </c>
    </row>
    <row r="626">
      <c r="A626" s="10"/>
      <c r="B626" s="8" t="str">
        <f>IFERROR(__xludf.DUMMYFUNCTION("""COMPUTED_VALUE"""),"")</f>
        <v/>
      </c>
      <c r="C626" s="8" t="str">
        <f>IFERROR(__xludf.DUMMYFUNCTION("""COMPUTED_VALUE"""),"")</f>
        <v/>
      </c>
      <c r="D626" s="8" t="str">
        <f>IFERROR(__xludf.DUMMYFUNCTION("""COMPUTED_VALUE"""),"")</f>
        <v/>
      </c>
      <c r="E626" s="8" t="str">
        <f>IFERROR(__xludf.DUMMYFUNCTION("""COMPUTED_VALUE"""),"")</f>
        <v/>
      </c>
      <c r="F626" s="8" t="str">
        <f>IFERROR(__xludf.DUMMYFUNCTION("""COMPUTED_VALUE"""),"")</f>
        <v/>
      </c>
      <c r="G626" s="8" t="str">
        <f>IFERROR(__xludf.DUMMYFUNCTION("""COMPUTED_VALUE"""),"")</f>
        <v/>
      </c>
      <c r="L626" s="8" t="s">
        <v>299</v>
      </c>
    </row>
    <row r="627">
      <c r="A627" s="10"/>
      <c r="B627" s="8" t="str">
        <f>IFERROR(__xludf.DUMMYFUNCTION("""COMPUTED_VALUE"""),"")</f>
        <v/>
      </c>
      <c r="C627" s="8" t="str">
        <f>IFERROR(__xludf.DUMMYFUNCTION("""COMPUTED_VALUE"""),"")</f>
        <v/>
      </c>
      <c r="D627" s="8" t="str">
        <f>IFERROR(__xludf.DUMMYFUNCTION("""COMPUTED_VALUE"""),"")</f>
        <v/>
      </c>
      <c r="E627" s="8" t="str">
        <f>IFERROR(__xludf.DUMMYFUNCTION("""COMPUTED_VALUE"""),"")</f>
        <v/>
      </c>
      <c r="F627" s="8" t="str">
        <f>IFERROR(__xludf.DUMMYFUNCTION("""COMPUTED_VALUE"""),"")</f>
        <v/>
      </c>
      <c r="G627" s="8" t="str">
        <f>IFERROR(__xludf.DUMMYFUNCTION("""COMPUTED_VALUE"""),"")</f>
        <v/>
      </c>
      <c r="L627" s="8" t="s">
        <v>299</v>
      </c>
    </row>
    <row r="628">
      <c r="A628" s="10"/>
      <c r="B628" s="8" t="str">
        <f>IFERROR(__xludf.DUMMYFUNCTION("""COMPUTED_VALUE"""),"")</f>
        <v/>
      </c>
      <c r="C628" s="8" t="str">
        <f>IFERROR(__xludf.DUMMYFUNCTION("""COMPUTED_VALUE"""),"")</f>
        <v/>
      </c>
      <c r="D628" s="8" t="str">
        <f>IFERROR(__xludf.DUMMYFUNCTION("""COMPUTED_VALUE"""),"")</f>
        <v/>
      </c>
      <c r="E628" s="8" t="str">
        <f>IFERROR(__xludf.DUMMYFUNCTION("""COMPUTED_VALUE"""),"")</f>
        <v/>
      </c>
      <c r="F628" s="8" t="str">
        <f>IFERROR(__xludf.DUMMYFUNCTION("""COMPUTED_VALUE"""),"")</f>
        <v/>
      </c>
      <c r="G628" s="8" t="str">
        <f>IFERROR(__xludf.DUMMYFUNCTION("""COMPUTED_VALUE"""),"")</f>
        <v/>
      </c>
      <c r="L628" s="8" t="s">
        <v>299</v>
      </c>
    </row>
    <row r="629">
      <c r="A629" s="10"/>
      <c r="B629" s="8" t="str">
        <f>IFERROR(__xludf.DUMMYFUNCTION("""COMPUTED_VALUE"""),"")</f>
        <v/>
      </c>
      <c r="C629" s="8" t="str">
        <f>IFERROR(__xludf.DUMMYFUNCTION("""COMPUTED_VALUE"""),"")</f>
        <v/>
      </c>
      <c r="D629" s="8" t="str">
        <f>IFERROR(__xludf.DUMMYFUNCTION("""COMPUTED_VALUE"""),"")</f>
        <v/>
      </c>
      <c r="E629" s="8" t="str">
        <f>IFERROR(__xludf.DUMMYFUNCTION("""COMPUTED_VALUE"""),"")</f>
        <v/>
      </c>
      <c r="F629" s="8" t="str">
        <f>IFERROR(__xludf.DUMMYFUNCTION("""COMPUTED_VALUE"""),"")</f>
        <v/>
      </c>
      <c r="G629" s="8" t="str">
        <f>IFERROR(__xludf.DUMMYFUNCTION("""COMPUTED_VALUE"""),"")</f>
        <v/>
      </c>
      <c r="L629" s="8" t="s">
        <v>299</v>
      </c>
    </row>
    <row r="630">
      <c r="A630" s="10"/>
      <c r="B630" s="8" t="str">
        <f>IFERROR(__xludf.DUMMYFUNCTION("""COMPUTED_VALUE"""),"")</f>
        <v/>
      </c>
      <c r="C630" s="8" t="str">
        <f>IFERROR(__xludf.DUMMYFUNCTION("""COMPUTED_VALUE"""),"")</f>
        <v/>
      </c>
      <c r="D630" s="8" t="str">
        <f>IFERROR(__xludf.DUMMYFUNCTION("""COMPUTED_VALUE"""),"")</f>
        <v/>
      </c>
      <c r="E630" s="8" t="str">
        <f>IFERROR(__xludf.DUMMYFUNCTION("""COMPUTED_VALUE"""),"")</f>
        <v/>
      </c>
      <c r="F630" s="8" t="str">
        <f>IFERROR(__xludf.DUMMYFUNCTION("""COMPUTED_VALUE"""),"")</f>
        <v/>
      </c>
      <c r="G630" s="8" t="str">
        <f>IFERROR(__xludf.DUMMYFUNCTION("""COMPUTED_VALUE"""),"")</f>
        <v/>
      </c>
      <c r="L630" s="8" t="s">
        <v>299</v>
      </c>
    </row>
    <row r="631">
      <c r="A631" s="10"/>
      <c r="B631" s="8" t="str">
        <f>IFERROR(__xludf.DUMMYFUNCTION("""COMPUTED_VALUE"""),"")</f>
        <v/>
      </c>
      <c r="C631" s="8" t="str">
        <f>IFERROR(__xludf.DUMMYFUNCTION("""COMPUTED_VALUE"""),"")</f>
        <v/>
      </c>
      <c r="D631" s="8" t="str">
        <f>IFERROR(__xludf.DUMMYFUNCTION("""COMPUTED_VALUE"""),"")</f>
        <v/>
      </c>
      <c r="E631" s="8" t="str">
        <f>IFERROR(__xludf.DUMMYFUNCTION("""COMPUTED_VALUE"""),"")</f>
        <v/>
      </c>
      <c r="F631" s="8" t="str">
        <f>IFERROR(__xludf.DUMMYFUNCTION("""COMPUTED_VALUE"""),"")</f>
        <v/>
      </c>
      <c r="G631" s="8" t="str">
        <f>IFERROR(__xludf.DUMMYFUNCTION("""COMPUTED_VALUE"""),"")</f>
        <v/>
      </c>
      <c r="L631" s="8" t="s">
        <v>299</v>
      </c>
    </row>
    <row r="632">
      <c r="A632" s="10"/>
      <c r="B632" s="8" t="str">
        <f>IFERROR(__xludf.DUMMYFUNCTION("""COMPUTED_VALUE"""),"")</f>
        <v/>
      </c>
      <c r="C632" s="8" t="str">
        <f>IFERROR(__xludf.DUMMYFUNCTION("""COMPUTED_VALUE"""),"")</f>
        <v/>
      </c>
      <c r="D632" s="8" t="str">
        <f>IFERROR(__xludf.DUMMYFUNCTION("""COMPUTED_VALUE"""),"")</f>
        <v/>
      </c>
      <c r="E632" s="8" t="str">
        <f>IFERROR(__xludf.DUMMYFUNCTION("""COMPUTED_VALUE"""),"")</f>
        <v/>
      </c>
      <c r="F632" s="8" t="str">
        <f>IFERROR(__xludf.DUMMYFUNCTION("""COMPUTED_VALUE"""),"")</f>
        <v/>
      </c>
      <c r="G632" s="8" t="str">
        <f>IFERROR(__xludf.DUMMYFUNCTION("""COMPUTED_VALUE"""),"")</f>
        <v/>
      </c>
      <c r="L632" s="8" t="s">
        <v>299</v>
      </c>
    </row>
    <row r="633">
      <c r="A633" s="10"/>
      <c r="B633" s="8" t="str">
        <f>IFERROR(__xludf.DUMMYFUNCTION("""COMPUTED_VALUE"""),"")</f>
        <v/>
      </c>
      <c r="C633" s="8" t="str">
        <f>IFERROR(__xludf.DUMMYFUNCTION("""COMPUTED_VALUE"""),"")</f>
        <v/>
      </c>
      <c r="D633" s="8" t="str">
        <f>IFERROR(__xludf.DUMMYFUNCTION("""COMPUTED_VALUE"""),"")</f>
        <v/>
      </c>
      <c r="E633" s="8" t="str">
        <f>IFERROR(__xludf.DUMMYFUNCTION("""COMPUTED_VALUE"""),"")</f>
        <v/>
      </c>
      <c r="F633" s="8" t="str">
        <f>IFERROR(__xludf.DUMMYFUNCTION("""COMPUTED_VALUE"""),"")</f>
        <v/>
      </c>
      <c r="G633" s="8" t="str">
        <f>IFERROR(__xludf.DUMMYFUNCTION("""COMPUTED_VALUE"""),"")</f>
        <v/>
      </c>
      <c r="L633" s="8" t="s">
        <v>299</v>
      </c>
    </row>
    <row r="634">
      <c r="A634" s="10"/>
      <c r="B634" s="8" t="str">
        <f>IFERROR(__xludf.DUMMYFUNCTION("""COMPUTED_VALUE"""),"")</f>
        <v/>
      </c>
      <c r="C634" s="8" t="str">
        <f>IFERROR(__xludf.DUMMYFUNCTION("""COMPUTED_VALUE"""),"")</f>
        <v/>
      </c>
      <c r="D634" s="8" t="str">
        <f>IFERROR(__xludf.DUMMYFUNCTION("""COMPUTED_VALUE"""),"")</f>
        <v/>
      </c>
      <c r="E634" s="8" t="str">
        <f>IFERROR(__xludf.DUMMYFUNCTION("""COMPUTED_VALUE"""),"")</f>
        <v/>
      </c>
      <c r="F634" s="8" t="str">
        <f>IFERROR(__xludf.DUMMYFUNCTION("""COMPUTED_VALUE"""),"")</f>
        <v/>
      </c>
      <c r="G634" s="8" t="str">
        <f>IFERROR(__xludf.DUMMYFUNCTION("""COMPUTED_VALUE"""),"")</f>
        <v/>
      </c>
      <c r="L634" s="8" t="s">
        <v>299</v>
      </c>
    </row>
    <row r="635">
      <c r="A635" s="10"/>
      <c r="B635" s="8" t="str">
        <f>IFERROR(__xludf.DUMMYFUNCTION("""COMPUTED_VALUE"""),"")</f>
        <v/>
      </c>
      <c r="C635" s="8" t="str">
        <f>IFERROR(__xludf.DUMMYFUNCTION("""COMPUTED_VALUE"""),"")</f>
        <v/>
      </c>
      <c r="D635" s="8" t="str">
        <f>IFERROR(__xludf.DUMMYFUNCTION("""COMPUTED_VALUE"""),"")</f>
        <v/>
      </c>
      <c r="E635" s="8" t="str">
        <f>IFERROR(__xludf.DUMMYFUNCTION("""COMPUTED_VALUE"""),"")</f>
        <v/>
      </c>
      <c r="F635" s="8" t="str">
        <f>IFERROR(__xludf.DUMMYFUNCTION("""COMPUTED_VALUE"""),"")</f>
        <v/>
      </c>
      <c r="G635" s="8" t="str">
        <f>IFERROR(__xludf.DUMMYFUNCTION("""COMPUTED_VALUE"""),"")</f>
        <v/>
      </c>
      <c r="L635" s="8" t="s">
        <v>299</v>
      </c>
    </row>
    <row r="636">
      <c r="A636" s="10"/>
      <c r="B636" s="8" t="str">
        <f>IFERROR(__xludf.DUMMYFUNCTION("""COMPUTED_VALUE"""),"")</f>
        <v/>
      </c>
      <c r="C636" s="8" t="str">
        <f>IFERROR(__xludf.DUMMYFUNCTION("""COMPUTED_VALUE"""),"")</f>
        <v/>
      </c>
      <c r="D636" s="8" t="str">
        <f>IFERROR(__xludf.DUMMYFUNCTION("""COMPUTED_VALUE"""),"")</f>
        <v/>
      </c>
      <c r="E636" s="8" t="str">
        <f>IFERROR(__xludf.DUMMYFUNCTION("""COMPUTED_VALUE"""),"")</f>
        <v/>
      </c>
      <c r="F636" s="8" t="str">
        <f>IFERROR(__xludf.DUMMYFUNCTION("""COMPUTED_VALUE"""),"")</f>
        <v/>
      </c>
      <c r="G636" s="8" t="str">
        <f>IFERROR(__xludf.DUMMYFUNCTION("""COMPUTED_VALUE"""),"")</f>
        <v/>
      </c>
      <c r="L636" s="8" t="s">
        <v>299</v>
      </c>
    </row>
    <row r="637">
      <c r="A637" s="10"/>
      <c r="B637" s="8" t="str">
        <f>IFERROR(__xludf.DUMMYFUNCTION("""COMPUTED_VALUE"""),"")</f>
        <v/>
      </c>
      <c r="C637" s="8" t="str">
        <f>IFERROR(__xludf.DUMMYFUNCTION("""COMPUTED_VALUE"""),"")</f>
        <v/>
      </c>
      <c r="D637" s="8" t="str">
        <f>IFERROR(__xludf.DUMMYFUNCTION("""COMPUTED_VALUE"""),"")</f>
        <v/>
      </c>
      <c r="E637" s="8" t="str">
        <f>IFERROR(__xludf.DUMMYFUNCTION("""COMPUTED_VALUE"""),"")</f>
        <v/>
      </c>
      <c r="F637" s="8" t="str">
        <f>IFERROR(__xludf.DUMMYFUNCTION("""COMPUTED_VALUE"""),"")</f>
        <v/>
      </c>
      <c r="G637" s="8" t="str">
        <f>IFERROR(__xludf.DUMMYFUNCTION("""COMPUTED_VALUE"""),"")</f>
        <v/>
      </c>
      <c r="L637" s="8" t="s">
        <v>299</v>
      </c>
    </row>
    <row r="638">
      <c r="A638" s="10"/>
      <c r="B638" s="8" t="str">
        <f>IFERROR(__xludf.DUMMYFUNCTION("""COMPUTED_VALUE"""),"")</f>
        <v/>
      </c>
      <c r="C638" s="8" t="str">
        <f>IFERROR(__xludf.DUMMYFUNCTION("""COMPUTED_VALUE"""),"")</f>
        <v/>
      </c>
      <c r="D638" s="8" t="str">
        <f>IFERROR(__xludf.DUMMYFUNCTION("""COMPUTED_VALUE"""),"")</f>
        <v/>
      </c>
      <c r="E638" s="8" t="str">
        <f>IFERROR(__xludf.DUMMYFUNCTION("""COMPUTED_VALUE"""),"")</f>
        <v/>
      </c>
      <c r="F638" s="8" t="str">
        <f>IFERROR(__xludf.DUMMYFUNCTION("""COMPUTED_VALUE"""),"")</f>
        <v/>
      </c>
      <c r="G638" s="8" t="str">
        <f>IFERROR(__xludf.DUMMYFUNCTION("""COMPUTED_VALUE"""),"")</f>
        <v/>
      </c>
      <c r="L638" s="8" t="s">
        <v>299</v>
      </c>
    </row>
    <row r="639">
      <c r="A639" s="10"/>
      <c r="B639" s="8" t="str">
        <f>IFERROR(__xludf.DUMMYFUNCTION("""COMPUTED_VALUE"""),"")</f>
        <v/>
      </c>
      <c r="C639" s="8" t="str">
        <f>IFERROR(__xludf.DUMMYFUNCTION("""COMPUTED_VALUE"""),"")</f>
        <v/>
      </c>
      <c r="D639" s="8" t="str">
        <f>IFERROR(__xludf.DUMMYFUNCTION("""COMPUTED_VALUE"""),"")</f>
        <v/>
      </c>
      <c r="E639" s="8" t="str">
        <f>IFERROR(__xludf.DUMMYFUNCTION("""COMPUTED_VALUE"""),"")</f>
        <v/>
      </c>
      <c r="F639" s="8" t="str">
        <f>IFERROR(__xludf.DUMMYFUNCTION("""COMPUTED_VALUE"""),"")</f>
        <v/>
      </c>
      <c r="G639" s="8" t="str">
        <f>IFERROR(__xludf.DUMMYFUNCTION("""COMPUTED_VALUE"""),"")</f>
        <v/>
      </c>
      <c r="L639" s="8" t="s">
        <v>299</v>
      </c>
    </row>
    <row r="640">
      <c r="A640" s="10"/>
      <c r="B640" s="8" t="str">
        <f>IFERROR(__xludf.DUMMYFUNCTION("""COMPUTED_VALUE"""),"")</f>
        <v/>
      </c>
      <c r="C640" s="8" t="str">
        <f>IFERROR(__xludf.DUMMYFUNCTION("""COMPUTED_VALUE"""),"")</f>
        <v/>
      </c>
      <c r="D640" s="8" t="str">
        <f>IFERROR(__xludf.DUMMYFUNCTION("""COMPUTED_VALUE"""),"")</f>
        <v/>
      </c>
      <c r="E640" s="8" t="str">
        <f>IFERROR(__xludf.DUMMYFUNCTION("""COMPUTED_VALUE"""),"")</f>
        <v/>
      </c>
      <c r="F640" s="8" t="str">
        <f>IFERROR(__xludf.DUMMYFUNCTION("""COMPUTED_VALUE"""),"")</f>
        <v/>
      </c>
      <c r="G640" s="8" t="str">
        <f>IFERROR(__xludf.DUMMYFUNCTION("""COMPUTED_VALUE"""),"")</f>
        <v/>
      </c>
      <c r="L640" s="8" t="s">
        <v>299</v>
      </c>
    </row>
    <row r="641">
      <c r="A641" s="10"/>
      <c r="B641" s="8" t="str">
        <f>IFERROR(__xludf.DUMMYFUNCTION("""COMPUTED_VALUE"""),"")</f>
        <v/>
      </c>
      <c r="C641" s="8" t="str">
        <f>IFERROR(__xludf.DUMMYFUNCTION("""COMPUTED_VALUE"""),"")</f>
        <v/>
      </c>
      <c r="D641" s="8" t="str">
        <f>IFERROR(__xludf.DUMMYFUNCTION("""COMPUTED_VALUE"""),"")</f>
        <v/>
      </c>
      <c r="E641" s="8" t="str">
        <f>IFERROR(__xludf.DUMMYFUNCTION("""COMPUTED_VALUE"""),"")</f>
        <v/>
      </c>
      <c r="F641" s="8" t="str">
        <f>IFERROR(__xludf.DUMMYFUNCTION("""COMPUTED_VALUE"""),"")</f>
        <v/>
      </c>
      <c r="G641" s="8" t="str">
        <f>IFERROR(__xludf.DUMMYFUNCTION("""COMPUTED_VALUE"""),"")</f>
        <v/>
      </c>
      <c r="L641" s="8" t="s">
        <v>299</v>
      </c>
    </row>
    <row r="642">
      <c r="A642" s="10"/>
      <c r="B642" s="8" t="str">
        <f>IFERROR(__xludf.DUMMYFUNCTION("""COMPUTED_VALUE"""),"")</f>
        <v/>
      </c>
      <c r="C642" s="8" t="str">
        <f>IFERROR(__xludf.DUMMYFUNCTION("""COMPUTED_VALUE"""),"")</f>
        <v/>
      </c>
      <c r="D642" s="8" t="str">
        <f>IFERROR(__xludf.DUMMYFUNCTION("""COMPUTED_VALUE"""),"")</f>
        <v/>
      </c>
      <c r="E642" s="8" t="str">
        <f>IFERROR(__xludf.DUMMYFUNCTION("""COMPUTED_VALUE"""),"")</f>
        <v/>
      </c>
      <c r="F642" s="8" t="str">
        <f>IFERROR(__xludf.DUMMYFUNCTION("""COMPUTED_VALUE"""),"")</f>
        <v/>
      </c>
      <c r="G642" s="8" t="str">
        <f>IFERROR(__xludf.DUMMYFUNCTION("""COMPUTED_VALUE"""),"")</f>
        <v/>
      </c>
      <c r="L642" s="8" t="s">
        <v>299</v>
      </c>
    </row>
    <row r="643">
      <c r="A643" s="10"/>
      <c r="B643" s="8" t="str">
        <f>IFERROR(__xludf.DUMMYFUNCTION("""COMPUTED_VALUE"""),"")</f>
        <v/>
      </c>
      <c r="C643" s="8" t="str">
        <f>IFERROR(__xludf.DUMMYFUNCTION("""COMPUTED_VALUE"""),"")</f>
        <v/>
      </c>
      <c r="D643" s="8" t="str">
        <f>IFERROR(__xludf.DUMMYFUNCTION("""COMPUTED_VALUE"""),"")</f>
        <v/>
      </c>
      <c r="E643" s="8" t="str">
        <f>IFERROR(__xludf.DUMMYFUNCTION("""COMPUTED_VALUE"""),"")</f>
        <v/>
      </c>
      <c r="F643" s="8" t="str">
        <f>IFERROR(__xludf.DUMMYFUNCTION("""COMPUTED_VALUE"""),"")</f>
        <v/>
      </c>
      <c r="G643" s="8" t="str">
        <f>IFERROR(__xludf.DUMMYFUNCTION("""COMPUTED_VALUE"""),"")</f>
        <v/>
      </c>
      <c r="L643" s="8" t="s">
        <v>299</v>
      </c>
    </row>
    <row r="644">
      <c r="A644" s="10"/>
      <c r="B644" s="8" t="str">
        <f>IFERROR(__xludf.DUMMYFUNCTION("""COMPUTED_VALUE"""),"")</f>
        <v/>
      </c>
      <c r="C644" s="8" t="str">
        <f>IFERROR(__xludf.DUMMYFUNCTION("""COMPUTED_VALUE"""),"")</f>
        <v/>
      </c>
      <c r="D644" s="8" t="str">
        <f>IFERROR(__xludf.DUMMYFUNCTION("""COMPUTED_VALUE"""),"")</f>
        <v/>
      </c>
      <c r="E644" s="8" t="str">
        <f>IFERROR(__xludf.DUMMYFUNCTION("""COMPUTED_VALUE"""),"")</f>
        <v/>
      </c>
      <c r="F644" s="8" t="str">
        <f>IFERROR(__xludf.DUMMYFUNCTION("""COMPUTED_VALUE"""),"")</f>
        <v/>
      </c>
      <c r="G644" s="8" t="str">
        <f>IFERROR(__xludf.DUMMYFUNCTION("""COMPUTED_VALUE"""),"")</f>
        <v/>
      </c>
      <c r="L644" s="8" t="s">
        <v>299</v>
      </c>
    </row>
    <row r="645">
      <c r="A645" s="10"/>
      <c r="B645" s="8" t="str">
        <f>IFERROR(__xludf.DUMMYFUNCTION("""COMPUTED_VALUE"""),"")</f>
        <v/>
      </c>
      <c r="C645" s="8" t="str">
        <f>IFERROR(__xludf.DUMMYFUNCTION("""COMPUTED_VALUE"""),"")</f>
        <v/>
      </c>
      <c r="D645" s="8" t="str">
        <f>IFERROR(__xludf.DUMMYFUNCTION("""COMPUTED_VALUE"""),"")</f>
        <v/>
      </c>
      <c r="E645" s="8" t="str">
        <f>IFERROR(__xludf.DUMMYFUNCTION("""COMPUTED_VALUE"""),"")</f>
        <v/>
      </c>
      <c r="F645" s="8" t="str">
        <f>IFERROR(__xludf.DUMMYFUNCTION("""COMPUTED_VALUE"""),"")</f>
        <v/>
      </c>
      <c r="G645" s="8" t="str">
        <f>IFERROR(__xludf.DUMMYFUNCTION("""COMPUTED_VALUE"""),"")</f>
        <v/>
      </c>
      <c r="L645" s="8" t="s">
        <v>299</v>
      </c>
    </row>
    <row r="646">
      <c r="A646" s="10"/>
      <c r="B646" s="8" t="str">
        <f>IFERROR(__xludf.DUMMYFUNCTION("""COMPUTED_VALUE"""),"")</f>
        <v/>
      </c>
      <c r="C646" s="8" t="str">
        <f>IFERROR(__xludf.DUMMYFUNCTION("""COMPUTED_VALUE"""),"")</f>
        <v/>
      </c>
      <c r="D646" s="8" t="str">
        <f>IFERROR(__xludf.DUMMYFUNCTION("""COMPUTED_VALUE"""),"")</f>
        <v/>
      </c>
      <c r="E646" s="8" t="str">
        <f>IFERROR(__xludf.DUMMYFUNCTION("""COMPUTED_VALUE"""),"")</f>
        <v/>
      </c>
      <c r="F646" s="8" t="str">
        <f>IFERROR(__xludf.DUMMYFUNCTION("""COMPUTED_VALUE"""),"")</f>
        <v/>
      </c>
      <c r="G646" s="8" t="str">
        <f>IFERROR(__xludf.DUMMYFUNCTION("""COMPUTED_VALUE"""),"")</f>
        <v/>
      </c>
      <c r="L646" s="8" t="s">
        <v>299</v>
      </c>
    </row>
    <row r="647">
      <c r="A647" s="10"/>
      <c r="B647" s="8" t="str">
        <f>IFERROR(__xludf.DUMMYFUNCTION("""COMPUTED_VALUE"""),"")</f>
        <v/>
      </c>
      <c r="C647" s="8" t="str">
        <f>IFERROR(__xludf.DUMMYFUNCTION("""COMPUTED_VALUE"""),"")</f>
        <v/>
      </c>
      <c r="D647" s="8" t="str">
        <f>IFERROR(__xludf.DUMMYFUNCTION("""COMPUTED_VALUE"""),"")</f>
        <v/>
      </c>
      <c r="E647" s="8" t="str">
        <f>IFERROR(__xludf.DUMMYFUNCTION("""COMPUTED_VALUE"""),"")</f>
        <v/>
      </c>
      <c r="F647" s="8" t="str">
        <f>IFERROR(__xludf.DUMMYFUNCTION("""COMPUTED_VALUE"""),"")</f>
        <v/>
      </c>
      <c r="G647" s="8" t="str">
        <f>IFERROR(__xludf.DUMMYFUNCTION("""COMPUTED_VALUE"""),"")</f>
        <v/>
      </c>
      <c r="L647" s="8" t="s">
        <v>299</v>
      </c>
    </row>
    <row r="648">
      <c r="A648" s="10"/>
      <c r="B648" s="8" t="str">
        <f>IFERROR(__xludf.DUMMYFUNCTION("""COMPUTED_VALUE"""),"")</f>
        <v/>
      </c>
      <c r="C648" s="8" t="str">
        <f>IFERROR(__xludf.DUMMYFUNCTION("""COMPUTED_VALUE"""),"")</f>
        <v/>
      </c>
      <c r="D648" s="8" t="str">
        <f>IFERROR(__xludf.DUMMYFUNCTION("""COMPUTED_VALUE"""),"")</f>
        <v/>
      </c>
      <c r="E648" s="8" t="str">
        <f>IFERROR(__xludf.DUMMYFUNCTION("""COMPUTED_VALUE"""),"")</f>
        <v/>
      </c>
      <c r="F648" s="8" t="str">
        <f>IFERROR(__xludf.DUMMYFUNCTION("""COMPUTED_VALUE"""),"")</f>
        <v/>
      </c>
      <c r="G648" s="8" t="str">
        <f>IFERROR(__xludf.DUMMYFUNCTION("""COMPUTED_VALUE"""),"")</f>
        <v/>
      </c>
      <c r="L648" s="8" t="s">
        <v>299</v>
      </c>
    </row>
    <row r="649">
      <c r="A649" s="10"/>
      <c r="B649" s="8" t="str">
        <f>IFERROR(__xludf.DUMMYFUNCTION("""COMPUTED_VALUE"""),"")</f>
        <v/>
      </c>
      <c r="C649" s="8" t="str">
        <f>IFERROR(__xludf.DUMMYFUNCTION("""COMPUTED_VALUE"""),"")</f>
        <v/>
      </c>
      <c r="D649" s="8" t="str">
        <f>IFERROR(__xludf.DUMMYFUNCTION("""COMPUTED_VALUE"""),"")</f>
        <v/>
      </c>
      <c r="E649" s="8" t="str">
        <f>IFERROR(__xludf.DUMMYFUNCTION("""COMPUTED_VALUE"""),"")</f>
        <v/>
      </c>
      <c r="F649" s="8" t="str">
        <f>IFERROR(__xludf.DUMMYFUNCTION("""COMPUTED_VALUE"""),"")</f>
        <v/>
      </c>
      <c r="G649" s="8" t="str">
        <f>IFERROR(__xludf.DUMMYFUNCTION("""COMPUTED_VALUE"""),"")</f>
        <v/>
      </c>
      <c r="L649" s="8" t="s">
        <v>299</v>
      </c>
    </row>
    <row r="650">
      <c r="A650" s="10"/>
      <c r="B650" s="8" t="str">
        <f>IFERROR(__xludf.DUMMYFUNCTION("""COMPUTED_VALUE"""),"")</f>
        <v/>
      </c>
      <c r="C650" s="8" t="str">
        <f>IFERROR(__xludf.DUMMYFUNCTION("""COMPUTED_VALUE"""),"")</f>
        <v/>
      </c>
      <c r="D650" s="8" t="str">
        <f>IFERROR(__xludf.DUMMYFUNCTION("""COMPUTED_VALUE"""),"")</f>
        <v/>
      </c>
      <c r="E650" s="8" t="str">
        <f>IFERROR(__xludf.DUMMYFUNCTION("""COMPUTED_VALUE"""),"")</f>
        <v/>
      </c>
      <c r="F650" s="8" t="str">
        <f>IFERROR(__xludf.DUMMYFUNCTION("""COMPUTED_VALUE"""),"")</f>
        <v/>
      </c>
      <c r="G650" s="8" t="str">
        <f>IFERROR(__xludf.DUMMYFUNCTION("""COMPUTED_VALUE"""),"")</f>
        <v/>
      </c>
      <c r="L650" s="8" t="s">
        <v>299</v>
      </c>
    </row>
    <row r="651">
      <c r="A651" s="10"/>
      <c r="B651" s="8" t="str">
        <f>IFERROR(__xludf.DUMMYFUNCTION("""COMPUTED_VALUE"""),"")</f>
        <v/>
      </c>
      <c r="C651" s="8" t="str">
        <f>IFERROR(__xludf.DUMMYFUNCTION("""COMPUTED_VALUE"""),"")</f>
        <v/>
      </c>
      <c r="D651" s="8" t="str">
        <f>IFERROR(__xludf.DUMMYFUNCTION("""COMPUTED_VALUE"""),"")</f>
        <v/>
      </c>
      <c r="E651" s="8" t="str">
        <f>IFERROR(__xludf.DUMMYFUNCTION("""COMPUTED_VALUE"""),"")</f>
        <v/>
      </c>
      <c r="F651" s="8" t="str">
        <f>IFERROR(__xludf.DUMMYFUNCTION("""COMPUTED_VALUE"""),"")</f>
        <v/>
      </c>
      <c r="G651" s="8" t="str">
        <f>IFERROR(__xludf.DUMMYFUNCTION("""COMPUTED_VALUE"""),"")</f>
        <v/>
      </c>
      <c r="L651" s="8" t="s">
        <v>299</v>
      </c>
    </row>
    <row r="652">
      <c r="A652" s="10"/>
      <c r="B652" s="8" t="str">
        <f>IFERROR(__xludf.DUMMYFUNCTION("""COMPUTED_VALUE"""),"")</f>
        <v/>
      </c>
      <c r="C652" s="8" t="str">
        <f>IFERROR(__xludf.DUMMYFUNCTION("""COMPUTED_VALUE"""),"")</f>
        <v/>
      </c>
      <c r="D652" s="8" t="str">
        <f>IFERROR(__xludf.DUMMYFUNCTION("""COMPUTED_VALUE"""),"")</f>
        <v/>
      </c>
      <c r="E652" s="8" t="str">
        <f>IFERROR(__xludf.DUMMYFUNCTION("""COMPUTED_VALUE"""),"")</f>
        <v/>
      </c>
      <c r="F652" s="8" t="str">
        <f>IFERROR(__xludf.DUMMYFUNCTION("""COMPUTED_VALUE"""),"")</f>
        <v/>
      </c>
      <c r="G652" s="8" t="str">
        <f>IFERROR(__xludf.DUMMYFUNCTION("""COMPUTED_VALUE"""),"")</f>
        <v/>
      </c>
      <c r="L652" s="8" t="s">
        <v>299</v>
      </c>
    </row>
    <row r="653">
      <c r="A653" s="10"/>
      <c r="B653" s="8" t="str">
        <f>IFERROR(__xludf.DUMMYFUNCTION("""COMPUTED_VALUE"""),"")</f>
        <v/>
      </c>
      <c r="C653" s="8" t="str">
        <f>IFERROR(__xludf.DUMMYFUNCTION("""COMPUTED_VALUE"""),"")</f>
        <v/>
      </c>
      <c r="D653" s="8" t="str">
        <f>IFERROR(__xludf.DUMMYFUNCTION("""COMPUTED_VALUE"""),"")</f>
        <v/>
      </c>
      <c r="E653" s="8" t="str">
        <f>IFERROR(__xludf.DUMMYFUNCTION("""COMPUTED_VALUE"""),"")</f>
        <v/>
      </c>
      <c r="F653" s="8" t="str">
        <f>IFERROR(__xludf.DUMMYFUNCTION("""COMPUTED_VALUE"""),"")</f>
        <v/>
      </c>
      <c r="G653" s="8" t="str">
        <f>IFERROR(__xludf.DUMMYFUNCTION("""COMPUTED_VALUE"""),"")</f>
        <v/>
      </c>
      <c r="L653" s="8" t="s">
        <v>299</v>
      </c>
    </row>
    <row r="654">
      <c r="A654" s="10"/>
      <c r="B654" s="8" t="str">
        <f>IFERROR(__xludf.DUMMYFUNCTION("""COMPUTED_VALUE"""),"")</f>
        <v/>
      </c>
      <c r="C654" s="8" t="str">
        <f>IFERROR(__xludf.DUMMYFUNCTION("""COMPUTED_VALUE"""),"")</f>
        <v/>
      </c>
      <c r="D654" s="8" t="str">
        <f>IFERROR(__xludf.DUMMYFUNCTION("""COMPUTED_VALUE"""),"")</f>
        <v/>
      </c>
      <c r="E654" s="8" t="str">
        <f>IFERROR(__xludf.DUMMYFUNCTION("""COMPUTED_VALUE"""),"")</f>
        <v/>
      </c>
      <c r="F654" s="8" t="str">
        <f>IFERROR(__xludf.DUMMYFUNCTION("""COMPUTED_VALUE"""),"")</f>
        <v/>
      </c>
      <c r="G654" s="8" t="str">
        <f>IFERROR(__xludf.DUMMYFUNCTION("""COMPUTED_VALUE"""),"")</f>
        <v/>
      </c>
      <c r="L654" s="8" t="s">
        <v>299</v>
      </c>
    </row>
    <row r="655">
      <c r="A655" s="10"/>
      <c r="B655" s="8" t="str">
        <f>IFERROR(__xludf.DUMMYFUNCTION("""COMPUTED_VALUE"""),"")</f>
        <v/>
      </c>
      <c r="C655" s="8" t="str">
        <f>IFERROR(__xludf.DUMMYFUNCTION("""COMPUTED_VALUE"""),"")</f>
        <v/>
      </c>
      <c r="D655" s="8" t="str">
        <f>IFERROR(__xludf.DUMMYFUNCTION("""COMPUTED_VALUE"""),"")</f>
        <v/>
      </c>
      <c r="E655" s="8" t="str">
        <f>IFERROR(__xludf.DUMMYFUNCTION("""COMPUTED_VALUE"""),"")</f>
        <v/>
      </c>
      <c r="F655" s="8" t="str">
        <f>IFERROR(__xludf.DUMMYFUNCTION("""COMPUTED_VALUE"""),"")</f>
        <v/>
      </c>
      <c r="G655" s="8" t="str">
        <f>IFERROR(__xludf.DUMMYFUNCTION("""COMPUTED_VALUE"""),"")</f>
        <v/>
      </c>
      <c r="L655" s="8" t="s">
        <v>299</v>
      </c>
    </row>
    <row r="656">
      <c r="A656" s="10"/>
      <c r="B656" s="8" t="str">
        <f>IFERROR(__xludf.DUMMYFUNCTION("""COMPUTED_VALUE"""),"")</f>
        <v/>
      </c>
      <c r="C656" s="8" t="str">
        <f>IFERROR(__xludf.DUMMYFUNCTION("""COMPUTED_VALUE"""),"")</f>
        <v/>
      </c>
      <c r="D656" s="8" t="str">
        <f>IFERROR(__xludf.DUMMYFUNCTION("""COMPUTED_VALUE"""),"")</f>
        <v/>
      </c>
      <c r="E656" s="8" t="str">
        <f>IFERROR(__xludf.DUMMYFUNCTION("""COMPUTED_VALUE"""),"")</f>
        <v/>
      </c>
      <c r="F656" s="8" t="str">
        <f>IFERROR(__xludf.DUMMYFUNCTION("""COMPUTED_VALUE"""),"")</f>
        <v/>
      </c>
      <c r="G656" s="8" t="str">
        <f>IFERROR(__xludf.DUMMYFUNCTION("""COMPUTED_VALUE"""),"")</f>
        <v/>
      </c>
      <c r="L656" s="8" t="s">
        <v>299</v>
      </c>
    </row>
    <row r="657">
      <c r="A657" s="10"/>
      <c r="B657" s="8" t="str">
        <f>IFERROR(__xludf.DUMMYFUNCTION("""COMPUTED_VALUE"""),"")</f>
        <v/>
      </c>
      <c r="C657" s="8" t="str">
        <f>IFERROR(__xludf.DUMMYFUNCTION("""COMPUTED_VALUE"""),"")</f>
        <v/>
      </c>
      <c r="D657" s="8" t="str">
        <f>IFERROR(__xludf.DUMMYFUNCTION("""COMPUTED_VALUE"""),"")</f>
        <v/>
      </c>
      <c r="E657" s="8" t="str">
        <f>IFERROR(__xludf.DUMMYFUNCTION("""COMPUTED_VALUE"""),"")</f>
        <v/>
      </c>
      <c r="F657" s="8" t="str">
        <f>IFERROR(__xludf.DUMMYFUNCTION("""COMPUTED_VALUE"""),"")</f>
        <v/>
      </c>
      <c r="G657" s="8" t="str">
        <f>IFERROR(__xludf.DUMMYFUNCTION("""COMPUTED_VALUE"""),"")</f>
        <v/>
      </c>
      <c r="L657" s="8" t="s">
        <v>299</v>
      </c>
    </row>
    <row r="658">
      <c r="A658" s="10"/>
      <c r="B658" s="8" t="str">
        <f>IFERROR(__xludf.DUMMYFUNCTION("""COMPUTED_VALUE"""),"")</f>
        <v/>
      </c>
      <c r="C658" s="8" t="str">
        <f>IFERROR(__xludf.DUMMYFUNCTION("""COMPUTED_VALUE"""),"")</f>
        <v/>
      </c>
      <c r="D658" s="8" t="str">
        <f>IFERROR(__xludf.DUMMYFUNCTION("""COMPUTED_VALUE"""),"")</f>
        <v/>
      </c>
      <c r="E658" s="8" t="str">
        <f>IFERROR(__xludf.DUMMYFUNCTION("""COMPUTED_VALUE"""),"")</f>
        <v/>
      </c>
      <c r="F658" s="8" t="str">
        <f>IFERROR(__xludf.DUMMYFUNCTION("""COMPUTED_VALUE"""),"")</f>
        <v/>
      </c>
      <c r="G658" s="8" t="str">
        <f>IFERROR(__xludf.DUMMYFUNCTION("""COMPUTED_VALUE"""),"")</f>
        <v/>
      </c>
      <c r="L658" s="8" t="s">
        <v>299</v>
      </c>
    </row>
    <row r="659">
      <c r="A659" s="10"/>
      <c r="B659" s="8" t="str">
        <f>IFERROR(__xludf.DUMMYFUNCTION("""COMPUTED_VALUE"""),"")</f>
        <v/>
      </c>
      <c r="C659" s="8" t="str">
        <f>IFERROR(__xludf.DUMMYFUNCTION("""COMPUTED_VALUE"""),"")</f>
        <v/>
      </c>
      <c r="D659" s="8" t="str">
        <f>IFERROR(__xludf.DUMMYFUNCTION("""COMPUTED_VALUE"""),"")</f>
        <v/>
      </c>
      <c r="E659" s="8" t="str">
        <f>IFERROR(__xludf.DUMMYFUNCTION("""COMPUTED_VALUE"""),"")</f>
        <v/>
      </c>
      <c r="F659" s="8" t="str">
        <f>IFERROR(__xludf.DUMMYFUNCTION("""COMPUTED_VALUE"""),"")</f>
        <v/>
      </c>
      <c r="G659" s="8" t="str">
        <f>IFERROR(__xludf.DUMMYFUNCTION("""COMPUTED_VALUE"""),"")</f>
        <v/>
      </c>
      <c r="L659" s="8" t="s">
        <v>299</v>
      </c>
    </row>
    <row r="660">
      <c r="A660" s="10"/>
      <c r="B660" s="8" t="str">
        <f>IFERROR(__xludf.DUMMYFUNCTION("""COMPUTED_VALUE"""),"")</f>
        <v/>
      </c>
      <c r="C660" s="8" t="str">
        <f>IFERROR(__xludf.DUMMYFUNCTION("""COMPUTED_VALUE"""),"")</f>
        <v/>
      </c>
      <c r="D660" s="8" t="str">
        <f>IFERROR(__xludf.DUMMYFUNCTION("""COMPUTED_VALUE"""),"")</f>
        <v/>
      </c>
      <c r="E660" s="8" t="str">
        <f>IFERROR(__xludf.DUMMYFUNCTION("""COMPUTED_VALUE"""),"")</f>
        <v/>
      </c>
      <c r="F660" s="8" t="str">
        <f>IFERROR(__xludf.DUMMYFUNCTION("""COMPUTED_VALUE"""),"")</f>
        <v/>
      </c>
      <c r="G660" s="8" t="str">
        <f>IFERROR(__xludf.DUMMYFUNCTION("""COMPUTED_VALUE"""),"")</f>
        <v/>
      </c>
      <c r="L660" s="8" t="s">
        <v>299</v>
      </c>
    </row>
    <row r="661">
      <c r="A661" s="10"/>
      <c r="B661" s="8" t="str">
        <f>IFERROR(__xludf.DUMMYFUNCTION("""COMPUTED_VALUE"""),"")</f>
        <v/>
      </c>
      <c r="C661" s="8" t="str">
        <f>IFERROR(__xludf.DUMMYFUNCTION("""COMPUTED_VALUE"""),"")</f>
        <v/>
      </c>
      <c r="D661" s="8" t="str">
        <f>IFERROR(__xludf.DUMMYFUNCTION("""COMPUTED_VALUE"""),"")</f>
        <v/>
      </c>
      <c r="E661" s="8" t="str">
        <f>IFERROR(__xludf.DUMMYFUNCTION("""COMPUTED_VALUE"""),"")</f>
        <v/>
      </c>
      <c r="F661" s="8" t="str">
        <f>IFERROR(__xludf.DUMMYFUNCTION("""COMPUTED_VALUE"""),"")</f>
        <v/>
      </c>
      <c r="G661" s="8" t="str">
        <f>IFERROR(__xludf.DUMMYFUNCTION("""COMPUTED_VALUE"""),"")</f>
        <v/>
      </c>
      <c r="L661" s="8" t="s">
        <v>299</v>
      </c>
    </row>
    <row r="662">
      <c r="A662" s="10"/>
      <c r="B662" s="8" t="str">
        <f>IFERROR(__xludf.DUMMYFUNCTION("""COMPUTED_VALUE"""),"")</f>
        <v/>
      </c>
      <c r="C662" s="8" t="str">
        <f>IFERROR(__xludf.DUMMYFUNCTION("""COMPUTED_VALUE"""),"")</f>
        <v/>
      </c>
      <c r="D662" s="8" t="str">
        <f>IFERROR(__xludf.DUMMYFUNCTION("""COMPUTED_VALUE"""),"")</f>
        <v/>
      </c>
      <c r="E662" s="8" t="str">
        <f>IFERROR(__xludf.DUMMYFUNCTION("""COMPUTED_VALUE"""),"")</f>
        <v/>
      </c>
      <c r="F662" s="8" t="str">
        <f>IFERROR(__xludf.DUMMYFUNCTION("""COMPUTED_VALUE"""),"")</f>
        <v/>
      </c>
      <c r="G662" s="8" t="str">
        <f>IFERROR(__xludf.DUMMYFUNCTION("""COMPUTED_VALUE"""),"")</f>
        <v/>
      </c>
      <c r="L662" s="8" t="s">
        <v>299</v>
      </c>
    </row>
    <row r="663">
      <c r="A663" s="10"/>
      <c r="B663" s="8" t="str">
        <f>IFERROR(__xludf.DUMMYFUNCTION("""COMPUTED_VALUE"""),"")</f>
        <v/>
      </c>
      <c r="C663" s="8" t="str">
        <f>IFERROR(__xludf.DUMMYFUNCTION("""COMPUTED_VALUE"""),"")</f>
        <v/>
      </c>
      <c r="D663" s="8" t="str">
        <f>IFERROR(__xludf.DUMMYFUNCTION("""COMPUTED_VALUE"""),"")</f>
        <v/>
      </c>
      <c r="E663" s="8" t="str">
        <f>IFERROR(__xludf.DUMMYFUNCTION("""COMPUTED_VALUE"""),"")</f>
        <v/>
      </c>
      <c r="F663" s="8" t="str">
        <f>IFERROR(__xludf.DUMMYFUNCTION("""COMPUTED_VALUE"""),"")</f>
        <v/>
      </c>
      <c r="G663" s="8" t="str">
        <f>IFERROR(__xludf.DUMMYFUNCTION("""COMPUTED_VALUE"""),"")</f>
        <v/>
      </c>
      <c r="L663" s="8" t="s">
        <v>299</v>
      </c>
    </row>
    <row r="664">
      <c r="A664" s="10"/>
      <c r="B664" s="8" t="str">
        <f>IFERROR(__xludf.DUMMYFUNCTION("""COMPUTED_VALUE"""),"")</f>
        <v/>
      </c>
      <c r="C664" s="8" t="str">
        <f>IFERROR(__xludf.DUMMYFUNCTION("""COMPUTED_VALUE"""),"")</f>
        <v/>
      </c>
      <c r="D664" s="8" t="str">
        <f>IFERROR(__xludf.DUMMYFUNCTION("""COMPUTED_VALUE"""),"")</f>
        <v/>
      </c>
      <c r="E664" s="8" t="str">
        <f>IFERROR(__xludf.DUMMYFUNCTION("""COMPUTED_VALUE"""),"")</f>
        <v/>
      </c>
      <c r="F664" s="8" t="str">
        <f>IFERROR(__xludf.DUMMYFUNCTION("""COMPUTED_VALUE"""),"")</f>
        <v/>
      </c>
      <c r="G664" s="8" t="str">
        <f>IFERROR(__xludf.DUMMYFUNCTION("""COMPUTED_VALUE"""),"")</f>
        <v/>
      </c>
      <c r="L664" s="8" t="s">
        <v>299</v>
      </c>
    </row>
    <row r="665">
      <c r="A665" s="10"/>
      <c r="B665" s="8" t="str">
        <f>IFERROR(__xludf.DUMMYFUNCTION("""COMPUTED_VALUE"""),"")</f>
        <v/>
      </c>
      <c r="C665" s="8" t="str">
        <f>IFERROR(__xludf.DUMMYFUNCTION("""COMPUTED_VALUE"""),"")</f>
        <v/>
      </c>
      <c r="D665" s="8" t="str">
        <f>IFERROR(__xludf.DUMMYFUNCTION("""COMPUTED_VALUE"""),"")</f>
        <v/>
      </c>
      <c r="E665" s="8" t="str">
        <f>IFERROR(__xludf.DUMMYFUNCTION("""COMPUTED_VALUE"""),"")</f>
        <v/>
      </c>
      <c r="F665" s="8" t="str">
        <f>IFERROR(__xludf.DUMMYFUNCTION("""COMPUTED_VALUE"""),"")</f>
        <v/>
      </c>
      <c r="G665" s="8" t="str">
        <f>IFERROR(__xludf.DUMMYFUNCTION("""COMPUTED_VALUE"""),"")</f>
        <v/>
      </c>
      <c r="L665" s="8" t="s">
        <v>299</v>
      </c>
    </row>
    <row r="666">
      <c r="A666" s="10"/>
      <c r="B666" s="8" t="str">
        <f>IFERROR(__xludf.DUMMYFUNCTION("""COMPUTED_VALUE"""),"")</f>
        <v/>
      </c>
      <c r="C666" s="8" t="str">
        <f>IFERROR(__xludf.DUMMYFUNCTION("""COMPUTED_VALUE"""),"")</f>
        <v/>
      </c>
      <c r="D666" s="8" t="str">
        <f>IFERROR(__xludf.DUMMYFUNCTION("""COMPUTED_VALUE"""),"")</f>
        <v/>
      </c>
      <c r="E666" s="8" t="str">
        <f>IFERROR(__xludf.DUMMYFUNCTION("""COMPUTED_VALUE"""),"")</f>
        <v/>
      </c>
      <c r="F666" s="8" t="str">
        <f>IFERROR(__xludf.DUMMYFUNCTION("""COMPUTED_VALUE"""),"")</f>
        <v/>
      </c>
      <c r="G666" s="8" t="str">
        <f>IFERROR(__xludf.DUMMYFUNCTION("""COMPUTED_VALUE"""),"")</f>
        <v/>
      </c>
      <c r="L666" s="8" t="s">
        <v>299</v>
      </c>
    </row>
    <row r="667">
      <c r="A667" s="10"/>
      <c r="B667" s="8" t="str">
        <f>IFERROR(__xludf.DUMMYFUNCTION("""COMPUTED_VALUE"""),"")</f>
        <v/>
      </c>
      <c r="C667" s="8" t="str">
        <f>IFERROR(__xludf.DUMMYFUNCTION("""COMPUTED_VALUE"""),"")</f>
        <v/>
      </c>
      <c r="D667" s="8" t="str">
        <f>IFERROR(__xludf.DUMMYFUNCTION("""COMPUTED_VALUE"""),"")</f>
        <v/>
      </c>
      <c r="E667" s="8" t="str">
        <f>IFERROR(__xludf.DUMMYFUNCTION("""COMPUTED_VALUE"""),"")</f>
        <v/>
      </c>
      <c r="F667" s="8" t="str">
        <f>IFERROR(__xludf.DUMMYFUNCTION("""COMPUTED_VALUE"""),"")</f>
        <v/>
      </c>
      <c r="G667" s="8" t="str">
        <f>IFERROR(__xludf.DUMMYFUNCTION("""COMPUTED_VALUE"""),"")</f>
        <v/>
      </c>
      <c r="L667" s="8" t="s">
        <v>299</v>
      </c>
    </row>
    <row r="668">
      <c r="A668" s="10"/>
      <c r="B668" s="8" t="str">
        <f>IFERROR(__xludf.DUMMYFUNCTION("""COMPUTED_VALUE"""),"")</f>
        <v/>
      </c>
      <c r="C668" s="8" t="str">
        <f>IFERROR(__xludf.DUMMYFUNCTION("""COMPUTED_VALUE"""),"")</f>
        <v/>
      </c>
      <c r="D668" s="8" t="str">
        <f>IFERROR(__xludf.DUMMYFUNCTION("""COMPUTED_VALUE"""),"")</f>
        <v/>
      </c>
      <c r="E668" s="8" t="str">
        <f>IFERROR(__xludf.DUMMYFUNCTION("""COMPUTED_VALUE"""),"")</f>
        <v/>
      </c>
      <c r="F668" s="8" t="str">
        <f>IFERROR(__xludf.DUMMYFUNCTION("""COMPUTED_VALUE"""),"")</f>
        <v/>
      </c>
      <c r="G668" s="8" t="str">
        <f>IFERROR(__xludf.DUMMYFUNCTION("""COMPUTED_VALUE"""),"")</f>
        <v/>
      </c>
      <c r="L668" s="8" t="s">
        <v>299</v>
      </c>
    </row>
    <row r="669">
      <c r="A669" s="10"/>
      <c r="B669" s="8" t="str">
        <f>IFERROR(__xludf.DUMMYFUNCTION("""COMPUTED_VALUE"""),"")</f>
        <v/>
      </c>
      <c r="C669" s="8" t="str">
        <f>IFERROR(__xludf.DUMMYFUNCTION("""COMPUTED_VALUE"""),"")</f>
        <v/>
      </c>
      <c r="D669" s="8" t="str">
        <f>IFERROR(__xludf.DUMMYFUNCTION("""COMPUTED_VALUE"""),"")</f>
        <v/>
      </c>
      <c r="E669" s="8" t="str">
        <f>IFERROR(__xludf.DUMMYFUNCTION("""COMPUTED_VALUE"""),"")</f>
        <v/>
      </c>
      <c r="F669" s="8" t="str">
        <f>IFERROR(__xludf.DUMMYFUNCTION("""COMPUTED_VALUE"""),"")</f>
        <v/>
      </c>
      <c r="G669" s="8" t="str">
        <f>IFERROR(__xludf.DUMMYFUNCTION("""COMPUTED_VALUE"""),"")</f>
        <v/>
      </c>
      <c r="L669" s="8" t="s">
        <v>299</v>
      </c>
    </row>
    <row r="670">
      <c r="A670" s="10"/>
      <c r="B670" s="8" t="str">
        <f>IFERROR(__xludf.DUMMYFUNCTION("""COMPUTED_VALUE"""),"")</f>
        <v/>
      </c>
      <c r="C670" s="8" t="str">
        <f>IFERROR(__xludf.DUMMYFUNCTION("""COMPUTED_VALUE"""),"")</f>
        <v/>
      </c>
      <c r="D670" s="8" t="str">
        <f>IFERROR(__xludf.DUMMYFUNCTION("""COMPUTED_VALUE"""),"")</f>
        <v/>
      </c>
      <c r="E670" s="8" t="str">
        <f>IFERROR(__xludf.DUMMYFUNCTION("""COMPUTED_VALUE"""),"")</f>
        <v/>
      </c>
      <c r="F670" s="8" t="str">
        <f>IFERROR(__xludf.DUMMYFUNCTION("""COMPUTED_VALUE"""),"")</f>
        <v/>
      </c>
      <c r="G670" s="8" t="str">
        <f>IFERROR(__xludf.DUMMYFUNCTION("""COMPUTED_VALUE"""),"")</f>
        <v/>
      </c>
      <c r="L670" s="8" t="s">
        <v>299</v>
      </c>
    </row>
    <row r="671">
      <c r="A671" s="10"/>
      <c r="B671" s="8" t="str">
        <f>IFERROR(__xludf.DUMMYFUNCTION("""COMPUTED_VALUE"""),"")</f>
        <v/>
      </c>
      <c r="C671" s="8" t="str">
        <f>IFERROR(__xludf.DUMMYFUNCTION("""COMPUTED_VALUE"""),"")</f>
        <v/>
      </c>
      <c r="D671" s="8" t="str">
        <f>IFERROR(__xludf.DUMMYFUNCTION("""COMPUTED_VALUE"""),"")</f>
        <v/>
      </c>
      <c r="E671" s="8" t="str">
        <f>IFERROR(__xludf.DUMMYFUNCTION("""COMPUTED_VALUE"""),"")</f>
        <v/>
      </c>
      <c r="F671" s="8" t="str">
        <f>IFERROR(__xludf.DUMMYFUNCTION("""COMPUTED_VALUE"""),"")</f>
        <v/>
      </c>
      <c r="G671" s="8" t="str">
        <f>IFERROR(__xludf.DUMMYFUNCTION("""COMPUTED_VALUE"""),"")</f>
        <v/>
      </c>
      <c r="L671" s="8" t="s">
        <v>299</v>
      </c>
    </row>
    <row r="672">
      <c r="A672" s="10"/>
      <c r="B672" s="8" t="str">
        <f>IFERROR(__xludf.DUMMYFUNCTION("""COMPUTED_VALUE"""),"")</f>
        <v/>
      </c>
      <c r="C672" s="8" t="str">
        <f>IFERROR(__xludf.DUMMYFUNCTION("""COMPUTED_VALUE"""),"")</f>
        <v/>
      </c>
      <c r="D672" s="8" t="str">
        <f>IFERROR(__xludf.DUMMYFUNCTION("""COMPUTED_VALUE"""),"")</f>
        <v/>
      </c>
      <c r="E672" s="8" t="str">
        <f>IFERROR(__xludf.DUMMYFUNCTION("""COMPUTED_VALUE"""),"")</f>
        <v/>
      </c>
      <c r="F672" s="8" t="str">
        <f>IFERROR(__xludf.DUMMYFUNCTION("""COMPUTED_VALUE"""),"")</f>
        <v/>
      </c>
      <c r="G672" s="8" t="str">
        <f>IFERROR(__xludf.DUMMYFUNCTION("""COMPUTED_VALUE"""),"")</f>
        <v/>
      </c>
      <c r="L672" s="8" t="s">
        <v>299</v>
      </c>
    </row>
    <row r="673">
      <c r="A673" s="10"/>
      <c r="B673" s="8" t="str">
        <f>IFERROR(__xludf.DUMMYFUNCTION("""COMPUTED_VALUE"""),"")</f>
        <v/>
      </c>
      <c r="C673" s="8" t="str">
        <f>IFERROR(__xludf.DUMMYFUNCTION("""COMPUTED_VALUE"""),"")</f>
        <v/>
      </c>
      <c r="D673" s="8" t="str">
        <f>IFERROR(__xludf.DUMMYFUNCTION("""COMPUTED_VALUE"""),"")</f>
        <v/>
      </c>
      <c r="E673" s="8" t="str">
        <f>IFERROR(__xludf.DUMMYFUNCTION("""COMPUTED_VALUE"""),"")</f>
        <v/>
      </c>
      <c r="F673" s="8" t="str">
        <f>IFERROR(__xludf.DUMMYFUNCTION("""COMPUTED_VALUE"""),"")</f>
        <v/>
      </c>
      <c r="G673" s="8" t="str">
        <f>IFERROR(__xludf.DUMMYFUNCTION("""COMPUTED_VALUE"""),"")</f>
        <v/>
      </c>
      <c r="L673" s="8" t="s">
        <v>299</v>
      </c>
    </row>
    <row r="674">
      <c r="A674" s="10"/>
      <c r="B674" s="8" t="str">
        <f>IFERROR(__xludf.DUMMYFUNCTION("""COMPUTED_VALUE"""),"")</f>
        <v/>
      </c>
      <c r="C674" s="8" t="str">
        <f>IFERROR(__xludf.DUMMYFUNCTION("""COMPUTED_VALUE"""),"")</f>
        <v/>
      </c>
      <c r="D674" s="8" t="str">
        <f>IFERROR(__xludf.DUMMYFUNCTION("""COMPUTED_VALUE"""),"")</f>
        <v/>
      </c>
      <c r="E674" s="8" t="str">
        <f>IFERROR(__xludf.DUMMYFUNCTION("""COMPUTED_VALUE"""),"")</f>
        <v/>
      </c>
      <c r="F674" s="8" t="str">
        <f>IFERROR(__xludf.DUMMYFUNCTION("""COMPUTED_VALUE"""),"")</f>
        <v/>
      </c>
      <c r="G674" s="8" t="str">
        <f>IFERROR(__xludf.DUMMYFUNCTION("""COMPUTED_VALUE"""),"")</f>
        <v/>
      </c>
      <c r="L674" s="8" t="s">
        <v>299</v>
      </c>
    </row>
    <row r="675">
      <c r="A675" s="10"/>
      <c r="B675" s="8" t="str">
        <f>IFERROR(__xludf.DUMMYFUNCTION("""COMPUTED_VALUE"""),"")</f>
        <v/>
      </c>
      <c r="C675" s="8" t="str">
        <f>IFERROR(__xludf.DUMMYFUNCTION("""COMPUTED_VALUE"""),"")</f>
        <v/>
      </c>
      <c r="D675" s="8" t="str">
        <f>IFERROR(__xludf.DUMMYFUNCTION("""COMPUTED_VALUE"""),"")</f>
        <v/>
      </c>
      <c r="E675" s="8" t="str">
        <f>IFERROR(__xludf.DUMMYFUNCTION("""COMPUTED_VALUE"""),"")</f>
        <v/>
      </c>
      <c r="F675" s="8" t="str">
        <f>IFERROR(__xludf.DUMMYFUNCTION("""COMPUTED_VALUE"""),"")</f>
        <v/>
      </c>
      <c r="G675" s="8" t="str">
        <f>IFERROR(__xludf.DUMMYFUNCTION("""COMPUTED_VALUE"""),"")</f>
        <v/>
      </c>
      <c r="L675" s="8" t="s">
        <v>299</v>
      </c>
    </row>
    <row r="676">
      <c r="A676" s="10"/>
      <c r="B676" s="8" t="str">
        <f>IFERROR(__xludf.DUMMYFUNCTION("""COMPUTED_VALUE"""),"")</f>
        <v/>
      </c>
      <c r="C676" s="8" t="str">
        <f>IFERROR(__xludf.DUMMYFUNCTION("""COMPUTED_VALUE"""),"")</f>
        <v/>
      </c>
      <c r="D676" s="8" t="str">
        <f>IFERROR(__xludf.DUMMYFUNCTION("""COMPUTED_VALUE"""),"")</f>
        <v/>
      </c>
      <c r="E676" s="8" t="str">
        <f>IFERROR(__xludf.DUMMYFUNCTION("""COMPUTED_VALUE"""),"")</f>
        <v/>
      </c>
      <c r="F676" s="8" t="str">
        <f>IFERROR(__xludf.DUMMYFUNCTION("""COMPUTED_VALUE"""),"")</f>
        <v/>
      </c>
      <c r="G676" s="8" t="str">
        <f>IFERROR(__xludf.DUMMYFUNCTION("""COMPUTED_VALUE"""),"")</f>
        <v/>
      </c>
      <c r="L676" s="8" t="s">
        <v>299</v>
      </c>
    </row>
    <row r="677">
      <c r="A677" s="10"/>
      <c r="B677" s="8" t="str">
        <f>IFERROR(__xludf.DUMMYFUNCTION("""COMPUTED_VALUE"""),"")</f>
        <v/>
      </c>
      <c r="C677" s="8" t="str">
        <f>IFERROR(__xludf.DUMMYFUNCTION("""COMPUTED_VALUE"""),"")</f>
        <v/>
      </c>
      <c r="D677" s="8" t="str">
        <f>IFERROR(__xludf.DUMMYFUNCTION("""COMPUTED_VALUE"""),"")</f>
        <v/>
      </c>
      <c r="E677" s="8" t="str">
        <f>IFERROR(__xludf.DUMMYFUNCTION("""COMPUTED_VALUE"""),"")</f>
        <v/>
      </c>
      <c r="F677" s="8" t="str">
        <f>IFERROR(__xludf.DUMMYFUNCTION("""COMPUTED_VALUE"""),"")</f>
        <v/>
      </c>
      <c r="G677" s="8" t="str">
        <f>IFERROR(__xludf.DUMMYFUNCTION("""COMPUTED_VALUE"""),"")</f>
        <v/>
      </c>
      <c r="L677" s="8" t="s">
        <v>299</v>
      </c>
    </row>
    <row r="678">
      <c r="A678" s="10"/>
      <c r="B678" s="8" t="str">
        <f>IFERROR(__xludf.DUMMYFUNCTION("""COMPUTED_VALUE"""),"")</f>
        <v/>
      </c>
      <c r="C678" s="8" t="str">
        <f>IFERROR(__xludf.DUMMYFUNCTION("""COMPUTED_VALUE"""),"")</f>
        <v/>
      </c>
      <c r="D678" s="8" t="str">
        <f>IFERROR(__xludf.DUMMYFUNCTION("""COMPUTED_VALUE"""),"")</f>
        <v/>
      </c>
      <c r="E678" s="8" t="str">
        <f>IFERROR(__xludf.DUMMYFUNCTION("""COMPUTED_VALUE"""),"")</f>
        <v/>
      </c>
      <c r="F678" s="8" t="str">
        <f>IFERROR(__xludf.DUMMYFUNCTION("""COMPUTED_VALUE"""),"")</f>
        <v/>
      </c>
      <c r="G678" s="8" t="str">
        <f>IFERROR(__xludf.DUMMYFUNCTION("""COMPUTED_VALUE"""),"")</f>
        <v/>
      </c>
      <c r="L678" s="8" t="s">
        <v>299</v>
      </c>
    </row>
    <row r="679">
      <c r="A679" s="10"/>
      <c r="B679" s="8" t="str">
        <f>IFERROR(__xludf.DUMMYFUNCTION("""COMPUTED_VALUE"""),"")</f>
        <v/>
      </c>
      <c r="C679" s="8" t="str">
        <f>IFERROR(__xludf.DUMMYFUNCTION("""COMPUTED_VALUE"""),"")</f>
        <v/>
      </c>
      <c r="D679" s="8" t="str">
        <f>IFERROR(__xludf.DUMMYFUNCTION("""COMPUTED_VALUE"""),"")</f>
        <v/>
      </c>
      <c r="E679" s="8" t="str">
        <f>IFERROR(__xludf.DUMMYFUNCTION("""COMPUTED_VALUE"""),"")</f>
        <v/>
      </c>
      <c r="F679" s="8" t="str">
        <f>IFERROR(__xludf.DUMMYFUNCTION("""COMPUTED_VALUE"""),"")</f>
        <v/>
      </c>
      <c r="G679" s="8" t="str">
        <f>IFERROR(__xludf.DUMMYFUNCTION("""COMPUTED_VALUE"""),"")</f>
        <v/>
      </c>
      <c r="L679" s="8" t="s">
        <v>299</v>
      </c>
    </row>
    <row r="680">
      <c r="A680" s="10"/>
      <c r="B680" s="8" t="str">
        <f>IFERROR(__xludf.DUMMYFUNCTION("""COMPUTED_VALUE"""),"")</f>
        <v/>
      </c>
      <c r="C680" s="8" t="str">
        <f>IFERROR(__xludf.DUMMYFUNCTION("""COMPUTED_VALUE"""),"")</f>
        <v/>
      </c>
      <c r="D680" s="8" t="str">
        <f>IFERROR(__xludf.DUMMYFUNCTION("""COMPUTED_VALUE"""),"")</f>
        <v/>
      </c>
      <c r="E680" s="8" t="str">
        <f>IFERROR(__xludf.DUMMYFUNCTION("""COMPUTED_VALUE"""),"")</f>
        <v/>
      </c>
      <c r="F680" s="8" t="str">
        <f>IFERROR(__xludf.DUMMYFUNCTION("""COMPUTED_VALUE"""),"")</f>
        <v/>
      </c>
      <c r="G680" s="8" t="str">
        <f>IFERROR(__xludf.DUMMYFUNCTION("""COMPUTED_VALUE"""),"")</f>
        <v/>
      </c>
      <c r="L680" s="8" t="s">
        <v>299</v>
      </c>
    </row>
    <row r="681">
      <c r="A681" s="10"/>
      <c r="B681" s="8" t="str">
        <f>IFERROR(__xludf.DUMMYFUNCTION("""COMPUTED_VALUE"""),"")</f>
        <v/>
      </c>
      <c r="C681" s="8" t="str">
        <f>IFERROR(__xludf.DUMMYFUNCTION("""COMPUTED_VALUE"""),"")</f>
        <v/>
      </c>
      <c r="D681" s="8" t="str">
        <f>IFERROR(__xludf.DUMMYFUNCTION("""COMPUTED_VALUE"""),"")</f>
        <v/>
      </c>
      <c r="E681" s="8" t="str">
        <f>IFERROR(__xludf.DUMMYFUNCTION("""COMPUTED_VALUE"""),"")</f>
        <v/>
      </c>
      <c r="F681" s="8" t="str">
        <f>IFERROR(__xludf.DUMMYFUNCTION("""COMPUTED_VALUE"""),"")</f>
        <v/>
      </c>
      <c r="G681" s="8" t="str">
        <f>IFERROR(__xludf.DUMMYFUNCTION("""COMPUTED_VALUE"""),"")</f>
        <v/>
      </c>
      <c r="L681" s="8" t="s">
        <v>299</v>
      </c>
    </row>
    <row r="682">
      <c r="A682" s="10"/>
      <c r="B682" s="8" t="str">
        <f>IFERROR(__xludf.DUMMYFUNCTION("""COMPUTED_VALUE"""),"")</f>
        <v/>
      </c>
      <c r="C682" s="8" t="str">
        <f>IFERROR(__xludf.DUMMYFUNCTION("""COMPUTED_VALUE"""),"")</f>
        <v/>
      </c>
      <c r="D682" s="8" t="str">
        <f>IFERROR(__xludf.DUMMYFUNCTION("""COMPUTED_VALUE"""),"")</f>
        <v/>
      </c>
      <c r="E682" s="8" t="str">
        <f>IFERROR(__xludf.DUMMYFUNCTION("""COMPUTED_VALUE"""),"")</f>
        <v/>
      </c>
      <c r="F682" s="8" t="str">
        <f>IFERROR(__xludf.DUMMYFUNCTION("""COMPUTED_VALUE"""),"")</f>
        <v/>
      </c>
      <c r="G682" s="8" t="str">
        <f>IFERROR(__xludf.DUMMYFUNCTION("""COMPUTED_VALUE"""),"")</f>
        <v/>
      </c>
      <c r="L682" s="8" t="s">
        <v>299</v>
      </c>
    </row>
    <row r="683">
      <c r="A683" s="10"/>
      <c r="B683" s="8" t="str">
        <f>IFERROR(__xludf.DUMMYFUNCTION("""COMPUTED_VALUE"""),"")</f>
        <v/>
      </c>
      <c r="C683" s="8" t="str">
        <f>IFERROR(__xludf.DUMMYFUNCTION("""COMPUTED_VALUE"""),"")</f>
        <v/>
      </c>
      <c r="D683" s="8" t="str">
        <f>IFERROR(__xludf.DUMMYFUNCTION("""COMPUTED_VALUE"""),"")</f>
        <v/>
      </c>
      <c r="E683" s="8" t="str">
        <f>IFERROR(__xludf.DUMMYFUNCTION("""COMPUTED_VALUE"""),"")</f>
        <v/>
      </c>
      <c r="F683" s="8" t="str">
        <f>IFERROR(__xludf.DUMMYFUNCTION("""COMPUTED_VALUE"""),"")</f>
        <v/>
      </c>
      <c r="G683" s="8" t="str">
        <f>IFERROR(__xludf.DUMMYFUNCTION("""COMPUTED_VALUE"""),"")</f>
        <v/>
      </c>
      <c r="L683" s="8" t="s">
        <v>299</v>
      </c>
    </row>
    <row r="684">
      <c r="A684" s="10"/>
      <c r="B684" s="8" t="str">
        <f>IFERROR(__xludf.DUMMYFUNCTION("""COMPUTED_VALUE"""),"")</f>
        <v/>
      </c>
      <c r="C684" s="8" t="str">
        <f>IFERROR(__xludf.DUMMYFUNCTION("""COMPUTED_VALUE"""),"")</f>
        <v/>
      </c>
      <c r="D684" s="8" t="str">
        <f>IFERROR(__xludf.DUMMYFUNCTION("""COMPUTED_VALUE"""),"")</f>
        <v/>
      </c>
      <c r="E684" s="8" t="str">
        <f>IFERROR(__xludf.DUMMYFUNCTION("""COMPUTED_VALUE"""),"")</f>
        <v/>
      </c>
      <c r="F684" s="8" t="str">
        <f>IFERROR(__xludf.DUMMYFUNCTION("""COMPUTED_VALUE"""),"")</f>
        <v/>
      </c>
      <c r="G684" s="8" t="str">
        <f>IFERROR(__xludf.DUMMYFUNCTION("""COMPUTED_VALUE"""),"")</f>
        <v/>
      </c>
      <c r="L684" s="8" t="s">
        <v>299</v>
      </c>
    </row>
    <row r="685">
      <c r="A685" s="10"/>
      <c r="B685" s="8" t="str">
        <f>IFERROR(__xludf.DUMMYFUNCTION("""COMPUTED_VALUE"""),"")</f>
        <v/>
      </c>
      <c r="C685" s="8" t="str">
        <f>IFERROR(__xludf.DUMMYFUNCTION("""COMPUTED_VALUE"""),"")</f>
        <v/>
      </c>
      <c r="D685" s="8" t="str">
        <f>IFERROR(__xludf.DUMMYFUNCTION("""COMPUTED_VALUE"""),"")</f>
        <v/>
      </c>
      <c r="E685" s="8" t="str">
        <f>IFERROR(__xludf.DUMMYFUNCTION("""COMPUTED_VALUE"""),"")</f>
        <v/>
      </c>
      <c r="F685" s="8" t="str">
        <f>IFERROR(__xludf.DUMMYFUNCTION("""COMPUTED_VALUE"""),"")</f>
        <v/>
      </c>
      <c r="G685" s="8" t="str">
        <f>IFERROR(__xludf.DUMMYFUNCTION("""COMPUTED_VALUE"""),"")</f>
        <v/>
      </c>
      <c r="L685" s="8" t="s">
        <v>299</v>
      </c>
    </row>
    <row r="686">
      <c r="A686" s="10"/>
      <c r="B686" s="8" t="str">
        <f>IFERROR(__xludf.DUMMYFUNCTION("""COMPUTED_VALUE"""),"")</f>
        <v/>
      </c>
      <c r="C686" s="8" t="str">
        <f>IFERROR(__xludf.DUMMYFUNCTION("""COMPUTED_VALUE"""),"")</f>
        <v/>
      </c>
      <c r="D686" s="8" t="str">
        <f>IFERROR(__xludf.DUMMYFUNCTION("""COMPUTED_VALUE"""),"")</f>
        <v/>
      </c>
      <c r="E686" s="8" t="str">
        <f>IFERROR(__xludf.DUMMYFUNCTION("""COMPUTED_VALUE"""),"")</f>
        <v/>
      </c>
      <c r="F686" s="8" t="str">
        <f>IFERROR(__xludf.DUMMYFUNCTION("""COMPUTED_VALUE"""),"")</f>
        <v/>
      </c>
      <c r="G686" s="8" t="str">
        <f>IFERROR(__xludf.DUMMYFUNCTION("""COMPUTED_VALUE"""),"")</f>
        <v/>
      </c>
      <c r="L686" s="8" t="s">
        <v>299</v>
      </c>
    </row>
    <row r="687">
      <c r="A687" s="10"/>
      <c r="B687" s="8" t="str">
        <f>IFERROR(__xludf.DUMMYFUNCTION("""COMPUTED_VALUE"""),"")</f>
        <v/>
      </c>
      <c r="C687" s="8" t="str">
        <f>IFERROR(__xludf.DUMMYFUNCTION("""COMPUTED_VALUE"""),"")</f>
        <v/>
      </c>
      <c r="D687" s="8" t="str">
        <f>IFERROR(__xludf.DUMMYFUNCTION("""COMPUTED_VALUE"""),"")</f>
        <v/>
      </c>
      <c r="E687" s="8" t="str">
        <f>IFERROR(__xludf.DUMMYFUNCTION("""COMPUTED_VALUE"""),"")</f>
        <v/>
      </c>
      <c r="F687" s="8" t="str">
        <f>IFERROR(__xludf.DUMMYFUNCTION("""COMPUTED_VALUE"""),"")</f>
        <v/>
      </c>
      <c r="G687" s="8" t="str">
        <f>IFERROR(__xludf.DUMMYFUNCTION("""COMPUTED_VALUE"""),"")</f>
        <v/>
      </c>
      <c r="L687" s="8" t="s">
        <v>299</v>
      </c>
    </row>
    <row r="688">
      <c r="A688" s="10"/>
      <c r="B688" s="8" t="str">
        <f>IFERROR(__xludf.DUMMYFUNCTION("""COMPUTED_VALUE"""),"")</f>
        <v/>
      </c>
      <c r="C688" s="8" t="str">
        <f>IFERROR(__xludf.DUMMYFUNCTION("""COMPUTED_VALUE"""),"")</f>
        <v/>
      </c>
      <c r="D688" s="8" t="str">
        <f>IFERROR(__xludf.DUMMYFUNCTION("""COMPUTED_VALUE"""),"")</f>
        <v/>
      </c>
      <c r="E688" s="8" t="str">
        <f>IFERROR(__xludf.DUMMYFUNCTION("""COMPUTED_VALUE"""),"")</f>
        <v/>
      </c>
      <c r="F688" s="8" t="str">
        <f>IFERROR(__xludf.DUMMYFUNCTION("""COMPUTED_VALUE"""),"")</f>
        <v/>
      </c>
      <c r="G688" s="8" t="str">
        <f>IFERROR(__xludf.DUMMYFUNCTION("""COMPUTED_VALUE"""),"")</f>
        <v/>
      </c>
      <c r="L688" s="8" t="s">
        <v>299</v>
      </c>
    </row>
    <row r="689">
      <c r="A689" s="10"/>
      <c r="B689" s="8" t="str">
        <f>IFERROR(__xludf.DUMMYFUNCTION("""COMPUTED_VALUE"""),"")</f>
        <v/>
      </c>
      <c r="C689" s="8" t="str">
        <f>IFERROR(__xludf.DUMMYFUNCTION("""COMPUTED_VALUE"""),"")</f>
        <v/>
      </c>
      <c r="D689" s="8" t="str">
        <f>IFERROR(__xludf.DUMMYFUNCTION("""COMPUTED_VALUE"""),"")</f>
        <v/>
      </c>
      <c r="E689" s="8" t="str">
        <f>IFERROR(__xludf.DUMMYFUNCTION("""COMPUTED_VALUE"""),"")</f>
        <v/>
      </c>
      <c r="F689" s="8" t="str">
        <f>IFERROR(__xludf.DUMMYFUNCTION("""COMPUTED_VALUE"""),"")</f>
        <v/>
      </c>
      <c r="G689" s="8" t="str">
        <f>IFERROR(__xludf.DUMMYFUNCTION("""COMPUTED_VALUE"""),"")</f>
        <v/>
      </c>
      <c r="L689" s="8" t="s">
        <v>299</v>
      </c>
    </row>
    <row r="690">
      <c r="A690" s="10"/>
      <c r="B690" s="8" t="str">
        <f>IFERROR(__xludf.DUMMYFUNCTION("""COMPUTED_VALUE"""),"")</f>
        <v/>
      </c>
      <c r="C690" s="8" t="str">
        <f>IFERROR(__xludf.DUMMYFUNCTION("""COMPUTED_VALUE"""),"")</f>
        <v/>
      </c>
      <c r="D690" s="8" t="str">
        <f>IFERROR(__xludf.DUMMYFUNCTION("""COMPUTED_VALUE"""),"")</f>
        <v/>
      </c>
      <c r="E690" s="8" t="str">
        <f>IFERROR(__xludf.DUMMYFUNCTION("""COMPUTED_VALUE"""),"")</f>
        <v/>
      </c>
      <c r="F690" s="8" t="str">
        <f>IFERROR(__xludf.DUMMYFUNCTION("""COMPUTED_VALUE"""),"")</f>
        <v/>
      </c>
      <c r="G690" s="8" t="str">
        <f>IFERROR(__xludf.DUMMYFUNCTION("""COMPUTED_VALUE"""),"")</f>
        <v/>
      </c>
      <c r="L690" s="8" t="s">
        <v>299</v>
      </c>
    </row>
    <row r="691">
      <c r="A691" s="10"/>
      <c r="B691" s="8" t="str">
        <f>IFERROR(__xludf.DUMMYFUNCTION("""COMPUTED_VALUE"""),"")</f>
        <v/>
      </c>
      <c r="C691" s="8" t="str">
        <f>IFERROR(__xludf.DUMMYFUNCTION("""COMPUTED_VALUE"""),"")</f>
        <v/>
      </c>
      <c r="D691" s="8" t="str">
        <f>IFERROR(__xludf.DUMMYFUNCTION("""COMPUTED_VALUE"""),"")</f>
        <v/>
      </c>
      <c r="E691" s="8" t="str">
        <f>IFERROR(__xludf.DUMMYFUNCTION("""COMPUTED_VALUE"""),"")</f>
        <v/>
      </c>
      <c r="F691" s="8" t="str">
        <f>IFERROR(__xludf.DUMMYFUNCTION("""COMPUTED_VALUE"""),"")</f>
        <v/>
      </c>
      <c r="G691" s="8" t="str">
        <f>IFERROR(__xludf.DUMMYFUNCTION("""COMPUTED_VALUE"""),"")</f>
        <v/>
      </c>
      <c r="L691" s="8" t="s">
        <v>299</v>
      </c>
    </row>
    <row r="692">
      <c r="A692" s="10"/>
      <c r="B692" s="8" t="str">
        <f>IFERROR(__xludf.DUMMYFUNCTION("""COMPUTED_VALUE"""),"")</f>
        <v/>
      </c>
      <c r="C692" s="8" t="str">
        <f>IFERROR(__xludf.DUMMYFUNCTION("""COMPUTED_VALUE"""),"")</f>
        <v/>
      </c>
      <c r="D692" s="8" t="str">
        <f>IFERROR(__xludf.DUMMYFUNCTION("""COMPUTED_VALUE"""),"")</f>
        <v/>
      </c>
      <c r="E692" s="8" t="str">
        <f>IFERROR(__xludf.DUMMYFUNCTION("""COMPUTED_VALUE"""),"")</f>
        <v/>
      </c>
      <c r="F692" s="8" t="str">
        <f>IFERROR(__xludf.DUMMYFUNCTION("""COMPUTED_VALUE"""),"")</f>
        <v/>
      </c>
      <c r="G692" s="8" t="str">
        <f>IFERROR(__xludf.DUMMYFUNCTION("""COMPUTED_VALUE"""),"")</f>
        <v/>
      </c>
      <c r="L692" s="8" t="s">
        <v>299</v>
      </c>
    </row>
    <row r="693">
      <c r="A693" s="10"/>
      <c r="B693" s="8" t="str">
        <f>IFERROR(__xludf.DUMMYFUNCTION("""COMPUTED_VALUE"""),"")</f>
        <v/>
      </c>
      <c r="C693" s="8" t="str">
        <f>IFERROR(__xludf.DUMMYFUNCTION("""COMPUTED_VALUE"""),"")</f>
        <v/>
      </c>
      <c r="D693" s="8" t="str">
        <f>IFERROR(__xludf.DUMMYFUNCTION("""COMPUTED_VALUE"""),"")</f>
        <v/>
      </c>
      <c r="E693" s="8" t="str">
        <f>IFERROR(__xludf.DUMMYFUNCTION("""COMPUTED_VALUE"""),"")</f>
        <v/>
      </c>
      <c r="F693" s="8" t="str">
        <f>IFERROR(__xludf.DUMMYFUNCTION("""COMPUTED_VALUE"""),"")</f>
        <v/>
      </c>
      <c r="G693" s="8" t="str">
        <f>IFERROR(__xludf.DUMMYFUNCTION("""COMPUTED_VALUE"""),"")</f>
        <v/>
      </c>
      <c r="L693" s="8" t="s">
        <v>299</v>
      </c>
    </row>
    <row r="694">
      <c r="A694" s="10"/>
      <c r="B694" s="8" t="str">
        <f>IFERROR(__xludf.DUMMYFUNCTION("""COMPUTED_VALUE"""),"")</f>
        <v/>
      </c>
      <c r="C694" s="8" t="str">
        <f>IFERROR(__xludf.DUMMYFUNCTION("""COMPUTED_VALUE"""),"")</f>
        <v/>
      </c>
      <c r="D694" s="8" t="str">
        <f>IFERROR(__xludf.DUMMYFUNCTION("""COMPUTED_VALUE"""),"")</f>
        <v/>
      </c>
      <c r="E694" s="8" t="str">
        <f>IFERROR(__xludf.DUMMYFUNCTION("""COMPUTED_VALUE"""),"")</f>
        <v/>
      </c>
      <c r="F694" s="8" t="str">
        <f>IFERROR(__xludf.DUMMYFUNCTION("""COMPUTED_VALUE"""),"")</f>
        <v/>
      </c>
      <c r="G694" s="8" t="str">
        <f>IFERROR(__xludf.DUMMYFUNCTION("""COMPUTED_VALUE"""),"")</f>
        <v/>
      </c>
      <c r="L694" s="8" t="s">
        <v>299</v>
      </c>
    </row>
    <row r="695">
      <c r="A695" s="10"/>
      <c r="B695" s="8" t="str">
        <f>IFERROR(__xludf.DUMMYFUNCTION("""COMPUTED_VALUE"""),"")</f>
        <v/>
      </c>
      <c r="C695" s="8" t="str">
        <f>IFERROR(__xludf.DUMMYFUNCTION("""COMPUTED_VALUE"""),"")</f>
        <v/>
      </c>
      <c r="D695" s="8" t="str">
        <f>IFERROR(__xludf.DUMMYFUNCTION("""COMPUTED_VALUE"""),"")</f>
        <v/>
      </c>
      <c r="E695" s="8" t="str">
        <f>IFERROR(__xludf.DUMMYFUNCTION("""COMPUTED_VALUE"""),"")</f>
        <v/>
      </c>
      <c r="F695" s="8" t="str">
        <f>IFERROR(__xludf.DUMMYFUNCTION("""COMPUTED_VALUE"""),"")</f>
        <v/>
      </c>
      <c r="G695" s="8" t="str">
        <f>IFERROR(__xludf.DUMMYFUNCTION("""COMPUTED_VALUE"""),"")</f>
        <v/>
      </c>
      <c r="L695" s="8" t="s">
        <v>299</v>
      </c>
    </row>
    <row r="696">
      <c r="A696" s="10"/>
      <c r="B696" s="8" t="str">
        <f>IFERROR(__xludf.DUMMYFUNCTION("""COMPUTED_VALUE"""),"")</f>
        <v/>
      </c>
      <c r="C696" s="8" t="str">
        <f>IFERROR(__xludf.DUMMYFUNCTION("""COMPUTED_VALUE"""),"")</f>
        <v/>
      </c>
      <c r="D696" s="8" t="str">
        <f>IFERROR(__xludf.DUMMYFUNCTION("""COMPUTED_VALUE"""),"")</f>
        <v/>
      </c>
      <c r="E696" s="8" t="str">
        <f>IFERROR(__xludf.DUMMYFUNCTION("""COMPUTED_VALUE"""),"")</f>
        <v/>
      </c>
      <c r="F696" s="8" t="str">
        <f>IFERROR(__xludf.DUMMYFUNCTION("""COMPUTED_VALUE"""),"")</f>
        <v/>
      </c>
      <c r="G696" s="8" t="str">
        <f>IFERROR(__xludf.DUMMYFUNCTION("""COMPUTED_VALUE"""),"")</f>
        <v/>
      </c>
      <c r="L696" s="8" t="s">
        <v>299</v>
      </c>
    </row>
    <row r="697">
      <c r="A697" s="10"/>
      <c r="B697" s="8" t="str">
        <f>IFERROR(__xludf.DUMMYFUNCTION("""COMPUTED_VALUE"""),"")</f>
        <v/>
      </c>
      <c r="C697" s="8" t="str">
        <f>IFERROR(__xludf.DUMMYFUNCTION("""COMPUTED_VALUE"""),"")</f>
        <v/>
      </c>
      <c r="D697" s="8" t="str">
        <f>IFERROR(__xludf.DUMMYFUNCTION("""COMPUTED_VALUE"""),"")</f>
        <v/>
      </c>
      <c r="E697" s="8" t="str">
        <f>IFERROR(__xludf.DUMMYFUNCTION("""COMPUTED_VALUE"""),"")</f>
        <v/>
      </c>
      <c r="F697" s="8" t="str">
        <f>IFERROR(__xludf.DUMMYFUNCTION("""COMPUTED_VALUE"""),"")</f>
        <v/>
      </c>
      <c r="G697" s="8" t="str">
        <f>IFERROR(__xludf.DUMMYFUNCTION("""COMPUTED_VALUE"""),"")</f>
        <v/>
      </c>
      <c r="L697" s="8" t="s">
        <v>299</v>
      </c>
    </row>
    <row r="698">
      <c r="A698" s="10"/>
      <c r="B698" s="8" t="str">
        <f>IFERROR(__xludf.DUMMYFUNCTION("""COMPUTED_VALUE"""),"")</f>
        <v/>
      </c>
      <c r="C698" s="8" t="str">
        <f>IFERROR(__xludf.DUMMYFUNCTION("""COMPUTED_VALUE"""),"")</f>
        <v/>
      </c>
      <c r="D698" s="8" t="str">
        <f>IFERROR(__xludf.DUMMYFUNCTION("""COMPUTED_VALUE"""),"")</f>
        <v/>
      </c>
      <c r="E698" s="8" t="str">
        <f>IFERROR(__xludf.DUMMYFUNCTION("""COMPUTED_VALUE"""),"")</f>
        <v/>
      </c>
      <c r="F698" s="8" t="str">
        <f>IFERROR(__xludf.DUMMYFUNCTION("""COMPUTED_VALUE"""),"")</f>
        <v/>
      </c>
      <c r="G698" s="8" t="str">
        <f>IFERROR(__xludf.DUMMYFUNCTION("""COMPUTED_VALUE"""),"")</f>
        <v/>
      </c>
      <c r="L698" s="8" t="s">
        <v>299</v>
      </c>
    </row>
    <row r="699">
      <c r="A699" s="10"/>
      <c r="B699" s="8" t="str">
        <f>IFERROR(__xludf.DUMMYFUNCTION("""COMPUTED_VALUE"""),"")</f>
        <v/>
      </c>
      <c r="C699" s="8" t="str">
        <f>IFERROR(__xludf.DUMMYFUNCTION("""COMPUTED_VALUE"""),"")</f>
        <v/>
      </c>
      <c r="D699" s="8" t="str">
        <f>IFERROR(__xludf.DUMMYFUNCTION("""COMPUTED_VALUE"""),"")</f>
        <v/>
      </c>
      <c r="E699" s="8" t="str">
        <f>IFERROR(__xludf.DUMMYFUNCTION("""COMPUTED_VALUE"""),"")</f>
        <v/>
      </c>
      <c r="F699" s="8" t="str">
        <f>IFERROR(__xludf.DUMMYFUNCTION("""COMPUTED_VALUE"""),"")</f>
        <v/>
      </c>
      <c r="G699" s="8" t="str">
        <f>IFERROR(__xludf.DUMMYFUNCTION("""COMPUTED_VALUE"""),"")</f>
        <v/>
      </c>
      <c r="L699" s="8" t="s">
        <v>299</v>
      </c>
    </row>
    <row r="700">
      <c r="A700" s="10"/>
      <c r="B700" s="8" t="str">
        <f>IFERROR(__xludf.DUMMYFUNCTION("""COMPUTED_VALUE"""),"")</f>
        <v/>
      </c>
      <c r="C700" s="8" t="str">
        <f>IFERROR(__xludf.DUMMYFUNCTION("""COMPUTED_VALUE"""),"")</f>
        <v/>
      </c>
      <c r="D700" s="8" t="str">
        <f>IFERROR(__xludf.DUMMYFUNCTION("""COMPUTED_VALUE"""),"")</f>
        <v/>
      </c>
      <c r="E700" s="8" t="str">
        <f>IFERROR(__xludf.DUMMYFUNCTION("""COMPUTED_VALUE"""),"")</f>
        <v/>
      </c>
      <c r="F700" s="8" t="str">
        <f>IFERROR(__xludf.DUMMYFUNCTION("""COMPUTED_VALUE"""),"")</f>
        <v/>
      </c>
      <c r="G700" s="8" t="str">
        <f>IFERROR(__xludf.DUMMYFUNCTION("""COMPUTED_VALUE"""),"")</f>
        <v/>
      </c>
      <c r="L700" s="8" t="s">
        <v>299</v>
      </c>
    </row>
    <row r="701">
      <c r="A701" s="10"/>
      <c r="B701" s="8" t="str">
        <f>IFERROR(__xludf.DUMMYFUNCTION("""COMPUTED_VALUE"""),"")</f>
        <v/>
      </c>
      <c r="C701" s="8" t="str">
        <f>IFERROR(__xludf.DUMMYFUNCTION("""COMPUTED_VALUE"""),"")</f>
        <v/>
      </c>
      <c r="D701" s="8" t="str">
        <f>IFERROR(__xludf.DUMMYFUNCTION("""COMPUTED_VALUE"""),"")</f>
        <v/>
      </c>
      <c r="E701" s="8" t="str">
        <f>IFERROR(__xludf.DUMMYFUNCTION("""COMPUTED_VALUE"""),"")</f>
        <v/>
      </c>
      <c r="F701" s="8" t="str">
        <f>IFERROR(__xludf.DUMMYFUNCTION("""COMPUTED_VALUE"""),"")</f>
        <v/>
      </c>
      <c r="G701" s="8" t="str">
        <f>IFERROR(__xludf.DUMMYFUNCTION("""COMPUTED_VALUE"""),"")</f>
        <v/>
      </c>
      <c r="L701" s="8" t="s">
        <v>299</v>
      </c>
    </row>
    <row r="702">
      <c r="A702" s="10"/>
      <c r="B702" s="8" t="str">
        <f>IFERROR(__xludf.DUMMYFUNCTION("""COMPUTED_VALUE"""),"")</f>
        <v/>
      </c>
      <c r="C702" s="8" t="str">
        <f>IFERROR(__xludf.DUMMYFUNCTION("""COMPUTED_VALUE"""),"")</f>
        <v/>
      </c>
      <c r="D702" s="8" t="str">
        <f>IFERROR(__xludf.DUMMYFUNCTION("""COMPUTED_VALUE"""),"")</f>
        <v/>
      </c>
      <c r="E702" s="8" t="str">
        <f>IFERROR(__xludf.DUMMYFUNCTION("""COMPUTED_VALUE"""),"")</f>
        <v/>
      </c>
      <c r="F702" s="8" t="str">
        <f>IFERROR(__xludf.DUMMYFUNCTION("""COMPUTED_VALUE"""),"")</f>
        <v/>
      </c>
      <c r="G702" s="8" t="str">
        <f>IFERROR(__xludf.DUMMYFUNCTION("""COMPUTED_VALUE"""),"")</f>
        <v/>
      </c>
      <c r="L702" s="8" t="s">
        <v>299</v>
      </c>
    </row>
    <row r="703">
      <c r="A703" s="10"/>
      <c r="B703" s="8" t="str">
        <f>IFERROR(__xludf.DUMMYFUNCTION("""COMPUTED_VALUE"""),"")</f>
        <v/>
      </c>
      <c r="C703" s="8" t="str">
        <f>IFERROR(__xludf.DUMMYFUNCTION("""COMPUTED_VALUE"""),"")</f>
        <v/>
      </c>
      <c r="D703" s="8" t="str">
        <f>IFERROR(__xludf.DUMMYFUNCTION("""COMPUTED_VALUE"""),"")</f>
        <v/>
      </c>
      <c r="E703" s="8" t="str">
        <f>IFERROR(__xludf.DUMMYFUNCTION("""COMPUTED_VALUE"""),"")</f>
        <v/>
      </c>
      <c r="F703" s="8" t="str">
        <f>IFERROR(__xludf.DUMMYFUNCTION("""COMPUTED_VALUE"""),"")</f>
        <v/>
      </c>
      <c r="G703" s="8" t="str">
        <f>IFERROR(__xludf.DUMMYFUNCTION("""COMPUTED_VALUE"""),"")</f>
        <v/>
      </c>
      <c r="L703" s="8" t="s">
        <v>299</v>
      </c>
    </row>
    <row r="704">
      <c r="A704" s="10"/>
      <c r="B704" s="8" t="str">
        <f>IFERROR(__xludf.DUMMYFUNCTION("""COMPUTED_VALUE"""),"")</f>
        <v/>
      </c>
      <c r="C704" s="8" t="str">
        <f>IFERROR(__xludf.DUMMYFUNCTION("""COMPUTED_VALUE"""),"")</f>
        <v/>
      </c>
      <c r="D704" s="8" t="str">
        <f>IFERROR(__xludf.DUMMYFUNCTION("""COMPUTED_VALUE"""),"")</f>
        <v/>
      </c>
      <c r="E704" s="8" t="str">
        <f>IFERROR(__xludf.DUMMYFUNCTION("""COMPUTED_VALUE"""),"")</f>
        <v/>
      </c>
      <c r="F704" s="8" t="str">
        <f>IFERROR(__xludf.DUMMYFUNCTION("""COMPUTED_VALUE"""),"")</f>
        <v/>
      </c>
      <c r="G704" s="8" t="str">
        <f>IFERROR(__xludf.DUMMYFUNCTION("""COMPUTED_VALUE"""),"")</f>
        <v/>
      </c>
      <c r="L704" s="8" t="s">
        <v>299</v>
      </c>
    </row>
    <row r="705">
      <c r="A705" s="10"/>
      <c r="B705" s="8" t="str">
        <f>IFERROR(__xludf.DUMMYFUNCTION("""COMPUTED_VALUE"""),"")</f>
        <v/>
      </c>
      <c r="C705" s="8" t="str">
        <f>IFERROR(__xludf.DUMMYFUNCTION("""COMPUTED_VALUE"""),"")</f>
        <v/>
      </c>
      <c r="D705" s="8" t="str">
        <f>IFERROR(__xludf.DUMMYFUNCTION("""COMPUTED_VALUE"""),"")</f>
        <v/>
      </c>
      <c r="E705" s="8" t="str">
        <f>IFERROR(__xludf.DUMMYFUNCTION("""COMPUTED_VALUE"""),"")</f>
        <v/>
      </c>
      <c r="F705" s="8" t="str">
        <f>IFERROR(__xludf.DUMMYFUNCTION("""COMPUTED_VALUE"""),"")</f>
        <v/>
      </c>
      <c r="G705" s="8" t="str">
        <f>IFERROR(__xludf.DUMMYFUNCTION("""COMPUTED_VALUE"""),"")</f>
        <v/>
      </c>
      <c r="L705" s="8" t="s">
        <v>299</v>
      </c>
    </row>
    <row r="706">
      <c r="A706" s="10"/>
      <c r="B706" s="8" t="str">
        <f>IFERROR(__xludf.DUMMYFUNCTION("""COMPUTED_VALUE"""),"")</f>
        <v/>
      </c>
      <c r="C706" s="8" t="str">
        <f>IFERROR(__xludf.DUMMYFUNCTION("""COMPUTED_VALUE"""),"")</f>
        <v/>
      </c>
      <c r="D706" s="8" t="str">
        <f>IFERROR(__xludf.DUMMYFUNCTION("""COMPUTED_VALUE"""),"")</f>
        <v/>
      </c>
      <c r="E706" s="8" t="str">
        <f>IFERROR(__xludf.DUMMYFUNCTION("""COMPUTED_VALUE"""),"")</f>
        <v/>
      </c>
      <c r="F706" s="8" t="str">
        <f>IFERROR(__xludf.DUMMYFUNCTION("""COMPUTED_VALUE"""),"")</f>
        <v/>
      </c>
      <c r="G706" s="8" t="str">
        <f>IFERROR(__xludf.DUMMYFUNCTION("""COMPUTED_VALUE"""),"")</f>
        <v/>
      </c>
      <c r="L706" s="8" t="s">
        <v>299</v>
      </c>
    </row>
    <row r="707">
      <c r="A707" s="10"/>
      <c r="B707" s="8" t="str">
        <f>IFERROR(__xludf.DUMMYFUNCTION("""COMPUTED_VALUE"""),"")</f>
        <v/>
      </c>
      <c r="C707" s="8" t="str">
        <f>IFERROR(__xludf.DUMMYFUNCTION("""COMPUTED_VALUE"""),"")</f>
        <v/>
      </c>
      <c r="D707" s="8" t="str">
        <f>IFERROR(__xludf.DUMMYFUNCTION("""COMPUTED_VALUE"""),"")</f>
        <v/>
      </c>
      <c r="E707" s="8" t="str">
        <f>IFERROR(__xludf.DUMMYFUNCTION("""COMPUTED_VALUE"""),"")</f>
        <v/>
      </c>
      <c r="F707" s="8" t="str">
        <f>IFERROR(__xludf.DUMMYFUNCTION("""COMPUTED_VALUE"""),"")</f>
        <v/>
      </c>
      <c r="G707" s="8" t="str">
        <f>IFERROR(__xludf.DUMMYFUNCTION("""COMPUTED_VALUE"""),"")</f>
        <v/>
      </c>
      <c r="L707" s="8" t="s">
        <v>299</v>
      </c>
    </row>
    <row r="708">
      <c r="A708" s="10"/>
      <c r="B708" s="8" t="str">
        <f>IFERROR(__xludf.DUMMYFUNCTION("""COMPUTED_VALUE"""),"")</f>
        <v/>
      </c>
      <c r="C708" s="8" t="str">
        <f>IFERROR(__xludf.DUMMYFUNCTION("""COMPUTED_VALUE"""),"")</f>
        <v/>
      </c>
      <c r="D708" s="8" t="str">
        <f>IFERROR(__xludf.DUMMYFUNCTION("""COMPUTED_VALUE"""),"")</f>
        <v/>
      </c>
      <c r="E708" s="8" t="str">
        <f>IFERROR(__xludf.DUMMYFUNCTION("""COMPUTED_VALUE"""),"")</f>
        <v/>
      </c>
      <c r="F708" s="8" t="str">
        <f>IFERROR(__xludf.DUMMYFUNCTION("""COMPUTED_VALUE"""),"")</f>
        <v/>
      </c>
      <c r="G708" s="8" t="str">
        <f>IFERROR(__xludf.DUMMYFUNCTION("""COMPUTED_VALUE"""),"")</f>
        <v/>
      </c>
      <c r="L708" s="8" t="s">
        <v>299</v>
      </c>
    </row>
    <row r="709">
      <c r="A709" s="10"/>
      <c r="B709" s="8" t="str">
        <f>IFERROR(__xludf.DUMMYFUNCTION("""COMPUTED_VALUE"""),"")</f>
        <v/>
      </c>
      <c r="C709" s="8" t="str">
        <f>IFERROR(__xludf.DUMMYFUNCTION("""COMPUTED_VALUE"""),"")</f>
        <v/>
      </c>
      <c r="D709" s="8" t="str">
        <f>IFERROR(__xludf.DUMMYFUNCTION("""COMPUTED_VALUE"""),"")</f>
        <v/>
      </c>
      <c r="E709" s="8" t="str">
        <f>IFERROR(__xludf.DUMMYFUNCTION("""COMPUTED_VALUE"""),"")</f>
        <v/>
      </c>
      <c r="F709" s="8" t="str">
        <f>IFERROR(__xludf.DUMMYFUNCTION("""COMPUTED_VALUE"""),"")</f>
        <v/>
      </c>
      <c r="G709" s="8" t="str">
        <f>IFERROR(__xludf.DUMMYFUNCTION("""COMPUTED_VALUE"""),"")</f>
        <v/>
      </c>
      <c r="L709" s="8" t="s">
        <v>299</v>
      </c>
    </row>
    <row r="710">
      <c r="A710" s="10"/>
      <c r="B710" s="8" t="str">
        <f>IFERROR(__xludf.DUMMYFUNCTION("""COMPUTED_VALUE"""),"")</f>
        <v/>
      </c>
      <c r="C710" s="8" t="str">
        <f>IFERROR(__xludf.DUMMYFUNCTION("""COMPUTED_VALUE"""),"")</f>
        <v/>
      </c>
      <c r="D710" s="8" t="str">
        <f>IFERROR(__xludf.DUMMYFUNCTION("""COMPUTED_VALUE"""),"")</f>
        <v/>
      </c>
      <c r="E710" s="8" t="str">
        <f>IFERROR(__xludf.DUMMYFUNCTION("""COMPUTED_VALUE"""),"")</f>
        <v/>
      </c>
      <c r="F710" s="8" t="str">
        <f>IFERROR(__xludf.DUMMYFUNCTION("""COMPUTED_VALUE"""),"")</f>
        <v/>
      </c>
      <c r="G710" s="8" t="str">
        <f>IFERROR(__xludf.DUMMYFUNCTION("""COMPUTED_VALUE"""),"")</f>
        <v/>
      </c>
      <c r="L710" s="8" t="s">
        <v>299</v>
      </c>
    </row>
    <row r="711">
      <c r="A711" s="10"/>
      <c r="B711" s="8" t="str">
        <f>IFERROR(__xludf.DUMMYFUNCTION("""COMPUTED_VALUE"""),"")</f>
        <v/>
      </c>
      <c r="C711" s="8" t="str">
        <f>IFERROR(__xludf.DUMMYFUNCTION("""COMPUTED_VALUE"""),"")</f>
        <v/>
      </c>
      <c r="D711" s="8" t="str">
        <f>IFERROR(__xludf.DUMMYFUNCTION("""COMPUTED_VALUE"""),"")</f>
        <v/>
      </c>
      <c r="E711" s="8" t="str">
        <f>IFERROR(__xludf.DUMMYFUNCTION("""COMPUTED_VALUE"""),"")</f>
        <v/>
      </c>
      <c r="F711" s="8" t="str">
        <f>IFERROR(__xludf.DUMMYFUNCTION("""COMPUTED_VALUE"""),"")</f>
        <v/>
      </c>
      <c r="G711" s="8" t="str">
        <f>IFERROR(__xludf.DUMMYFUNCTION("""COMPUTED_VALUE"""),"")</f>
        <v/>
      </c>
      <c r="L711" s="8" t="s">
        <v>299</v>
      </c>
    </row>
    <row r="712">
      <c r="A712" s="10"/>
      <c r="B712" s="8" t="str">
        <f>IFERROR(__xludf.DUMMYFUNCTION("""COMPUTED_VALUE"""),"")</f>
        <v/>
      </c>
      <c r="C712" s="8" t="str">
        <f>IFERROR(__xludf.DUMMYFUNCTION("""COMPUTED_VALUE"""),"")</f>
        <v/>
      </c>
      <c r="D712" s="8" t="str">
        <f>IFERROR(__xludf.DUMMYFUNCTION("""COMPUTED_VALUE"""),"")</f>
        <v/>
      </c>
      <c r="E712" s="8" t="str">
        <f>IFERROR(__xludf.DUMMYFUNCTION("""COMPUTED_VALUE"""),"")</f>
        <v/>
      </c>
      <c r="F712" s="8" t="str">
        <f>IFERROR(__xludf.DUMMYFUNCTION("""COMPUTED_VALUE"""),"")</f>
        <v/>
      </c>
      <c r="G712" s="8" t="str">
        <f>IFERROR(__xludf.DUMMYFUNCTION("""COMPUTED_VALUE"""),"")</f>
        <v/>
      </c>
      <c r="L712" s="8" t="s">
        <v>299</v>
      </c>
    </row>
    <row r="713">
      <c r="A713" s="10"/>
      <c r="B713" s="8" t="str">
        <f>IFERROR(__xludf.DUMMYFUNCTION("""COMPUTED_VALUE"""),"")</f>
        <v/>
      </c>
      <c r="C713" s="8" t="str">
        <f>IFERROR(__xludf.DUMMYFUNCTION("""COMPUTED_VALUE"""),"")</f>
        <v/>
      </c>
      <c r="D713" s="8" t="str">
        <f>IFERROR(__xludf.DUMMYFUNCTION("""COMPUTED_VALUE"""),"")</f>
        <v/>
      </c>
      <c r="E713" s="8" t="str">
        <f>IFERROR(__xludf.DUMMYFUNCTION("""COMPUTED_VALUE"""),"")</f>
        <v/>
      </c>
      <c r="F713" s="8" t="str">
        <f>IFERROR(__xludf.DUMMYFUNCTION("""COMPUTED_VALUE"""),"")</f>
        <v/>
      </c>
      <c r="G713" s="8" t="str">
        <f>IFERROR(__xludf.DUMMYFUNCTION("""COMPUTED_VALUE"""),"")</f>
        <v/>
      </c>
      <c r="L713" s="8" t="s">
        <v>299</v>
      </c>
    </row>
    <row r="714">
      <c r="A714" s="10"/>
      <c r="B714" s="8" t="str">
        <f>IFERROR(__xludf.DUMMYFUNCTION("""COMPUTED_VALUE"""),"")</f>
        <v/>
      </c>
      <c r="C714" s="8" t="str">
        <f>IFERROR(__xludf.DUMMYFUNCTION("""COMPUTED_VALUE"""),"")</f>
        <v/>
      </c>
      <c r="D714" s="8" t="str">
        <f>IFERROR(__xludf.DUMMYFUNCTION("""COMPUTED_VALUE"""),"")</f>
        <v/>
      </c>
      <c r="E714" s="8" t="str">
        <f>IFERROR(__xludf.DUMMYFUNCTION("""COMPUTED_VALUE"""),"")</f>
        <v/>
      </c>
      <c r="F714" s="8" t="str">
        <f>IFERROR(__xludf.DUMMYFUNCTION("""COMPUTED_VALUE"""),"")</f>
        <v/>
      </c>
      <c r="G714" s="8" t="str">
        <f>IFERROR(__xludf.DUMMYFUNCTION("""COMPUTED_VALUE"""),"")</f>
        <v/>
      </c>
      <c r="L714" s="8" t="s">
        <v>299</v>
      </c>
    </row>
    <row r="715">
      <c r="A715" s="10"/>
      <c r="B715" s="8" t="str">
        <f>IFERROR(__xludf.DUMMYFUNCTION("""COMPUTED_VALUE"""),"")</f>
        <v/>
      </c>
      <c r="C715" s="8" t="str">
        <f>IFERROR(__xludf.DUMMYFUNCTION("""COMPUTED_VALUE"""),"")</f>
        <v/>
      </c>
      <c r="D715" s="8" t="str">
        <f>IFERROR(__xludf.DUMMYFUNCTION("""COMPUTED_VALUE"""),"")</f>
        <v/>
      </c>
      <c r="E715" s="8" t="str">
        <f>IFERROR(__xludf.DUMMYFUNCTION("""COMPUTED_VALUE"""),"")</f>
        <v/>
      </c>
      <c r="F715" s="8" t="str">
        <f>IFERROR(__xludf.DUMMYFUNCTION("""COMPUTED_VALUE"""),"")</f>
        <v/>
      </c>
      <c r="G715" s="8" t="str">
        <f>IFERROR(__xludf.DUMMYFUNCTION("""COMPUTED_VALUE"""),"")</f>
        <v/>
      </c>
      <c r="L715" s="8" t="s">
        <v>299</v>
      </c>
    </row>
    <row r="716">
      <c r="A716" s="10"/>
      <c r="B716" s="8" t="str">
        <f>IFERROR(__xludf.DUMMYFUNCTION("""COMPUTED_VALUE"""),"")</f>
        <v/>
      </c>
      <c r="C716" s="8" t="str">
        <f>IFERROR(__xludf.DUMMYFUNCTION("""COMPUTED_VALUE"""),"")</f>
        <v/>
      </c>
      <c r="D716" s="8" t="str">
        <f>IFERROR(__xludf.DUMMYFUNCTION("""COMPUTED_VALUE"""),"")</f>
        <v/>
      </c>
      <c r="E716" s="8" t="str">
        <f>IFERROR(__xludf.DUMMYFUNCTION("""COMPUTED_VALUE"""),"")</f>
        <v/>
      </c>
      <c r="F716" s="8" t="str">
        <f>IFERROR(__xludf.DUMMYFUNCTION("""COMPUTED_VALUE"""),"")</f>
        <v/>
      </c>
      <c r="G716" s="8" t="str">
        <f>IFERROR(__xludf.DUMMYFUNCTION("""COMPUTED_VALUE"""),"")</f>
        <v/>
      </c>
      <c r="L716" s="8" t="s">
        <v>299</v>
      </c>
    </row>
    <row r="717">
      <c r="A717" s="10"/>
      <c r="B717" s="8" t="str">
        <f>IFERROR(__xludf.DUMMYFUNCTION("""COMPUTED_VALUE"""),"")</f>
        <v/>
      </c>
      <c r="C717" s="8" t="str">
        <f>IFERROR(__xludf.DUMMYFUNCTION("""COMPUTED_VALUE"""),"")</f>
        <v/>
      </c>
      <c r="D717" s="8" t="str">
        <f>IFERROR(__xludf.DUMMYFUNCTION("""COMPUTED_VALUE"""),"")</f>
        <v/>
      </c>
      <c r="E717" s="8" t="str">
        <f>IFERROR(__xludf.DUMMYFUNCTION("""COMPUTED_VALUE"""),"")</f>
        <v/>
      </c>
      <c r="F717" s="8" t="str">
        <f>IFERROR(__xludf.DUMMYFUNCTION("""COMPUTED_VALUE"""),"")</f>
        <v/>
      </c>
      <c r="G717" s="8" t="str">
        <f>IFERROR(__xludf.DUMMYFUNCTION("""COMPUTED_VALUE"""),"")</f>
        <v/>
      </c>
      <c r="L717" s="8" t="s">
        <v>299</v>
      </c>
    </row>
    <row r="718">
      <c r="A718" s="10"/>
      <c r="B718" s="8" t="str">
        <f>IFERROR(__xludf.DUMMYFUNCTION("""COMPUTED_VALUE"""),"")</f>
        <v/>
      </c>
      <c r="C718" s="8" t="str">
        <f>IFERROR(__xludf.DUMMYFUNCTION("""COMPUTED_VALUE"""),"")</f>
        <v/>
      </c>
      <c r="D718" s="8" t="str">
        <f>IFERROR(__xludf.DUMMYFUNCTION("""COMPUTED_VALUE"""),"")</f>
        <v/>
      </c>
      <c r="E718" s="8" t="str">
        <f>IFERROR(__xludf.DUMMYFUNCTION("""COMPUTED_VALUE"""),"")</f>
        <v/>
      </c>
      <c r="F718" s="8" t="str">
        <f>IFERROR(__xludf.DUMMYFUNCTION("""COMPUTED_VALUE"""),"")</f>
        <v/>
      </c>
      <c r="G718" s="8" t="str">
        <f>IFERROR(__xludf.DUMMYFUNCTION("""COMPUTED_VALUE"""),"")</f>
        <v/>
      </c>
      <c r="L718" s="8" t="s">
        <v>299</v>
      </c>
    </row>
    <row r="719">
      <c r="A719" s="10"/>
      <c r="B719" s="8" t="str">
        <f>IFERROR(__xludf.DUMMYFUNCTION("""COMPUTED_VALUE"""),"")</f>
        <v/>
      </c>
      <c r="C719" s="8" t="str">
        <f>IFERROR(__xludf.DUMMYFUNCTION("""COMPUTED_VALUE"""),"")</f>
        <v/>
      </c>
      <c r="D719" s="8" t="str">
        <f>IFERROR(__xludf.DUMMYFUNCTION("""COMPUTED_VALUE"""),"")</f>
        <v/>
      </c>
      <c r="E719" s="8" t="str">
        <f>IFERROR(__xludf.DUMMYFUNCTION("""COMPUTED_VALUE"""),"")</f>
        <v/>
      </c>
      <c r="F719" s="8" t="str">
        <f>IFERROR(__xludf.DUMMYFUNCTION("""COMPUTED_VALUE"""),"")</f>
        <v/>
      </c>
      <c r="G719" s="8" t="str">
        <f>IFERROR(__xludf.DUMMYFUNCTION("""COMPUTED_VALUE"""),"")</f>
        <v/>
      </c>
      <c r="L719" s="8" t="s">
        <v>299</v>
      </c>
    </row>
    <row r="720">
      <c r="A720" s="10"/>
      <c r="B720" s="8" t="str">
        <f>IFERROR(__xludf.DUMMYFUNCTION("""COMPUTED_VALUE"""),"")</f>
        <v/>
      </c>
      <c r="C720" s="8" t="str">
        <f>IFERROR(__xludf.DUMMYFUNCTION("""COMPUTED_VALUE"""),"")</f>
        <v/>
      </c>
      <c r="D720" s="8" t="str">
        <f>IFERROR(__xludf.DUMMYFUNCTION("""COMPUTED_VALUE"""),"")</f>
        <v/>
      </c>
      <c r="E720" s="8" t="str">
        <f>IFERROR(__xludf.DUMMYFUNCTION("""COMPUTED_VALUE"""),"")</f>
        <v/>
      </c>
      <c r="F720" s="8" t="str">
        <f>IFERROR(__xludf.DUMMYFUNCTION("""COMPUTED_VALUE"""),"")</f>
        <v/>
      </c>
      <c r="G720" s="8" t="str">
        <f>IFERROR(__xludf.DUMMYFUNCTION("""COMPUTED_VALUE"""),"")</f>
        <v/>
      </c>
      <c r="L720" s="8" t="s">
        <v>299</v>
      </c>
    </row>
    <row r="721">
      <c r="A721" s="10"/>
      <c r="B721" s="8" t="str">
        <f>IFERROR(__xludf.DUMMYFUNCTION("""COMPUTED_VALUE"""),"")</f>
        <v/>
      </c>
      <c r="C721" s="8" t="str">
        <f>IFERROR(__xludf.DUMMYFUNCTION("""COMPUTED_VALUE"""),"")</f>
        <v/>
      </c>
      <c r="D721" s="8" t="str">
        <f>IFERROR(__xludf.DUMMYFUNCTION("""COMPUTED_VALUE"""),"")</f>
        <v/>
      </c>
      <c r="E721" s="8" t="str">
        <f>IFERROR(__xludf.DUMMYFUNCTION("""COMPUTED_VALUE"""),"")</f>
        <v/>
      </c>
      <c r="F721" s="8" t="str">
        <f>IFERROR(__xludf.DUMMYFUNCTION("""COMPUTED_VALUE"""),"")</f>
        <v/>
      </c>
      <c r="G721" s="8" t="str">
        <f>IFERROR(__xludf.DUMMYFUNCTION("""COMPUTED_VALUE"""),"")</f>
        <v/>
      </c>
      <c r="L721" s="8" t="s">
        <v>299</v>
      </c>
    </row>
    <row r="722">
      <c r="A722" s="10"/>
      <c r="B722" s="8" t="str">
        <f>IFERROR(__xludf.DUMMYFUNCTION("""COMPUTED_VALUE"""),"")</f>
        <v/>
      </c>
      <c r="C722" s="8" t="str">
        <f>IFERROR(__xludf.DUMMYFUNCTION("""COMPUTED_VALUE"""),"")</f>
        <v/>
      </c>
      <c r="D722" s="8" t="str">
        <f>IFERROR(__xludf.DUMMYFUNCTION("""COMPUTED_VALUE"""),"")</f>
        <v/>
      </c>
      <c r="E722" s="8" t="str">
        <f>IFERROR(__xludf.DUMMYFUNCTION("""COMPUTED_VALUE"""),"")</f>
        <v/>
      </c>
      <c r="F722" s="8" t="str">
        <f>IFERROR(__xludf.DUMMYFUNCTION("""COMPUTED_VALUE"""),"")</f>
        <v/>
      </c>
      <c r="G722" s="8" t="str">
        <f>IFERROR(__xludf.DUMMYFUNCTION("""COMPUTED_VALUE"""),"")</f>
        <v/>
      </c>
      <c r="L722" s="8" t="s">
        <v>299</v>
      </c>
    </row>
    <row r="723">
      <c r="A723" s="10"/>
      <c r="B723" s="8" t="str">
        <f>IFERROR(__xludf.DUMMYFUNCTION("""COMPUTED_VALUE"""),"")</f>
        <v/>
      </c>
      <c r="C723" s="8" t="str">
        <f>IFERROR(__xludf.DUMMYFUNCTION("""COMPUTED_VALUE"""),"")</f>
        <v/>
      </c>
      <c r="D723" s="8" t="str">
        <f>IFERROR(__xludf.DUMMYFUNCTION("""COMPUTED_VALUE"""),"")</f>
        <v/>
      </c>
      <c r="E723" s="8" t="str">
        <f>IFERROR(__xludf.DUMMYFUNCTION("""COMPUTED_VALUE"""),"")</f>
        <v/>
      </c>
      <c r="F723" s="8" t="str">
        <f>IFERROR(__xludf.DUMMYFUNCTION("""COMPUTED_VALUE"""),"")</f>
        <v/>
      </c>
      <c r="G723" s="8" t="str">
        <f>IFERROR(__xludf.DUMMYFUNCTION("""COMPUTED_VALUE"""),"")</f>
        <v/>
      </c>
      <c r="L723" s="8" t="s">
        <v>299</v>
      </c>
    </row>
    <row r="724">
      <c r="A724" s="10"/>
      <c r="B724" s="8" t="str">
        <f>IFERROR(__xludf.DUMMYFUNCTION("""COMPUTED_VALUE"""),"")</f>
        <v/>
      </c>
      <c r="C724" s="8" t="str">
        <f>IFERROR(__xludf.DUMMYFUNCTION("""COMPUTED_VALUE"""),"")</f>
        <v/>
      </c>
      <c r="D724" s="8" t="str">
        <f>IFERROR(__xludf.DUMMYFUNCTION("""COMPUTED_VALUE"""),"")</f>
        <v/>
      </c>
      <c r="E724" s="8" t="str">
        <f>IFERROR(__xludf.DUMMYFUNCTION("""COMPUTED_VALUE"""),"")</f>
        <v/>
      </c>
      <c r="F724" s="8" t="str">
        <f>IFERROR(__xludf.DUMMYFUNCTION("""COMPUTED_VALUE"""),"")</f>
        <v/>
      </c>
      <c r="G724" s="8" t="str">
        <f>IFERROR(__xludf.DUMMYFUNCTION("""COMPUTED_VALUE"""),"")</f>
        <v/>
      </c>
      <c r="L724" s="8" t="s">
        <v>299</v>
      </c>
    </row>
    <row r="725">
      <c r="A725" s="10"/>
      <c r="B725" s="8" t="str">
        <f>IFERROR(__xludf.DUMMYFUNCTION("""COMPUTED_VALUE"""),"")</f>
        <v/>
      </c>
      <c r="C725" s="8" t="str">
        <f>IFERROR(__xludf.DUMMYFUNCTION("""COMPUTED_VALUE"""),"")</f>
        <v/>
      </c>
      <c r="D725" s="8" t="str">
        <f>IFERROR(__xludf.DUMMYFUNCTION("""COMPUTED_VALUE"""),"")</f>
        <v/>
      </c>
      <c r="E725" s="8" t="str">
        <f>IFERROR(__xludf.DUMMYFUNCTION("""COMPUTED_VALUE"""),"")</f>
        <v/>
      </c>
      <c r="F725" s="8" t="str">
        <f>IFERROR(__xludf.DUMMYFUNCTION("""COMPUTED_VALUE"""),"")</f>
        <v/>
      </c>
      <c r="G725" s="8" t="str">
        <f>IFERROR(__xludf.DUMMYFUNCTION("""COMPUTED_VALUE"""),"")</f>
        <v/>
      </c>
      <c r="L725" s="8" t="s">
        <v>299</v>
      </c>
    </row>
    <row r="726">
      <c r="A726" s="10"/>
      <c r="B726" s="8" t="str">
        <f>IFERROR(__xludf.DUMMYFUNCTION("""COMPUTED_VALUE"""),"")</f>
        <v/>
      </c>
      <c r="C726" s="8" t="str">
        <f>IFERROR(__xludf.DUMMYFUNCTION("""COMPUTED_VALUE"""),"")</f>
        <v/>
      </c>
      <c r="D726" s="8" t="str">
        <f>IFERROR(__xludf.DUMMYFUNCTION("""COMPUTED_VALUE"""),"")</f>
        <v/>
      </c>
      <c r="E726" s="8" t="str">
        <f>IFERROR(__xludf.DUMMYFUNCTION("""COMPUTED_VALUE"""),"")</f>
        <v/>
      </c>
      <c r="F726" s="8" t="str">
        <f>IFERROR(__xludf.DUMMYFUNCTION("""COMPUTED_VALUE"""),"")</f>
        <v/>
      </c>
      <c r="G726" s="8" t="str">
        <f>IFERROR(__xludf.DUMMYFUNCTION("""COMPUTED_VALUE"""),"")</f>
        <v/>
      </c>
      <c r="L726" s="8" t="s">
        <v>299</v>
      </c>
    </row>
    <row r="727">
      <c r="A727" s="10"/>
      <c r="B727" s="8" t="str">
        <f>IFERROR(__xludf.DUMMYFUNCTION("""COMPUTED_VALUE"""),"")</f>
        <v/>
      </c>
      <c r="C727" s="8" t="str">
        <f>IFERROR(__xludf.DUMMYFUNCTION("""COMPUTED_VALUE"""),"")</f>
        <v/>
      </c>
      <c r="D727" s="8" t="str">
        <f>IFERROR(__xludf.DUMMYFUNCTION("""COMPUTED_VALUE"""),"")</f>
        <v/>
      </c>
      <c r="E727" s="8" t="str">
        <f>IFERROR(__xludf.DUMMYFUNCTION("""COMPUTED_VALUE"""),"")</f>
        <v/>
      </c>
      <c r="F727" s="8" t="str">
        <f>IFERROR(__xludf.DUMMYFUNCTION("""COMPUTED_VALUE"""),"")</f>
        <v/>
      </c>
      <c r="G727" s="8" t="str">
        <f>IFERROR(__xludf.DUMMYFUNCTION("""COMPUTED_VALUE"""),"")</f>
        <v/>
      </c>
      <c r="L727" s="8" t="s">
        <v>299</v>
      </c>
    </row>
    <row r="728">
      <c r="A728" s="10"/>
      <c r="B728" s="8" t="str">
        <f>IFERROR(__xludf.DUMMYFUNCTION("""COMPUTED_VALUE"""),"")</f>
        <v/>
      </c>
      <c r="C728" s="8" t="str">
        <f>IFERROR(__xludf.DUMMYFUNCTION("""COMPUTED_VALUE"""),"")</f>
        <v/>
      </c>
      <c r="D728" s="8" t="str">
        <f>IFERROR(__xludf.DUMMYFUNCTION("""COMPUTED_VALUE"""),"")</f>
        <v/>
      </c>
      <c r="E728" s="8" t="str">
        <f>IFERROR(__xludf.DUMMYFUNCTION("""COMPUTED_VALUE"""),"")</f>
        <v/>
      </c>
      <c r="F728" s="8" t="str">
        <f>IFERROR(__xludf.DUMMYFUNCTION("""COMPUTED_VALUE"""),"")</f>
        <v/>
      </c>
      <c r="G728" s="8" t="str">
        <f>IFERROR(__xludf.DUMMYFUNCTION("""COMPUTED_VALUE"""),"")</f>
        <v/>
      </c>
      <c r="L728" s="8" t="s">
        <v>299</v>
      </c>
    </row>
    <row r="729">
      <c r="A729" s="10"/>
      <c r="B729" s="8" t="str">
        <f>IFERROR(__xludf.DUMMYFUNCTION("""COMPUTED_VALUE"""),"")</f>
        <v/>
      </c>
      <c r="C729" s="8" t="str">
        <f>IFERROR(__xludf.DUMMYFUNCTION("""COMPUTED_VALUE"""),"")</f>
        <v/>
      </c>
      <c r="D729" s="8" t="str">
        <f>IFERROR(__xludf.DUMMYFUNCTION("""COMPUTED_VALUE"""),"")</f>
        <v/>
      </c>
      <c r="E729" s="8" t="str">
        <f>IFERROR(__xludf.DUMMYFUNCTION("""COMPUTED_VALUE"""),"")</f>
        <v/>
      </c>
      <c r="F729" s="8" t="str">
        <f>IFERROR(__xludf.DUMMYFUNCTION("""COMPUTED_VALUE"""),"")</f>
        <v/>
      </c>
      <c r="G729" s="8" t="str">
        <f>IFERROR(__xludf.DUMMYFUNCTION("""COMPUTED_VALUE"""),"")</f>
        <v/>
      </c>
      <c r="L729" s="8" t="s">
        <v>299</v>
      </c>
    </row>
    <row r="730">
      <c r="A730" s="10"/>
      <c r="B730" s="8" t="str">
        <f>IFERROR(__xludf.DUMMYFUNCTION("""COMPUTED_VALUE"""),"")</f>
        <v/>
      </c>
      <c r="C730" s="8" t="str">
        <f>IFERROR(__xludf.DUMMYFUNCTION("""COMPUTED_VALUE"""),"")</f>
        <v/>
      </c>
      <c r="D730" s="8" t="str">
        <f>IFERROR(__xludf.DUMMYFUNCTION("""COMPUTED_VALUE"""),"")</f>
        <v/>
      </c>
      <c r="E730" s="8" t="str">
        <f>IFERROR(__xludf.DUMMYFUNCTION("""COMPUTED_VALUE"""),"")</f>
        <v/>
      </c>
      <c r="F730" s="8" t="str">
        <f>IFERROR(__xludf.DUMMYFUNCTION("""COMPUTED_VALUE"""),"")</f>
        <v/>
      </c>
      <c r="G730" s="8" t="str">
        <f>IFERROR(__xludf.DUMMYFUNCTION("""COMPUTED_VALUE"""),"")</f>
        <v/>
      </c>
      <c r="L730" s="8" t="s">
        <v>299</v>
      </c>
    </row>
    <row r="731">
      <c r="A731" s="10"/>
      <c r="B731" s="8" t="str">
        <f>IFERROR(__xludf.DUMMYFUNCTION("""COMPUTED_VALUE"""),"")</f>
        <v/>
      </c>
      <c r="C731" s="8" t="str">
        <f>IFERROR(__xludf.DUMMYFUNCTION("""COMPUTED_VALUE"""),"")</f>
        <v/>
      </c>
      <c r="D731" s="8" t="str">
        <f>IFERROR(__xludf.DUMMYFUNCTION("""COMPUTED_VALUE"""),"")</f>
        <v/>
      </c>
      <c r="E731" s="8" t="str">
        <f>IFERROR(__xludf.DUMMYFUNCTION("""COMPUTED_VALUE"""),"")</f>
        <v/>
      </c>
      <c r="F731" s="8" t="str">
        <f>IFERROR(__xludf.DUMMYFUNCTION("""COMPUTED_VALUE"""),"")</f>
        <v/>
      </c>
      <c r="G731" s="8" t="str">
        <f>IFERROR(__xludf.DUMMYFUNCTION("""COMPUTED_VALUE"""),"")</f>
        <v/>
      </c>
      <c r="L731" s="8" t="s">
        <v>299</v>
      </c>
    </row>
    <row r="732">
      <c r="A732" s="10"/>
      <c r="B732" s="8" t="str">
        <f>IFERROR(__xludf.DUMMYFUNCTION("""COMPUTED_VALUE"""),"")</f>
        <v/>
      </c>
      <c r="C732" s="8" t="str">
        <f>IFERROR(__xludf.DUMMYFUNCTION("""COMPUTED_VALUE"""),"")</f>
        <v/>
      </c>
      <c r="D732" s="8" t="str">
        <f>IFERROR(__xludf.DUMMYFUNCTION("""COMPUTED_VALUE"""),"")</f>
        <v/>
      </c>
      <c r="E732" s="8" t="str">
        <f>IFERROR(__xludf.DUMMYFUNCTION("""COMPUTED_VALUE"""),"")</f>
        <v/>
      </c>
      <c r="F732" s="8" t="str">
        <f>IFERROR(__xludf.DUMMYFUNCTION("""COMPUTED_VALUE"""),"")</f>
        <v/>
      </c>
      <c r="G732" s="8" t="str">
        <f>IFERROR(__xludf.DUMMYFUNCTION("""COMPUTED_VALUE"""),"")</f>
        <v/>
      </c>
      <c r="L732" s="8" t="s">
        <v>299</v>
      </c>
    </row>
    <row r="733">
      <c r="A733" s="10"/>
      <c r="B733" s="8" t="str">
        <f>IFERROR(__xludf.DUMMYFUNCTION("""COMPUTED_VALUE"""),"")</f>
        <v/>
      </c>
      <c r="C733" s="8" t="str">
        <f>IFERROR(__xludf.DUMMYFUNCTION("""COMPUTED_VALUE"""),"")</f>
        <v/>
      </c>
      <c r="D733" s="8" t="str">
        <f>IFERROR(__xludf.DUMMYFUNCTION("""COMPUTED_VALUE"""),"")</f>
        <v/>
      </c>
      <c r="E733" s="8" t="str">
        <f>IFERROR(__xludf.DUMMYFUNCTION("""COMPUTED_VALUE"""),"")</f>
        <v/>
      </c>
      <c r="F733" s="8" t="str">
        <f>IFERROR(__xludf.DUMMYFUNCTION("""COMPUTED_VALUE"""),"")</f>
        <v/>
      </c>
      <c r="G733" s="8" t="str">
        <f>IFERROR(__xludf.DUMMYFUNCTION("""COMPUTED_VALUE"""),"")</f>
        <v/>
      </c>
      <c r="L733" s="8" t="s">
        <v>299</v>
      </c>
    </row>
    <row r="734">
      <c r="A734" s="10"/>
      <c r="B734" s="8" t="str">
        <f>IFERROR(__xludf.DUMMYFUNCTION("""COMPUTED_VALUE"""),"")</f>
        <v/>
      </c>
      <c r="C734" s="8" t="str">
        <f>IFERROR(__xludf.DUMMYFUNCTION("""COMPUTED_VALUE"""),"")</f>
        <v/>
      </c>
      <c r="D734" s="8" t="str">
        <f>IFERROR(__xludf.DUMMYFUNCTION("""COMPUTED_VALUE"""),"")</f>
        <v/>
      </c>
      <c r="E734" s="8" t="str">
        <f>IFERROR(__xludf.DUMMYFUNCTION("""COMPUTED_VALUE"""),"")</f>
        <v/>
      </c>
      <c r="F734" s="8" t="str">
        <f>IFERROR(__xludf.DUMMYFUNCTION("""COMPUTED_VALUE"""),"")</f>
        <v/>
      </c>
      <c r="G734" s="8" t="str">
        <f>IFERROR(__xludf.DUMMYFUNCTION("""COMPUTED_VALUE"""),"")</f>
        <v/>
      </c>
      <c r="L734" s="8" t="s">
        <v>299</v>
      </c>
    </row>
    <row r="735">
      <c r="A735" s="10"/>
      <c r="B735" s="8" t="str">
        <f>IFERROR(__xludf.DUMMYFUNCTION("""COMPUTED_VALUE"""),"")</f>
        <v/>
      </c>
      <c r="C735" s="8" t="str">
        <f>IFERROR(__xludf.DUMMYFUNCTION("""COMPUTED_VALUE"""),"")</f>
        <v/>
      </c>
      <c r="D735" s="8" t="str">
        <f>IFERROR(__xludf.DUMMYFUNCTION("""COMPUTED_VALUE"""),"")</f>
        <v/>
      </c>
      <c r="E735" s="8" t="str">
        <f>IFERROR(__xludf.DUMMYFUNCTION("""COMPUTED_VALUE"""),"")</f>
        <v/>
      </c>
      <c r="F735" s="8" t="str">
        <f>IFERROR(__xludf.DUMMYFUNCTION("""COMPUTED_VALUE"""),"")</f>
        <v/>
      </c>
      <c r="G735" s="8" t="str">
        <f>IFERROR(__xludf.DUMMYFUNCTION("""COMPUTED_VALUE"""),"")</f>
        <v/>
      </c>
      <c r="L735" s="8" t="s">
        <v>299</v>
      </c>
    </row>
    <row r="736">
      <c r="A736" s="10"/>
      <c r="B736" s="8" t="str">
        <f>IFERROR(__xludf.DUMMYFUNCTION("""COMPUTED_VALUE"""),"")</f>
        <v/>
      </c>
      <c r="C736" s="8" t="str">
        <f>IFERROR(__xludf.DUMMYFUNCTION("""COMPUTED_VALUE"""),"")</f>
        <v/>
      </c>
      <c r="D736" s="8" t="str">
        <f>IFERROR(__xludf.DUMMYFUNCTION("""COMPUTED_VALUE"""),"")</f>
        <v/>
      </c>
      <c r="E736" s="8" t="str">
        <f>IFERROR(__xludf.DUMMYFUNCTION("""COMPUTED_VALUE"""),"")</f>
        <v/>
      </c>
      <c r="F736" s="8" t="str">
        <f>IFERROR(__xludf.DUMMYFUNCTION("""COMPUTED_VALUE"""),"")</f>
        <v/>
      </c>
      <c r="G736" s="8" t="str">
        <f>IFERROR(__xludf.DUMMYFUNCTION("""COMPUTED_VALUE"""),"")</f>
        <v/>
      </c>
      <c r="L736" s="8" t="s">
        <v>299</v>
      </c>
    </row>
    <row r="737">
      <c r="A737" s="10"/>
      <c r="B737" s="8" t="str">
        <f>IFERROR(__xludf.DUMMYFUNCTION("""COMPUTED_VALUE"""),"")</f>
        <v/>
      </c>
      <c r="C737" s="8" t="str">
        <f>IFERROR(__xludf.DUMMYFUNCTION("""COMPUTED_VALUE"""),"")</f>
        <v/>
      </c>
      <c r="D737" s="8" t="str">
        <f>IFERROR(__xludf.DUMMYFUNCTION("""COMPUTED_VALUE"""),"")</f>
        <v/>
      </c>
      <c r="E737" s="8" t="str">
        <f>IFERROR(__xludf.DUMMYFUNCTION("""COMPUTED_VALUE"""),"")</f>
        <v/>
      </c>
      <c r="F737" s="8" t="str">
        <f>IFERROR(__xludf.DUMMYFUNCTION("""COMPUTED_VALUE"""),"")</f>
        <v/>
      </c>
      <c r="G737" s="8" t="str">
        <f>IFERROR(__xludf.DUMMYFUNCTION("""COMPUTED_VALUE"""),"")</f>
        <v/>
      </c>
      <c r="L737" s="8" t="s">
        <v>299</v>
      </c>
    </row>
    <row r="738">
      <c r="A738" s="10"/>
      <c r="B738" s="8" t="str">
        <f>IFERROR(__xludf.DUMMYFUNCTION("""COMPUTED_VALUE"""),"")</f>
        <v/>
      </c>
      <c r="C738" s="8" t="str">
        <f>IFERROR(__xludf.DUMMYFUNCTION("""COMPUTED_VALUE"""),"")</f>
        <v/>
      </c>
      <c r="D738" s="8" t="str">
        <f>IFERROR(__xludf.DUMMYFUNCTION("""COMPUTED_VALUE"""),"")</f>
        <v/>
      </c>
      <c r="E738" s="8" t="str">
        <f>IFERROR(__xludf.DUMMYFUNCTION("""COMPUTED_VALUE"""),"")</f>
        <v/>
      </c>
      <c r="F738" s="8" t="str">
        <f>IFERROR(__xludf.DUMMYFUNCTION("""COMPUTED_VALUE"""),"")</f>
        <v/>
      </c>
      <c r="G738" s="8" t="str">
        <f>IFERROR(__xludf.DUMMYFUNCTION("""COMPUTED_VALUE"""),"")</f>
        <v/>
      </c>
      <c r="L738" s="8" t="s">
        <v>299</v>
      </c>
    </row>
    <row r="739">
      <c r="A739" s="10"/>
      <c r="B739" s="8" t="str">
        <f>IFERROR(__xludf.DUMMYFUNCTION("""COMPUTED_VALUE"""),"")</f>
        <v/>
      </c>
      <c r="C739" s="8" t="str">
        <f>IFERROR(__xludf.DUMMYFUNCTION("""COMPUTED_VALUE"""),"")</f>
        <v/>
      </c>
      <c r="D739" s="8" t="str">
        <f>IFERROR(__xludf.DUMMYFUNCTION("""COMPUTED_VALUE"""),"")</f>
        <v/>
      </c>
      <c r="E739" s="8" t="str">
        <f>IFERROR(__xludf.DUMMYFUNCTION("""COMPUTED_VALUE"""),"")</f>
        <v/>
      </c>
      <c r="F739" s="8" t="str">
        <f>IFERROR(__xludf.DUMMYFUNCTION("""COMPUTED_VALUE"""),"")</f>
        <v/>
      </c>
      <c r="G739" s="8" t="str">
        <f>IFERROR(__xludf.DUMMYFUNCTION("""COMPUTED_VALUE"""),"")</f>
        <v/>
      </c>
      <c r="L739" s="8" t="s">
        <v>299</v>
      </c>
    </row>
    <row r="740">
      <c r="A740" s="10"/>
      <c r="B740" s="8" t="str">
        <f>IFERROR(__xludf.DUMMYFUNCTION("""COMPUTED_VALUE"""),"")</f>
        <v/>
      </c>
      <c r="C740" s="8" t="str">
        <f>IFERROR(__xludf.DUMMYFUNCTION("""COMPUTED_VALUE"""),"")</f>
        <v/>
      </c>
      <c r="D740" s="8" t="str">
        <f>IFERROR(__xludf.DUMMYFUNCTION("""COMPUTED_VALUE"""),"")</f>
        <v/>
      </c>
      <c r="E740" s="8" t="str">
        <f>IFERROR(__xludf.DUMMYFUNCTION("""COMPUTED_VALUE"""),"")</f>
        <v/>
      </c>
      <c r="F740" s="8" t="str">
        <f>IFERROR(__xludf.DUMMYFUNCTION("""COMPUTED_VALUE"""),"")</f>
        <v/>
      </c>
      <c r="G740" s="8" t="str">
        <f>IFERROR(__xludf.DUMMYFUNCTION("""COMPUTED_VALUE"""),"")</f>
        <v/>
      </c>
      <c r="L740" s="8" t="s">
        <v>299</v>
      </c>
    </row>
    <row r="741">
      <c r="A741" s="10"/>
      <c r="B741" s="8" t="str">
        <f>IFERROR(__xludf.DUMMYFUNCTION("""COMPUTED_VALUE"""),"")</f>
        <v/>
      </c>
      <c r="C741" s="8" t="str">
        <f>IFERROR(__xludf.DUMMYFUNCTION("""COMPUTED_VALUE"""),"")</f>
        <v/>
      </c>
      <c r="D741" s="8" t="str">
        <f>IFERROR(__xludf.DUMMYFUNCTION("""COMPUTED_VALUE"""),"")</f>
        <v/>
      </c>
      <c r="E741" s="8" t="str">
        <f>IFERROR(__xludf.DUMMYFUNCTION("""COMPUTED_VALUE"""),"")</f>
        <v/>
      </c>
      <c r="F741" s="8" t="str">
        <f>IFERROR(__xludf.DUMMYFUNCTION("""COMPUTED_VALUE"""),"")</f>
        <v/>
      </c>
      <c r="G741" s="8" t="str">
        <f>IFERROR(__xludf.DUMMYFUNCTION("""COMPUTED_VALUE"""),"")</f>
        <v/>
      </c>
      <c r="L741" s="8" t="s">
        <v>299</v>
      </c>
    </row>
    <row r="742">
      <c r="A742" s="10"/>
      <c r="B742" s="8" t="str">
        <f>IFERROR(__xludf.DUMMYFUNCTION("""COMPUTED_VALUE"""),"")</f>
        <v/>
      </c>
      <c r="C742" s="8" t="str">
        <f>IFERROR(__xludf.DUMMYFUNCTION("""COMPUTED_VALUE"""),"")</f>
        <v/>
      </c>
      <c r="D742" s="8" t="str">
        <f>IFERROR(__xludf.DUMMYFUNCTION("""COMPUTED_VALUE"""),"")</f>
        <v/>
      </c>
      <c r="E742" s="8" t="str">
        <f>IFERROR(__xludf.DUMMYFUNCTION("""COMPUTED_VALUE"""),"")</f>
        <v/>
      </c>
      <c r="F742" s="8" t="str">
        <f>IFERROR(__xludf.DUMMYFUNCTION("""COMPUTED_VALUE"""),"")</f>
        <v/>
      </c>
      <c r="G742" s="8" t="str">
        <f>IFERROR(__xludf.DUMMYFUNCTION("""COMPUTED_VALUE"""),"")</f>
        <v/>
      </c>
      <c r="L742" s="8" t="s">
        <v>299</v>
      </c>
    </row>
    <row r="743">
      <c r="A743" s="10"/>
      <c r="B743" s="8" t="str">
        <f>IFERROR(__xludf.DUMMYFUNCTION("""COMPUTED_VALUE"""),"")</f>
        <v/>
      </c>
      <c r="C743" s="8" t="str">
        <f>IFERROR(__xludf.DUMMYFUNCTION("""COMPUTED_VALUE"""),"")</f>
        <v/>
      </c>
      <c r="D743" s="8" t="str">
        <f>IFERROR(__xludf.DUMMYFUNCTION("""COMPUTED_VALUE"""),"")</f>
        <v/>
      </c>
      <c r="E743" s="8" t="str">
        <f>IFERROR(__xludf.DUMMYFUNCTION("""COMPUTED_VALUE"""),"")</f>
        <v/>
      </c>
      <c r="F743" s="8" t="str">
        <f>IFERROR(__xludf.DUMMYFUNCTION("""COMPUTED_VALUE"""),"")</f>
        <v/>
      </c>
      <c r="G743" s="8" t="str">
        <f>IFERROR(__xludf.DUMMYFUNCTION("""COMPUTED_VALUE"""),"")</f>
        <v/>
      </c>
      <c r="L743" s="8" t="s">
        <v>299</v>
      </c>
    </row>
    <row r="744">
      <c r="A744" s="10"/>
      <c r="B744" s="8" t="str">
        <f>IFERROR(__xludf.DUMMYFUNCTION("""COMPUTED_VALUE"""),"")</f>
        <v/>
      </c>
      <c r="C744" s="8" t="str">
        <f>IFERROR(__xludf.DUMMYFUNCTION("""COMPUTED_VALUE"""),"")</f>
        <v/>
      </c>
      <c r="D744" s="8" t="str">
        <f>IFERROR(__xludf.DUMMYFUNCTION("""COMPUTED_VALUE"""),"")</f>
        <v/>
      </c>
      <c r="E744" s="8" t="str">
        <f>IFERROR(__xludf.DUMMYFUNCTION("""COMPUTED_VALUE"""),"")</f>
        <v/>
      </c>
      <c r="F744" s="8" t="str">
        <f>IFERROR(__xludf.DUMMYFUNCTION("""COMPUTED_VALUE"""),"")</f>
        <v/>
      </c>
      <c r="G744" s="8" t="str">
        <f>IFERROR(__xludf.DUMMYFUNCTION("""COMPUTED_VALUE"""),"")</f>
        <v/>
      </c>
      <c r="L744" s="8" t="s">
        <v>299</v>
      </c>
    </row>
    <row r="745">
      <c r="A745" s="10"/>
      <c r="B745" s="8" t="str">
        <f>IFERROR(__xludf.DUMMYFUNCTION("""COMPUTED_VALUE"""),"")</f>
        <v/>
      </c>
      <c r="C745" s="8" t="str">
        <f>IFERROR(__xludf.DUMMYFUNCTION("""COMPUTED_VALUE"""),"")</f>
        <v/>
      </c>
      <c r="D745" s="8" t="str">
        <f>IFERROR(__xludf.DUMMYFUNCTION("""COMPUTED_VALUE"""),"")</f>
        <v/>
      </c>
      <c r="E745" s="8" t="str">
        <f>IFERROR(__xludf.DUMMYFUNCTION("""COMPUTED_VALUE"""),"")</f>
        <v/>
      </c>
      <c r="F745" s="8" t="str">
        <f>IFERROR(__xludf.DUMMYFUNCTION("""COMPUTED_VALUE"""),"")</f>
        <v/>
      </c>
      <c r="G745" s="8" t="str">
        <f>IFERROR(__xludf.DUMMYFUNCTION("""COMPUTED_VALUE"""),"")</f>
        <v/>
      </c>
      <c r="L745" s="8" t="s">
        <v>299</v>
      </c>
    </row>
    <row r="746">
      <c r="A746" s="10"/>
      <c r="B746" s="8" t="str">
        <f>IFERROR(__xludf.DUMMYFUNCTION("""COMPUTED_VALUE"""),"")</f>
        <v/>
      </c>
      <c r="C746" s="8" t="str">
        <f>IFERROR(__xludf.DUMMYFUNCTION("""COMPUTED_VALUE"""),"")</f>
        <v/>
      </c>
      <c r="D746" s="8" t="str">
        <f>IFERROR(__xludf.DUMMYFUNCTION("""COMPUTED_VALUE"""),"")</f>
        <v/>
      </c>
      <c r="E746" s="8" t="str">
        <f>IFERROR(__xludf.DUMMYFUNCTION("""COMPUTED_VALUE"""),"")</f>
        <v/>
      </c>
      <c r="F746" s="8" t="str">
        <f>IFERROR(__xludf.DUMMYFUNCTION("""COMPUTED_VALUE"""),"")</f>
        <v/>
      </c>
      <c r="G746" s="8" t="str">
        <f>IFERROR(__xludf.DUMMYFUNCTION("""COMPUTED_VALUE"""),"")</f>
        <v/>
      </c>
      <c r="L746" s="8" t="s">
        <v>299</v>
      </c>
    </row>
    <row r="747">
      <c r="A747" s="10"/>
      <c r="B747" s="8" t="str">
        <f>IFERROR(__xludf.DUMMYFUNCTION("""COMPUTED_VALUE"""),"")</f>
        <v/>
      </c>
      <c r="C747" s="8" t="str">
        <f>IFERROR(__xludf.DUMMYFUNCTION("""COMPUTED_VALUE"""),"")</f>
        <v/>
      </c>
      <c r="D747" s="8" t="str">
        <f>IFERROR(__xludf.DUMMYFUNCTION("""COMPUTED_VALUE"""),"")</f>
        <v/>
      </c>
      <c r="E747" s="8" t="str">
        <f>IFERROR(__xludf.DUMMYFUNCTION("""COMPUTED_VALUE"""),"")</f>
        <v/>
      </c>
      <c r="F747" s="8" t="str">
        <f>IFERROR(__xludf.DUMMYFUNCTION("""COMPUTED_VALUE"""),"")</f>
        <v/>
      </c>
      <c r="G747" s="8" t="str">
        <f>IFERROR(__xludf.DUMMYFUNCTION("""COMPUTED_VALUE"""),"")</f>
        <v/>
      </c>
      <c r="L747" s="8" t="s">
        <v>299</v>
      </c>
    </row>
    <row r="748">
      <c r="A748" s="10"/>
      <c r="B748" s="8" t="str">
        <f>IFERROR(__xludf.DUMMYFUNCTION("""COMPUTED_VALUE"""),"")</f>
        <v/>
      </c>
      <c r="C748" s="8" t="str">
        <f>IFERROR(__xludf.DUMMYFUNCTION("""COMPUTED_VALUE"""),"")</f>
        <v/>
      </c>
      <c r="D748" s="8" t="str">
        <f>IFERROR(__xludf.DUMMYFUNCTION("""COMPUTED_VALUE"""),"")</f>
        <v/>
      </c>
      <c r="E748" s="8" t="str">
        <f>IFERROR(__xludf.DUMMYFUNCTION("""COMPUTED_VALUE"""),"")</f>
        <v/>
      </c>
      <c r="F748" s="8" t="str">
        <f>IFERROR(__xludf.DUMMYFUNCTION("""COMPUTED_VALUE"""),"")</f>
        <v/>
      </c>
      <c r="G748" s="8" t="str">
        <f>IFERROR(__xludf.DUMMYFUNCTION("""COMPUTED_VALUE"""),"")</f>
        <v/>
      </c>
      <c r="L748" s="8" t="s">
        <v>299</v>
      </c>
    </row>
    <row r="749">
      <c r="A749" s="10"/>
      <c r="B749" s="8" t="str">
        <f>IFERROR(__xludf.DUMMYFUNCTION("""COMPUTED_VALUE"""),"")</f>
        <v/>
      </c>
      <c r="C749" s="8" t="str">
        <f>IFERROR(__xludf.DUMMYFUNCTION("""COMPUTED_VALUE"""),"")</f>
        <v/>
      </c>
      <c r="D749" s="8" t="str">
        <f>IFERROR(__xludf.DUMMYFUNCTION("""COMPUTED_VALUE"""),"")</f>
        <v/>
      </c>
      <c r="E749" s="8" t="str">
        <f>IFERROR(__xludf.DUMMYFUNCTION("""COMPUTED_VALUE"""),"")</f>
        <v/>
      </c>
      <c r="F749" s="8" t="str">
        <f>IFERROR(__xludf.DUMMYFUNCTION("""COMPUTED_VALUE"""),"")</f>
        <v/>
      </c>
      <c r="G749" s="8" t="str">
        <f>IFERROR(__xludf.DUMMYFUNCTION("""COMPUTED_VALUE"""),"")</f>
        <v/>
      </c>
      <c r="L749" s="8" t="s">
        <v>299</v>
      </c>
    </row>
    <row r="750">
      <c r="A750" s="10"/>
      <c r="B750" s="8" t="str">
        <f>IFERROR(__xludf.DUMMYFUNCTION("""COMPUTED_VALUE"""),"")</f>
        <v/>
      </c>
      <c r="C750" s="8" t="str">
        <f>IFERROR(__xludf.DUMMYFUNCTION("""COMPUTED_VALUE"""),"")</f>
        <v/>
      </c>
      <c r="D750" s="8" t="str">
        <f>IFERROR(__xludf.DUMMYFUNCTION("""COMPUTED_VALUE"""),"")</f>
        <v/>
      </c>
      <c r="E750" s="8" t="str">
        <f>IFERROR(__xludf.DUMMYFUNCTION("""COMPUTED_VALUE"""),"")</f>
        <v/>
      </c>
      <c r="F750" s="8" t="str">
        <f>IFERROR(__xludf.DUMMYFUNCTION("""COMPUTED_VALUE"""),"")</f>
        <v/>
      </c>
      <c r="G750" s="8" t="str">
        <f>IFERROR(__xludf.DUMMYFUNCTION("""COMPUTED_VALUE"""),"")</f>
        <v/>
      </c>
      <c r="L750" s="8" t="s">
        <v>299</v>
      </c>
    </row>
    <row r="751">
      <c r="A751" s="10"/>
      <c r="B751" s="8" t="str">
        <f>IFERROR(__xludf.DUMMYFUNCTION("""COMPUTED_VALUE"""),"")</f>
        <v/>
      </c>
      <c r="C751" s="8" t="str">
        <f>IFERROR(__xludf.DUMMYFUNCTION("""COMPUTED_VALUE"""),"")</f>
        <v/>
      </c>
      <c r="D751" s="8" t="str">
        <f>IFERROR(__xludf.DUMMYFUNCTION("""COMPUTED_VALUE"""),"")</f>
        <v/>
      </c>
      <c r="E751" s="8" t="str">
        <f>IFERROR(__xludf.DUMMYFUNCTION("""COMPUTED_VALUE"""),"")</f>
        <v/>
      </c>
      <c r="F751" s="8" t="str">
        <f>IFERROR(__xludf.DUMMYFUNCTION("""COMPUTED_VALUE"""),"")</f>
        <v/>
      </c>
      <c r="G751" s="8" t="str">
        <f>IFERROR(__xludf.DUMMYFUNCTION("""COMPUTED_VALUE"""),"")</f>
        <v/>
      </c>
      <c r="L751" s="8" t="s">
        <v>299</v>
      </c>
    </row>
    <row r="752">
      <c r="A752" s="10"/>
      <c r="B752" s="8" t="str">
        <f>IFERROR(__xludf.DUMMYFUNCTION("""COMPUTED_VALUE"""),"")</f>
        <v/>
      </c>
      <c r="C752" s="8" t="str">
        <f>IFERROR(__xludf.DUMMYFUNCTION("""COMPUTED_VALUE"""),"")</f>
        <v/>
      </c>
      <c r="D752" s="8" t="str">
        <f>IFERROR(__xludf.DUMMYFUNCTION("""COMPUTED_VALUE"""),"")</f>
        <v/>
      </c>
      <c r="E752" s="8" t="str">
        <f>IFERROR(__xludf.DUMMYFUNCTION("""COMPUTED_VALUE"""),"")</f>
        <v/>
      </c>
      <c r="F752" s="8" t="str">
        <f>IFERROR(__xludf.DUMMYFUNCTION("""COMPUTED_VALUE"""),"")</f>
        <v/>
      </c>
      <c r="G752" s="8" t="str">
        <f>IFERROR(__xludf.DUMMYFUNCTION("""COMPUTED_VALUE"""),"")</f>
        <v/>
      </c>
      <c r="L752" s="8" t="s">
        <v>299</v>
      </c>
    </row>
    <row r="753">
      <c r="A753" s="10"/>
      <c r="B753" s="8" t="str">
        <f>IFERROR(__xludf.DUMMYFUNCTION("""COMPUTED_VALUE"""),"")</f>
        <v/>
      </c>
      <c r="C753" s="8" t="str">
        <f>IFERROR(__xludf.DUMMYFUNCTION("""COMPUTED_VALUE"""),"")</f>
        <v/>
      </c>
      <c r="D753" s="8" t="str">
        <f>IFERROR(__xludf.DUMMYFUNCTION("""COMPUTED_VALUE"""),"")</f>
        <v/>
      </c>
      <c r="E753" s="8" t="str">
        <f>IFERROR(__xludf.DUMMYFUNCTION("""COMPUTED_VALUE"""),"")</f>
        <v/>
      </c>
      <c r="F753" s="8" t="str">
        <f>IFERROR(__xludf.DUMMYFUNCTION("""COMPUTED_VALUE"""),"")</f>
        <v/>
      </c>
      <c r="G753" s="8" t="str">
        <f>IFERROR(__xludf.DUMMYFUNCTION("""COMPUTED_VALUE"""),"")</f>
        <v/>
      </c>
      <c r="L753" s="8" t="s">
        <v>299</v>
      </c>
    </row>
    <row r="754">
      <c r="A754" s="10"/>
      <c r="B754" s="8" t="str">
        <f>IFERROR(__xludf.DUMMYFUNCTION("""COMPUTED_VALUE"""),"")</f>
        <v/>
      </c>
      <c r="C754" s="8" t="str">
        <f>IFERROR(__xludf.DUMMYFUNCTION("""COMPUTED_VALUE"""),"")</f>
        <v/>
      </c>
      <c r="D754" s="8" t="str">
        <f>IFERROR(__xludf.DUMMYFUNCTION("""COMPUTED_VALUE"""),"")</f>
        <v/>
      </c>
      <c r="E754" s="8" t="str">
        <f>IFERROR(__xludf.DUMMYFUNCTION("""COMPUTED_VALUE"""),"")</f>
        <v/>
      </c>
      <c r="F754" s="8" t="str">
        <f>IFERROR(__xludf.DUMMYFUNCTION("""COMPUTED_VALUE"""),"")</f>
        <v/>
      </c>
      <c r="G754" s="8" t="str">
        <f>IFERROR(__xludf.DUMMYFUNCTION("""COMPUTED_VALUE"""),"")</f>
        <v/>
      </c>
      <c r="L754" s="8" t="s">
        <v>299</v>
      </c>
    </row>
    <row r="755">
      <c r="A755" s="10"/>
      <c r="B755" s="8" t="str">
        <f>IFERROR(__xludf.DUMMYFUNCTION("""COMPUTED_VALUE"""),"")</f>
        <v/>
      </c>
      <c r="C755" s="8" t="str">
        <f>IFERROR(__xludf.DUMMYFUNCTION("""COMPUTED_VALUE"""),"")</f>
        <v/>
      </c>
      <c r="D755" s="8" t="str">
        <f>IFERROR(__xludf.DUMMYFUNCTION("""COMPUTED_VALUE"""),"")</f>
        <v/>
      </c>
      <c r="E755" s="8" t="str">
        <f>IFERROR(__xludf.DUMMYFUNCTION("""COMPUTED_VALUE"""),"")</f>
        <v/>
      </c>
      <c r="F755" s="8" t="str">
        <f>IFERROR(__xludf.DUMMYFUNCTION("""COMPUTED_VALUE"""),"")</f>
        <v/>
      </c>
      <c r="G755" s="8" t="str">
        <f>IFERROR(__xludf.DUMMYFUNCTION("""COMPUTED_VALUE"""),"")</f>
        <v/>
      </c>
      <c r="L755" s="8" t="s">
        <v>299</v>
      </c>
    </row>
    <row r="756">
      <c r="A756" s="10"/>
      <c r="B756" s="8" t="str">
        <f>IFERROR(__xludf.DUMMYFUNCTION("""COMPUTED_VALUE"""),"")</f>
        <v/>
      </c>
      <c r="C756" s="8" t="str">
        <f>IFERROR(__xludf.DUMMYFUNCTION("""COMPUTED_VALUE"""),"")</f>
        <v/>
      </c>
      <c r="D756" s="8" t="str">
        <f>IFERROR(__xludf.DUMMYFUNCTION("""COMPUTED_VALUE"""),"")</f>
        <v/>
      </c>
      <c r="E756" s="8" t="str">
        <f>IFERROR(__xludf.DUMMYFUNCTION("""COMPUTED_VALUE"""),"")</f>
        <v/>
      </c>
      <c r="F756" s="8" t="str">
        <f>IFERROR(__xludf.DUMMYFUNCTION("""COMPUTED_VALUE"""),"")</f>
        <v/>
      </c>
      <c r="G756" s="8" t="str">
        <f>IFERROR(__xludf.DUMMYFUNCTION("""COMPUTED_VALUE"""),"")</f>
        <v/>
      </c>
      <c r="L756" s="8" t="s">
        <v>299</v>
      </c>
    </row>
    <row r="757">
      <c r="A757" s="10"/>
      <c r="B757" s="8" t="str">
        <f>IFERROR(__xludf.DUMMYFUNCTION("""COMPUTED_VALUE"""),"")</f>
        <v/>
      </c>
      <c r="C757" s="8" t="str">
        <f>IFERROR(__xludf.DUMMYFUNCTION("""COMPUTED_VALUE"""),"")</f>
        <v/>
      </c>
      <c r="D757" s="8" t="str">
        <f>IFERROR(__xludf.DUMMYFUNCTION("""COMPUTED_VALUE"""),"")</f>
        <v/>
      </c>
      <c r="E757" s="8" t="str">
        <f>IFERROR(__xludf.DUMMYFUNCTION("""COMPUTED_VALUE"""),"")</f>
        <v/>
      </c>
      <c r="F757" s="8" t="str">
        <f>IFERROR(__xludf.DUMMYFUNCTION("""COMPUTED_VALUE"""),"")</f>
        <v/>
      </c>
      <c r="G757" s="8" t="str">
        <f>IFERROR(__xludf.DUMMYFUNCTION("""COMPUTED_VALUE"""),"")</f>
        <v/>
      </c>
      <c r="L757" s="8" t="s">
        <v>299</v>
      </c>
    </row>
    <row r="758">
      <c r="A758" s="10"/>
      <c r="B758" s="8" t="str">
        <f>IFERROR(__xludf.DUMMYFUNCTION("""COMPUTED_VALUE"""),"")</f>
        <v/>
      </c>
      <c r="C758" s="8" t="str">
        <f>IFERROR(__xludf.DUMMYFUNCTION("""COMPUTED_VALUE"""),"")</f>
        <v/>
      </c>
      <c r="D758" s="8" t="str">
        <f>IFERROR(__xludf.DUMMYFUNCTION("""COMPUTED_VALUE"""),"")</f>
        <v/>
      </c>
      <c r="E758" s="8" t="str">
        <f>IFERROR(__xludf.DUMMYFUNCTION("""COMPUTED_VALUE"""),"")</f>
        <v/>
      </c>
      <c r="F758" s="8" t="str">
        <f>IFERROR(__xludf.DUMMYFUNCTION("""COMPUTED_VALUE"""),"")</f>
        <v/>
      </c>
      <c r="G758" s="8" t="str">
        <f>IFERROR(__xludf.DUMMYFUNCTION("""COMPUTED_VALUE"""),"")</f>
        <v/>
      </c>
      <c r="L758" s="8" t="s">
        <v>299</v>
      </c>
    </row>
    <row r="759">
      <c r="A759" s="10"/>
      <c r="B759" s="8" t="str">
        <f>IFERROR(__xludf.DUMMYFUNCTION("""COMPUTED_VALUE"""),"")</f>
        <v/>
      </c>
      <c r="C759" s="8" t="str">
        <f>IFERROR(__xludf.DUMMYFUNCTION("""COMPUTED_VALUE"""),"")</f>
        <v/>
      </c>
      <c r="D759" s="8" t="str">
        <f>IFERROR(__xludf.DUMMYFUNCTION("""COMPUTED_VALUE"""),"")</f>
        <v/>
      </c>
      <c r="E759" s="8" t="str">
        <f>IFERROR(__xludf.DUMMYFUNCTION("""COMPUTED_VALUE"""),"")</f>
        <v/>
      </c>
      <c r="F759" s="8" t="str">
        <f>IFERROR(__xludf.DUMMYFUNCTION("""COMPUTED_VALUE"""),"")</f>
        <v/>
      </c>
      <c r="G759" s="8" t="str">
        <f>IFERROR(__xludf.DUMMYFUNCTION("""COMPUTED_VALUE"""),"")</f>
        <v/>
      </c>
      <c r="L759" s="8" t="s">
        <v>299</v>
      </c>
    </row>
    <row r="760">
      <c r="A760" s="10"/>
      <c r="B760" s="8" t="str">
        <f>IFERROR(__xludf.DUMMYFUNCTION("""COMPUTED_VALUE"""),"")</f>
        <v/>
      </c>
      <c r="C760" s="8" t="str">
        <f>IFERROR(__xludf.DUMMYFUNCTION("""COMPUTED_VALUE"""),"")</f>
        <v/>
      </c>
      <c r="D760" s="8" t="str">
        <f>IFERROR(__xludf.DUMMYFUNCTION("""COMPUTED_VALUE"""),"")</f>
        <v/>
      </c>
      <c r="E760" s="8" t="str">
        <f>IFERROR(__xludf.DUMMYFUNCTION("""COMPUTED_VALUE"""),"")</f>
        <v/>
      </c>
      <c r="F760" s="8" t="str">
        <f>IFERROR(__xludf.DUMMYFUNCTION("""COMPUTED_VALUE"""),"")</f>
        <v/>
      </c>
      <c r="G760" s="8" t="str">
        <f>IFERROR(__xludf.DUMMYFUNCTION("""COMPUTED_VALUE"""),"")</f>
        <v/>
      </c>
      <c r="L760" s="8" t="s">
        <v>299</v>
      </c>
    </row>
    <row r="761">
      <c r="A761" s="10"/>
      <c r="B761" s="8" t="str">
        <f>IFERROR(__xludf.DUMMYFUNCTION("""COMPUTED_VALUE"""),"")</f>
        <v/>
      </c>
      <c r="C761" s="8" t="str">
        <f>IFERROR(__xludf.DUMMYFUNCTION("""COMPUTED_VALUE"""),"")</f>
        <v/>
      </c>
      <c r="D761" s="8" t="str">
        <f>IFERROR(__xludf.DUMMYFUNCTION("""COMPUTED_VALUE"""),"")</f>
        <v/>
      </c>
      <c r="E761" s="8" t="str">
        <f>IFERROR(__xludf.DUMMYFUNCTION("""COMPUTED_VALUE"""),"")</f>
        <v/>
      </c>
      <c r="F761" s="8" t="str">
        <f>IFERROR(__xludf.DUMMYFUNCTION("""COMPUTED_VALUE"""),"")</f>
        <v/>
      </c>
      <c r="G761" s="8" t="str">
        <f>IFERROR(__xludf.DUMMYFUNCTION("""COMPUTED_VALUE"""),"")</f>
        <v/>
      </c>
      <c r="L761" s="8" t="s">
        <v>299</v>
      </c>
    </row>
    <row r="762">
      <c r="A762" s="10"/>
      <c r="B762" s="8" t="str">
        <f>IFERROR(__xludf.DUMMYFUNCTION("""COMPUTED_VALUE"""),"")</f>
        <v/>
      </c>
      <c r="C762" s="8" t="str">
        <f>IFERROR(__xludf.DUMMYFUNCTION("""COMPUTED_VALUE"""),"")</f>
        <v/>
      </c>
      <c r="D762" s="8" t="str">
        <f>IFERROR(__xludf.DUMMYFUNCTION("""COMPUTED_VALUE"""),"")</f>
        <v/>
      </c>
      <c r="E762" s="8" t="str">
        <f>IFERROR(__xludf.DUMMYFUNCTION("""COMPUTED_VALUE"""),"")</f>
        <v/>
      </c>
      <c r="F762" s="8" t="str">
        <f>IFERROR(__xludf.DUMMYFUNCTION("""COMPUTED_VALUE"""),"")</f>
        <v/>
      </c>
      <c r="G762" s="8" t="str">
        <f>IFERROR(__xludf.DUMMYFUNCTION("""COMPUTED_VALUE"""),"")</f>
        <v/>
      </c>
      <c r="L762" s="8" t="s">
        <v>299</v>
      </c>
    </row>
    <row r="763">
      <c r="A763" s="10"/>
      <c r="B763" s="8" t="str">
        <f>IFERROR(__xludf.DUMMYFUNCTION("""COMPUTED_VALUE"""),"")</f>
        <v/>
      </c>
      <c r="C763" s="8" t="str">
        <f>IFERROR(__xludf.DUMMYFUNCTION("""COMPUTED_VALUE"""),"")</f>
        <v/>
      </c>
      <c r="D763" s="8" t="str">
        <f>IFERROR(__xludf.DUMMYFUNCTION("""COMPUTED_VALUE"""),"")</f>
        <v/>
      </c>
      <c r="E763" s="8" t="str">
        <f>IFERROR(__xludf.DUMMYFUNCTION("""COMPUTED_VALUE"""),"")</f>
        <v/>
      </c>
      <c r="F763" s="8" t="str">
        <f>IFERROR(__xludf.DUMMYFUNCTION("""COMPUTED_VALUE"""),"")</f>
        <v/>
      </c>
      <c r="G763" s="8" t="str">
        <f>IFERROR(__xludf.DUMMYFUNCTION("""COMPUTED_VALUE"""),"")</f>
        <v/>
      </c>
      <c r="L763" s="8" t="s">
        <v>299</v>
      </c>
    </row>
    <row r="764">
      <c r="A764" s="10"/>
      <c r="B764" s="8" t="str">
        <f>IFERROR(__xludf.DUMMYFUNCTION("""COMPUTED_VALUE"""),"")</f>
        <v/>
      </c>
      <c r="C764" s="8" t="str">
        <f>IFERROR(__xludf.DUMMYFUNCTION("""COMPUTED_VALUE"""),"")</f>
        <v/>
      </c>
      <c r="D764" s="8" t="str">
        <f>IFERROR(__xludf.DUMMYFUNCTION("""COMPUTED_VALUE"""),"")</f>
        <v/>
      </c>
      <c r="E764" s="8" t="str">
        <f>IFERROR(__xludf.DUMMYFUNCTION("""COMPUTED_VALUE"""),"")</f>
        <v/>
      </c>
      <c r="F764" s="8" t="str">
        <f>IFERROR(__xludf.DUMMYFUNCTION("""COMPUTED_VALUE"""),"")</f>
        <v/>
      </c>
      <c r="G764" s="8" t="str">
        <f>IFERROR(__xludf.DUMMYFUNCTION("""COMPUTED_VALUE"""),"")</f>
        <v/>
      </c>
      <c r="L764" s="8" t="s">
        <v>299</v>
      </c>
    </row>
    <row r="765">
      <c r="A765" s="10"/>
      <c r="B765" s="8" t="str">
        <f>IFERROR(__xludf.DUMMYFUNCTION("""COMPUTED_VALUE"""),"")</f>
        <v/>
      </c>
      <c r="C765" s="8" t="str">
        <f>IFERROR(__xludf.DUMMYFUNCTION("""COMPUTED_VALUE"""),"")</f>
        <v/>
      </c>
      <c r="D765" s="8" t="str">
        <f>IFERROR(__xludf.DUMMYFUNCTION("""COMPUTED_VALUE"""),"")</f>
        <v/>
      </c>
      <c r="E765" s="8" t="str">
        <f>IFERROR(__xludf.DUMMYFUNCTION("""COMPUTED_VALUE"""),"")</f>
        <v/>
      </c>
      <c r="F765" s="8" t="str">
        <f>IFERROR(__xludf.DUMMYFUNCTION("""COMPUTED_VALUE"""),"")</f>
        <v/>
      </c>
      <c r="G765" s="8" t="str">
        <f>IFERROR(__xludf.DUMMYFUNCTION("""COMPUTED_VALUE"""),"")</f>
        <v/>
      </c>
      <c r="L765" s="8" t="s">
        <v>299</v>
      </c>
    </row>
    <row r="766">
      <c r="A766" s="10"/>
      <c r="B766" s="8" t="str">
        <f>IFERROR(__xludf.DUMMYFUNCTION("""COMPUTED_VALUE"""),"")</f>
        <v/>
      </c>
      <c r="C766" s="8" t="str">
        <f>IFERROR(__xludf.DUMMYFUNCTION("""COMPUTED_VALUE"""),"")</f>
        <v/>
      </c>
      <c r="D766" s="8" t="str">
        <f>IFERROR(__xludf.DUMMYFUNCTION("""COMPUTED_VALUE"""),"")</f>
        <v/>
      </c>
      <c r="E766" s="8" t="str">
        <f>IFERROR(__xludf.DUMMYFUNCTION("""COMPUTED_VALUE"""),"")</f>
        <v/>
      </c>
      <c r="F766" s="8" t="str">
        <f>IFERROR(__xludf.DUMMYFUNCTION("""COMPUTED_VALUE"""),"")</f>
        <v/>
      </c>
      <c r="G766" s="8" t="str">
        <f>IFERROR(__xludf.DUMMYFUNCTION("""COMPUTED_VALUE"""),"")</f>
        <v/>
      </c>
      <c r="L766" s="8" t="s">
        <v>299</v>
      </c>
    </row>
    <row r="767">
      <c r="A767" s="10"/>
      <c r="B767" s="8" t="str">
        <f>IFERROR(__xludf.DUMMYFUNCTION("""COMPUTED_VALUE"""),"")</f>
        <v/>
      </c>
      <c r="C767" s="8" t="str">
        <f>IFERROR(__xludf.DUMMYFUNCTION("""COMPUTED_VALUE"""),"")</f>
        <v/>
      </c>
      <c r="D767" s="8" t="str">
        <f>IFERROR(__xludf.DUMMYFUNCTION("""COMPUTED_VALUE"""),"")</f>
        <v/>
      </c>
      <c r="E767" s="8" t="str">
        <f>IFERROR(__xludf.DUMMYFUNCTION("""COMPUTED_VALUE"""),"")</f>
        <v/>
      </c>
      <c r="F767" s="8" t="str">
        <f>IFERROR(__xludf.DUMMYFUNCTION("""COMPUTED_VALUE"""),"")</f>
        <v/>
      </c>
      <c r="G767" s="8" t="str">
        <f>IFERROR(__xludf.DUMMYFUNCTION("""COMPUTED_VALUE"""),"")</f>
        <v/>
      </c>
      <c r="L767" s="8" t="s">
        <v>299</v>
      </c>
    </row>
    <row r="768">
      <c r="A768" s="10"/>
      <c r="B768" s="8" t="str">
        <f>IFERROR(__xludf.DUMMYFUNCTION("""COMPUTED_VALUE"""),"")</f>
        <v/>
      </c>
      <c r="C768" s="8" t="str">
        <f>IFERROR(__xludf.DUMMYFUNCTION("""COMPUTED_VALUE"""),"")</f>
        <v/>
      </c>
      <c r="D768" s="8" t="str">
        <f>IFERROR(__xludf.DUMMYFUNCTION("""COMPUTED_VALUE"""),"")</f>
        <v/>
      </c>
      <c r="E768" s="8" t="str">
        <f>IFERROR(__xludf.DUMMYFUNCTION("""COMPUTED_VALUE"""),"")</f>
        <v/>
      </c>
      <c r="F768" s="8" t="str">
        <f>IFERROR(__xludf.DUMMYFUNCTION("""COMPUTED_VALUE"""),"")</f>
        <v/>
      </c>
      <c r="G768" s="8" t="str">
        <f>IFERROR(__xludf.DUMMYFUNCTION("""COMPUTED_VALUE"""),"")</f>
        <v/>
      </c>
      <c r="L768" s="8" t="s">
        <v>299</v>
      </c>
    </row>
    <row r="769">
      <c r="A769" s="10"/>
      <c r="B769" s="8" t="str">
        <f>IFERROR(__xludf.DUMMYFUNCTION("""COMPUTED_VALUE"""),"")</f>
        <v/>
      </c>
      <c r="C769" s="8" t="str">
        <f>IFERROR(__xludf.DUMMYFUNCTION("""COMPUTED_VALUE"""),"")</f>
        <v/>
      </c>
      <c r="D769" s="8" t="str">
        <f>IFERROR(__xludf.DUMMYFUNCTION("""COMPUTED_VALUE"""),"")</f>
        <v/>
      </c>
      <c r="E769" s="8" t="str">
        <f>IFERROR(__xludf.DUMMYFUNCTION("""COMPUTED_VALUE"""),"")</f>
        <v/>
      </c>
      <c r="F769" s="8" t="str">
        <f>IFERROR(__xludf.DUMMYFUNCTION("""COMPUTED_VALUE"""),"")</f>
        <v/>
      </c>
      <c r="G769" s="8" t="str">
        <f>IFERROR(__xludf.DUMMYFUNCTION("""COMPUTED_VALUE"""),"")</f>
        <v/>
      </c>
      <c r="L769" s="8" t="s">
        <v>299</v>
      </c>
    </row>
    <row r="770">
      <c r="A770" s="10"/>
      <c r="B770" s="8" t="str">
        <f>IFERROR(__xludf.DUMMYFUNCTION("""COMPUTED_VALUE"""),"")</f>
        <v/>
      </c>
      <c r="C770" s="8" t="str">
        <f>IFERROR(__xludf.DUMMYFUNCTION("""COMPUTED_VALUE"""),"")</f>
        <v/>
      </c>
      <c r="D770" s="8" t="str">
        <f>IFERROR(__xludf.DUMMYFUNCTION("""COMPUTED_VALUE"""),"")</f>
        <v/>
      </c>
      <c r="E770" s="8" t="str">
        <f>IFERROR(__xludf.DUMMYFUNCTION("""COMPUTED_VALUE"""),"")</f>
        <v/>
      </c>
      <c r="F770" s="8" t="str">
        <f>IFERROR(__xludf.DUMMYFUNCTION("""COMPUTED_VALUE"""),"")</f>
        <v/>
      </c>
      <c r="G770" s="8" t="str">
        <f>IFERROR(__xludf.DUMMYFUNCTION("""COMPUTED_VALUE"""),"")</f>
        <v/>
      </c>
      <c r="L770" s="8" t="s">
        <v>299</v>
      </c>
    </row>
    <row r="771">
      <c r="A771" s="10"/>
      <c r="B771" s="8" t="str">
        <f>IFERROR(__xludf.DUMMYFUNCTION("""COMPUTED_VALUE"""),"")</f>
        <v/>
      </c>
      <c r="C771" s="8" t="str">
        <f>IFERROR(__xludf.DUMMYFUNCTION("""COMPUTED_VALUE"""),"")</f>
        <v/>
      </c>
      <c r="D771" s="8" t="str">
        <f>IFERROR(__xludf.DUMMYFUNCTION("""COMPUTED_VALUE"""),"")</f>
        <v/>
      </c>
      <c r="E771" s="8" t="str">
        <f>IFERROR(__xludf.DUMMYFUNCTION("""COMPUTED_VALUE"""),"")</f>
        <v/>
      </c>
      <c r="F771" s="8" t="str">
        <f>IFERROR(__xludf.DUMMYFUNCTION("""COMPUTED_VALUE"""),"")</f>
        <v/>
      </c>
      <c r="G771" s="8" t="str">
        <f>IFERROR(__xludf.DUMMYFUNCTION("""COMPUTED_VALUE"""),"")</f>
        <v/>
      </c>
      <c r="L771" s="8" t="s">
        <v>299</v>
      </c>
    </row>
    <row r="772">
      <c r="A772" s="10"/>
      <c r="B772" s="8" t="str">
        <f>IFERROR(__xludf.DUMMYFUNCTION("""COMPUTED_VALUE"""),"")</f>
        <v/>
      </c>
      <c r="C772" s="8" t="str">
        <f>IFERROR(__xludf.DUMMYFUNCTION("""COMPUTED_VALUE"""),"")</f>
        <v/>
      </c>
      <c r="D772" s="8" t="str">
        <f>IFERROR(__xludf.DUMMYFUNCTION("""COMPUTED_VALUE"""),"")</f>
        <v/>
      </c>
      <c r="E772" s="8" t="str">
        <f>IFERROR(__xludf.DUMMYFUNCTION("""COMPUTED_VALUE"""),"")</f>
        <v/>
      </c>
      <c r="F772" s="8" t="str">
        <f>IFERROR(__xludf.DUMMYFUNCTION("""COMPUTED_VALUE"""),"")</f>
        <v/>
      </c>
      <c r="G772" s="8" t="str">
        <f>IFERROR(__xludf.DUMMYFUNCTION("""COMPUTED_VALUE"""),"")</f>
        <v/>
      </c>
      <c r="L772" s="8" t="s">
        <v>299</v>
      </c>
    </row>
    <row r="773">
      <c r="A773" s="10"/>
      <c r="B773" s="8" t="str">
        <f>IFERROR(__xludf.DUMMYFUNCTION("""COMPUTED_VALUE"""),"")</f>
        <v/>
      </c>
      <c r="C773" s="8" t="str">
        <f>IFERROR(__xludf.DUMMYFUNCTION("""COMPUTED_VALUE"""),"")</f>
        <v/>
      </c>
      <c r="D773" s="8" t="str">
        <f>IFERROR(__xludf.DUMMYFUNCTION("""COMPUTED_VALUE"""),"")</f>
        <v/>
      </c>
      <c r="E773" s="8" t="str">
        <f>IFERROR(__xludf.DUMMYFUNCTION("""COMPUTED_VALUE"""),"")</f>
        <v/>
      </c>
      <c r="F773" s="8" t="str">
        <f>IFERROR(__xludf.DUMMYFUNCTION("""COMPUTED_VALUE"""),"")</f>
        <v/>
      </c>
      <c r="G773" s="8" t="str">
        <f>IFERROR(__xludf.DUMMYFUNCTION("""COMPUTED_VALUE"""),"")</f>
        <v/>
      </c>
      <c r="L773" s="8" t="s">
        <v>299</v>
      </c>
    </row>
    <row r="774">
      <c r="A774" s="10"/>
      <c r="B774" s="8" t="str">
        <f>IFERROR(__xludf.DUMMYFUNCTION("""COMPUTED_VALUE"""),"")</f>
        <v/>
      </c>
      <c r="C774" s="8" t="str">
        <f>IFERROR(__xludf.DUMMYFUNCTION("""COMPUTED_VALUE"""),"")</f>
        <v/>
      </c>
      <c r="D774" s="8" t="str">
        <f>IFERROR(__xludf.DUMMYFUNCTION("""COMPUTED_VALUE"""),"")</f>
        <v/>
      </c>
      <c r="E774" s="8" t="str">
        <f>IFERROR(__xludf.DUMMYFUNCTION("""COMPUTED_VALUE"""),"")</f>
        <v/>
      </c>
      <c r="F774" s="8" t="str">
        <f>IFERROR(__xludf.DUMMYFUNCTION("""COMPUTED_VALUE"""),"")</f>
        <v/>
      </c>
      <c r="G774" s="8" t="str">
        <f>IFERROR(__xludf.DUMMYFUNCTION("""COMPUTED_VALUE"""),"")</f>
        <v/>
      </c>
      <c r="L774" s="8" t="s">
        <v>299</v>
      </c>
    </row>
    <row r="775">
      <c r="A775" s="10"/>
      <c r="B775" s="8" t="str">
        <f>IFERROR(__xludf.DUMMYFUNCTION("""COMPUTED_VALUE"""),"")</f>
        <v/>
      </c>
      <c r="C775" s="8" t="str">
        <f>IFERROR(__xludf.DUMMYFUNCTION("""COMPUTED_VALUE"""),"")</f>
        <v/>
      </c>
      <c r="D775" s="8" t="str">
        <f>IFERROR(__xludf.DUMMYFUNCTION("""COMPUTED_VALUE"""),"")</f>
        <v/>
      </c>
      <c r="E775" s="8" t="str">
        <f>IFERROR(__xludf.DUMMYFUNCTION("""COMPUTED_VALUE"""),"")</f>
        <v/>
      </c>
      <c r="F775" s="8" t="str">
        <f>IFERROR(__xludf.DUMMYFUNCTION("""COMPUTED_VALUE"""),"")</f>
        <v/>
      </c>
      <c r="G775" s="8" t="str">
        <f>IFERROR(__xludf.DUMMYFUNCTION("""COMPUTED_VALUE"""),"")</f>
        <v/>
      </c>
      <c r="L775" s="8" t="s">
        <v>299</v>
      </c>
    </row>
    <row r="776">
      <c r="A776" s="10"/>
      <c r="B776" s="8" t="str">
        <f>IFERROR(__xludf.DUMMYFUNCTION("""COMPUTED_VALUE"""),"")</f>
        <v/>
      </c>
      <c r="C776" s="8" t="str">
        <f>IFERROR(__xludf.DUMMYFUNCTION("""COMPUTED_VALUE"""),"")</f>
        <v/>
      </c>
      <c r="D776" s="8" t="str">
        <f>IFERROR(__xludf.DUMMYFUNCTION("""COMPUTED_VALUE"""),"")</f>
        <v/>
      </c>
      <c r="E776" s="8" t="str">
        <f>IFERROR(__xludf.DUMMYFUNCTION("""COMPUTED_VALUE"""),"")</f>
        <v/>
      </c>
      <c r="F776" s="8" t="str">
        <f>IFERROR(__xludf.DUMMYFUNCTION("""COMPUTED_VALUE"""),"")</f>
        <v/>
      </c>
      <c r="G776" s="8" t="str">
        <f>IFERROR(__xludf.DUMMYFUNCTION("""COMPUTED_VALUE"""),"")</f>
        <v/>
      </c>
      <c r="L776" s="8" t="s">
        <v>299</v>
      </c>
    </row>
    <row r="777">
      <c r="A777" s="10"/>
      <c r="B777" s="8" t="str">
        <f>IFERROR(__xludf.DUMMYFUNCTION("""COMPUTED_VALUE"""),"")</f>
        <v/>
      </c>
      <c r="C777" s="8" t="str">
        <f>IFERROR(__xludf.DUMMYFUNCTION("""COMPUTED_VALUE"""),"")</f>
        <v/>
      </c>
      <c r="D777" s="8" t="str">
        <f>IFERROR(__xludf.DUMMYFUNCTION("""COMPUTED_VALUE"""),"")</f>
        <v/>
      </c>
      <c r="E777" s="8" t="str">
        <f>IFERROR(__xludf.DUMMYFUNCTION("""COMPUTED_VALUE"""),"")</f>
        <v/>
      </c>
      <c r="F777" s="8" t="str">
        <f>IFERROR(__xludf.DUMMYFUNCTION("""COMPUTED_VALUE"""),"")</f>
        <v/>
      </c>
      <c r="G777" s="8" t="str">
        <f>IFERROR(__xludf.DUMMYFUNCTION("""COMPUTED_VALUE"""),"")</f>
        <v/>
      </c>
      <c r="L777" s="8" t="s">
        <v>299</v>
      </c>
    </row>
    <row r="778">
      <c r="A778" s="10"/>
      <c r="B778" s="8" t="str">
        <f>IFERROR(__xludf.DUMMYFUNCTION("""COMPUTED_VALUE"""),"")</f>
        <v/>
      </c>
      <c r="C778" s="8" t="str">
        <f>IFERROR(__xludf.DUMMYFUNCTION("""COMPUTED_VALUE"""),"")</f>
        <v/>
      </c>
      <c r="D778" s="8" t="str">
        <f>IFERROR(__xludf.DUMMYFUNCTION("""COMPUTED_VALUE"""),"")</f>
        <v/>
      </c>
      <c r="E778" s="8" t="str">
        <f>IFERROR(__xludf.DUMMYFUNCTION("""COMPUTED_VALUE"""),"")</f>
        <v/>
      </c>
      <c r="F778" s="8" t="str">
        <f>IFERROR(__xludf.DUMMYFUNCTION("""COMPUTED_VALUE"""),"")</f>
        <v/>
      </c>
      <c r="G778" s="8" t="str">
        <f>IFERROR(__xludf.DUMMYFUNCTION("""COMPUTED_VALUE"""),"")</f>
        <v/>
      </c>
      <c r="L778" s="8" t="s">
        <v>299</v>
      </c>
    </row>
    <row r="779">
      <c r="A779" s="10"/>
      <c r="B779" s="8" t="str">
        <f>IFERROR(__xludf.DUMMYFUNCTION("""COMPUTED_VALUE"""),"")</f>
        <v/>
      </c>
      <c r="C779" s="8" t="str">
        <f>IFERROR(__xludf.DUMMYFUNCTION("""COMPUTED_VALUE"""),"")</f>
        <v/>
      </c>
      <c r="D779" s="8" t="str">
        <f>IFERROR(__xludf.DUMMYFUNCTION("""COMPUTED_VALUE"""),"")</f>
        <v/>
      </c>
      <c r="E779" s="8" t="str">
        <f>IFERROR(__xludf.DUMMYFUNCTION("""COMPUTED_VALUE"""),"")</f>
        <v/>
      </c>
      <c r="F779" s="8" t="str">
        <f>IFERROR(__xludf.DUMMYFUNCTION("""COMPUTED_VALUE"""),"")</f>
        <v/>
      </c>
      <c r="G779" s="8" t="str">
        <f>IFERROR(__xludf.DUMMYFUNCTION("""COMPUTED_VALUE"""),"")</f>
        <v/>
      </c>
      <c r="L779" s="8" t="s">
        <v>299</v>
      </c>
    </row>
    <row r="780">
      <c r="A780" s="10"/>
      <c r="B780" s="8" t="str">
        <f>IFERROR(__xludf.DUMMYFUNCTION("""COMPUTED_VALUE"""),"")</f>
        <v/>
      </c>
      <c r="C780" s="8" t="str">
        <f>IFERROR(__xludf.DUMMYFUNCTION("""COMPUTED_VALUE"""),"")</f>
        <v/>
      </c>
      <c r="D780" s="8" t="str">
        <f>IFERROR(__xludf.DUMMYFUNCTION("""COMPUTED_VALUE"""),"")</f>
        <v/>
      </c>
      <c r="E780" s="8" t="str">
        <f>IFERROR(__xludf.DUMMYFUNCTION("""COMPUTED_VALUE"""),"")</f>
        <v/>
      </c>
      <c r="F780" s="8" t="str">
        <f>IFERROR(__xludf.DUMMYFUNCTION("""COMPUTED_VALUE"""),"")</f>
        <v/>
      </c>
      <c r="G780" s="8" t="str">
        <f>IFERROR(__xludf.DUMMYFUNCTION("""COMPUTED_VALUE"""),"")</f>
        <v/>
      </c>
      <c r="L780" s="8" t="s">
        <v>299</v>
      </c>
    </row>
    <row r="781">
      <c r="A781" s="10"/>
      <c r="B781" s="8" t="str">
        <f>IFERROR(__xludf.DUMMYFUNCTION("""COMPUTED_VALUE"""),"")</f>
        <v/>
      </c>
      <c r="C781" s="8" t="str">
        <f>IFERROR(__xludf.DUMMYFUNCTION("""COMPUTED_VALUE"""),"")</f>
        <v/>
      </c>
      <c r="D781" s="8" t="str">
        <f>IFERROR(__xludf.DUMMYFUNCTION("""COMPUTED_VALUE"""),"")</f>
        <v/>
      </c>
      <c r="E781" s="8" t="str">
        <f>IFERROR(__xludf.DUMMYFUNCTION("""COMPUTED_VALUE"""),"")</f>
        <v/>
      </c>
      <c r="F781" s="8" t="str">
        <f>IFERROR(__xludf.DUMMYFUNCTION("""COMPUTED_VALUE"""),"")</f>
        <v/>
      </c>
      <c r="G781" s="8" t="str">
        <f>IFERROR(__xludf.DUMMYFUNCTION("""COMPUTED_VALUE"""),"")</f>
        <v/>
      </c>
      <c r="L781" s="8" t="s">
        <v>299</v>
      </c>
    </row>
    <row r="782">
      <c r="A782" s="10"/>
      <c r="B782" s="8" t="str">
        <f>IFERROR(__xludf.DUMMYFUNCTION("""COMPUTED_VALUE"""),"")</f>
        <v/>
      </c>
      <c r="C782" s="8" t="str">
        <f>IFERROR(__xludf.DUMMYFUNCTION("""COMPUTED_VALUE"""),"")</f>
        <v/>
      </c>
      <c r="D782" s="8" t="str">
        <f>IFERROR(__xludf.DUMMYFUNCTION("""COMPUTED_VALUE"""),"")</f>
        <v/>
      </c>
      <c r="E782" s="8" t="str">
        <f>IFERROR(__xludf.DUMMYFUNCTION("""COMPUTED_VALUE"""),"")</f>
        <v/>
      </c>
      <c r="F782" s="8" t="str">
        <f>IFERROR(__xludf.DUMMYFUNCTION("""COMPUTED_VALUE"""),"")</f>
        <v/>
      </c>
      <c r="G782" s="8" t="str">
        <f>IFERROR(__xludf.DUMMYFUNCTION("""COMPUTED_VALUE"""),"")</f>
        <v/>
      </c>
      <c r="L782" s="8" t="s">
        <v>299</v>
      </c>
    </row>
    <row r="783">
      <c r="A783" s="10"/>
      <c r="B783" s="8" t="str">
        <f>IFERROR(__xludf.DUMMYFUNCTION("""COMPUTED_VALUE"""),"")</f>
        <v/>
      </c>
      <c r="C783" s="8" t="str">
        <f>IFERROR(__xludf.DUMMYFUNCTION("""COMPUTED_VALUE"""),"")</f>
        <v/>
      </c>
      <c r="D783" s="8" t="str">
        <f>IFERROR(__xludf.DUMMYFUNCTION("""COMPUTED_VALUE"""),"")</f>
        <v/>
      </c>
      <c r="E783" s="8" t="str">
        <f>IFERROR(__xludf.DUMMYFUNCTION("""COMPUTED_VALUE"""),"")</f>
        <v/>
      </c>
      <c r="F783" s="8" t="str">
        <f>IFERROR(__xludf.DUMMYFUNCTION("""COMPUTED_VALUE"""),"")</f>
        <v/>
      </c>
      <c r="G783" s="8" t="str">
        <f>IFERROR(__xludf.DUMMYFUNCTION("""COMPUTED_VALUE"""),"")</f>
        <v/>
      </c>
      <c r="L783" s="8" t="s">
        <v>299</v>
      </c>
    </row>
    <row r="784">
      <c r="A784" s="10"/>
      <c r="B784" s="8" t="str">
        <f>IFERROR(__xludf.DUMMYFUNCTION("""COMPUTED_VALUE"""),"")</f>
        <v/>
      </c>
      <c r="C784" s="8" t="str">
        <f>IFERROR(__xludf.DUMMYFUNCTION("""COMPUTED_VALUE"""),"")</f>
        <v/>
      </c>
      <c r="D784" s="8" t="str">
        <f>IFERROR(__xludf.DUMMYFUNCTION("""COMPUTED_VALUE"""),"")</f>
        <v/>
      </c>
      <c r="E784" s="8" t="str">
        <f>IFERROR(__xludf.DUMMYFUNCTION("""COMPUTED_VALUE"""),"")</f>
        <v/>
      </c>
      <c r="F784" s="8" t="str">
        <f>IFERROR(__xludf.DUMMYFUNCTION("""COMPUTED_VALUE"""),"")</f>
        <v/>
      </c>
      <c r="G784" s="8" t="str">
        <f>IFERROR(__xludf.DUMMYFUNCTION("""COMPUTED_VALUE"""),"")</f>
        <v/>
      </c>
      <c r="L784" s="8" t="s">
        <v>299</v>
      </c>
    </row>
    <row r="785">
      <c r="A785" s="10"/>
      <c r="B785" s="8" t="str">
        <f>IFERROR(__xludf.DUMMYFUNCTION("""COMPUTED_VALUE"""),"")</f>
        <v/>
      </c>
      <c r="C785" s="8" t="str">
        <f>IFERROR(__xludf.DUMMYFUNCTION("""COMPUTED_VALUE"""),"")</f>
        <v/>
      </c>
      <c r="D785" s="8" t="str">
        <f>IFERROR(__xludf.DUMMYFUNCTION("""COMPUTED_VALUE"""),"")</f>
        <v/>
      </c>
      <c r="E785" s="8" t="str">
        <f>IFERROR(__xludf.DUMMYFUNCTION("""COMPUTED_VALUE"""),"")</f>
        <v/>
      </c>
      <c r="F785" s="8" t="str">
        <f>IFERROR(__xludf.DUMMYFUNCTION("""COMPUTED_VALUE"""),"")</f>
        <v/>
      </c>
      <c r="G785" s="8" t="str">
        <f>IFERROR(__xludf.DUMMYFUNCTION("""COMPUTED_VALUE"""),"")</f>
        <v/>
      </c>
      <c r="L785" s="8" t="s">
        <v>299</v>
      </c>
    </row>
    <row r="786">
      <c r="A786" s="10"/>
      <c r="B786" s="8" t="str">
        <f>IFERROR(__xludf.DUMMYFUNCTION("""COMPUTED_VALUE"""),"")</f>
        <v/>
      </c>
      <c r="C786" s="8" t="str">
        <f>IFERROR(__xludf.DUMMYFUNCTION("""COMPUTED_VALUE"""),"")</f>
        <v/>
      </c>
      <c r="D786" s="8" t="str">
        <f>IFERROR(__xludf.DUMMYFUNCTION("""COMPUTED_VALUE"""),"")</f>
        <v/>
      </c>
      <c r="E786" s="8" t="str">
        <f>IFERROR(__xludf.DUMMYFUNCTION("""COMPUTED_VALUE"""),"")</f>
        <v/>
      </c>
      <c r="F786" s="8" t="str">
        <f>IFERROR(__xludf.DUMMYFUNCTION("""COMPUTED_VALUE"""),"")</f>
        <v/>
      </c>
      <c r="G786" s="8" t="str">
        <f>IFERROR(__xludf.DUMMYFUNCTION("""COMPUTED_VALUE"""),"")</f>
        <v/>
      </c>
      <c r="L786" s="8" t="s">
        <v>299</v>
      </c>
    </row>
    <row r="787">
      <c r="A787" s="10"/>
      <c r="B787" s="8" t="str">
        <f>IFERROR(__xludf.DUMMYFUNCTION("""COMPUTED_VALUE"""),"")</f>
        <v/>
      </c>
      <c r="C787" s="8" t="str">
        <f>IFERROR(__xludf.DUMMYFUNCTION("""COMPUTED_VALUE"""),"")</f>
        <v/>
      </c>
      <c r="D787" s="8" t="str">
        <f>IFERROR(__xludf.DUMMYFUNCTION("""COMPUTED_VALUE"""),"")</f>
        <v/>
      </c>
      <c r="E787" s="8" t="str">
        <f>IFERROR(__xludf.DUMMYFUNCTION("""COMPUTED_VALUE"""),"")</f>
        <v/>
      </c>
      <c r="F787" s="8" t="str">
        <f>IFERROR(__xludf.DUMMYFUNCTION("""COMPUTED_VALUE"""),"")</f>
        <v/>
      </c>
      <c r="G787" s="8" t="str">
        <f>IFERROR(__xludf.DUMMYFUNCTION("""COMPUTED_VALUE"""),"")</f>
        <v/>
      </c>
      <c r="L787" s="8" t="s">
        <v>299</v>
      </c>
    </row>
    <row r="788">
      <c r="A788" s="10"/>
      <c r="B788" s="8" t="str">
        <f>IFERROR(__xludf.DUMMYFUNCTION("""COMPUTED_VALUE"""),"")</f>
        <v/>
      </c>
      <c r="C788" s="8" t="str">
        <f>IFERROR(__xludf.DUMMYFUNCTION("""COMPUTED_VALUE"""),"")</f>
        <v/>
      </c>
      <c r="D788" s="8" t="str">
        <f>IFERROR(__xludf.DUMMYFUNCTION("""COMPUTED_VALUE"""),"")</f>
        <v/>
      </c>
      <c r="E788" s="8" t="str">
        <f>IFERROR(__xludf.DUMMYFUNCTION("""COMPUTED_VALUE"""),"")</f>
        <v/>
      </c>
      <c r="F788" s="8" t="str">
        <f>IFERROR(__xludf.DUMMYFUNCTION("""COMPUTED_VALUE"""),"")</f>
        <v/>
      </c>
      <c r="G788" s="8" t="str">
        <f>IFERROR(__xludf.DUMMYFUNCTION("""COMPUTED_VALUE"""),"")</f>
        <v/>
      </c>
      <c r="L788" s="8" t="s">
        <v>299</v>
      </c>
    </row>
    <row r="789">
      <c r="A789" s="10"/>
      <c r="B789" s="8" t="str">
        <f>IFERROR(__xludf.DUMMYFUNCTION("""COMPUTED_VALUE"""),"")</f>
        <v/>
      </c>
      <c r="C789" s="8" t="str">
        <f>IFERROR(__xludf.DUMMYFUNCTION("""COMPUTED_VALUE"""),"")</f>
        <v/>
      </c>
      <c r="D789" s="8" t="str">
        <f>IFERROR(__xludf.DUMMYFUNCTION("""COMPUTED_VALUE"""),"")</f>
        <v/>
      </c>
      <c r="E789" s="8" t="str">
        <f>IFERROR(__xludf.DUMMYFUNCTION("""COMPUTED_VALUE"""),"")</f>
        <v/>
      </c>
      <c r="F789" s="8" t="str">
        <f>IFERROR(__xludf.DUMMYFUNCTION("""COMPUTED_VALUE"""),"")</f>
        <v/>
      </c>
      <c r="G789" s="8" t="str">
        <f>IFERROR(__xludf.DUMMYFUNCTION("""COMPUTED_VALUE"""),"")</f>
        <v/>
      </c>
      <c r="L789" s="8" t="s">
        <v>299</v>
      </c>
    </row>
    <row r="790">
      <c r="A790" s="10"/>
      <c r="B790" s="8" t="str">
        <f>IFERROR(__xludf.DUMMYFUNCTION("""COMPUTED_VALUE"""),"")</f>
        <v/>
      </c>
      <c r="C790" s="8" t="str">
        <f>IFERROR(__xludf.DUMMYFUNCTION("""COMPUTED_VALUE"""),"")</f>
        <v/>
      </c>
      <c r="D790" s="8" t="str">
        <f>IFERROR(__xludf.DUMMYFUNCTION("""COMPUTED_VALUE"""),"")</f>
        <v/>
      </c>
      <c r="E790" s="8" t="str">
        <f>IFERROR(__xludf.DUMMYFUNCTION("""COMPUTED_VALUE"""),"")</f>
        <v/>
      </c>
      <c r="F790" s="8" t="str">
        <f>IFERROR(__xludf.DUMMYFUNCTION("""COMPUTED_VALUE"""),"")</f>
        <v/>
      </c>
      <c r="G790" s="8" t="str">
        <f>IFERROR(__xludf.DUMMYFUNCTION("""COMPUTED_VALUE"""),"")</f>
        <v/>
      </c>
      <c r="L790" s="8" t="s">
        <v>299</v>
      </c>
    </row>
    <row r="791">
      <c r="A791" s="10"/>
      <c r="B791" s="8" t="str">
        <f>IFERROR(__xludf.DUMMYFUNCTION("""COMPUTED_VALUE"""),"")</f>
        <v/>
      </c>
      <c r="C791" s="8" t="str">
        <f>IFERROR(__xludf.DUMMYFUNCTION("""COMPUTED_VALUE"""),"")</f>
        <v/>
      </c>
      <c r="D791" s="8" t="str">
        <f>IFERROR(__xludf.DUMMYFUNCTION("""COMPUTED_VALUE"""),"")</f>
        <v/>
      </c>
      <c r="E791" s="8" t="str">
        <f>IFERROR(__xludf.DUMMYFUNCTION("""COMPUTED_VALUE"""),"")</f>
        <v/>
      </c>
      <c r="F791" s="8" t="str">
        <f>IFERROR(__xludf.DUMMYFUNCTION("""COMPUTED_VALUE"""),"")</f>
        <v/>
      </c>
      <c r="G791" s="8" t="str">
        <f>IFERROR(__xludf.DUMMYFUNCTION("""COMPUTED_VALUE"""),"")</f>
        <v/>
      </c>
      <c r="L791" s="8" t="s">
        <v>299</v>
      </c>
    </row>
    <row r="792">
      <c r="A792" s="10"/>
      <c r="B792" s="8" t="str">
        <f>IFERROR(__xludf.DUMMYFUNCTION("""COMPUTED_VALUE"""),"")</f>
        <v/>
      </c>
      <c r="C792" s="8" t="str">
        <f>IFERROR(__xludf.DUMMYFUNCTION("""COMPUTED_VALUE"""),"")</f>
        <v/>
      </c>
      <c r="D792" s="8" t="str">
        <f>IFERROR(__xludf.DUMMYFUNCTION("""COMPUTED_VALUE"""),"")</f>
        <v/>
      </c>
      <c r="E792" s="8" t="str">
        <f>IFERROR(__xludf.DUMMYFUNCTION("""COMPUTED_VALUE"""),"")</f>
        <v/>
      </c>
      <c r="F792" s="8" t="str">
        <f>IFERROR(__xludf.DUMMYFUNCTION("""COMPUTED_VALUE"""),"")</f>
        <v/>
      </c>
      <c r="G792" s="8" t="str">
        <f>IFERROR(__xludf.DUMMYFUNCTION("""COMPUTED_VALUE"""),"")</f>
        <v/>
      </c>
      <c r="L792" s="8" t="s">
        <v>299</v>
      </c>
    </row>
    <row r="793">
      <c r="A793" s="10"/>
      <c r="B793" s="8" t="str">
        <f>IFERROR(__xludf.DUMMYFUNCTION("""COMPUTED_VALUE"""),"")</f>
        <v/>
      </c>
      <c r="C793" s="8" t="str">
        <f>IFERROR(__xludf.DUMMYFUNCTION("""COMPUTED_VALUE"""),"")</f>
        <v/>
      </c>
      <c r="D793" s="8" t="str">
        <f>IFERROR(__xludf.DUMMYFUNCTION("""COMPUTED_VALUE"""),"")</f>
        <v/>
      </c>
      <c r="E793" s="8" t="str">
        <f>IFERROR(__xludf.DUMMYFUNCTION("""COMPUTED_VALUE"""),"")</f>
        <v/>
      </c>
      <c r="F793" s="8" t="str">
        <f>IFERROR(__xludf.DUMMYFUNCTION("""COMPUTED_VALUE"""),"")</f>
        <v/>
      </c>
      <c r="G793" s="8" t="str">
        <f>IFERROR(__xludf.DUMMYFUNCTION("""COMPUTED_VALUE"""),"")</f>
        <v/>
      </c>
      <c r="L793" s="8" t="s">
        <v>299</v>
      </c>
    </row>
    <row r="794">
      <c r="A794" s="10"/>
      <c r="B794" s="8" t="str">
        <f>IFERROR(__xludf.DUMMYFUNCTION("""COMPUTED_VALUE"""),"")</f>
        <v/>
      </c>
      <c r="C794" s="8" t="str">
        <f>IFERROR(__xludf.DUMMYFUNCTION("""COMPUTED_VALUE"""),"")</f>
        <v/>
      </c>
      <c r="D794" s="8" t="str">
        <f>IFERROR(__xludf.DUMMYFUNCTION("""COMPUTED_VALUE"""),"")</f>
        <v/>
      </c>
      <c r="E794" s="8" t="str">
        <f>IFERROR(__xludf.DUMMYFUNCTION("""COMPUTED_VALUE"""),"")</f>
        <v/>
      </c>
      <c r="F794" s="8" t="str">
        <f>IFERROR(__xludf.DUMMYFUNCTION("""COMPUTED_VALUE"""),"")</f>
        <v/>
      </c>
      <c r="G794" s="8" t="str">
        <f>IFERROR(__xludf.DUMMYFUNCTION("""COMPUTED_VALUE"""),"")</f>
        <v/>
      </c>
      <c r="L794" s="8" t="s">
        <v>299</v>
      </c>
    </row>
    <row r="795">
      <c r="A795" s="10"/>
      <c r="B795" s="8" t="str">
        <f>IFERROR(__xludf.DUMMYFUNCTION("""COMPUTED_VALUE"""),"")</f>
        <v/>
      </c>
      <c r="C795" s="8" t="str">
        <f>IFERROR(__xludf.DUMMYFUNCTION("""COMPUTED_VALUE"""),"")</f>
        <v/>
      </c>
      <c r="D795" s="8" t="str">
        <f>IFERROR(__xludf.DUMMYFUNCTION("""COMPUTED_VALUE"""),"")</f>
        <v/>
      </c>
      <c r="E795" s="8" t="str">
        <f>IFERROR(__xludf.DUMMYFUNCTION("""COMPUTED_VALUE"""),"")</f>
        <v/>
      </c>
      <c r="F795" s="8" t="str">
        <f>IFERROR(__xludf.DUMMYFUNCTION("""COMPUTED_VALUE"""),"")</f>
        <v/>
      </c>
      <c r="G795" s="8" t="str">
        <f>IFERROR(__xludf.DUMMYFUNCTION("""COMPUTED_VALUE"""),"")</f>
        <v/>
      </c>
      <c r="L795" s="8" t="s">
        <v>299</v>
      </c>
    </row>
    <row r="796">
      <c r="A796" s="10"/>
      <c r="B796" s="8" t="str">
        <f>IFERROR(__xludf.DUMMYFUNCTION("""COMPUTED_VALUE"""),"")</f>
        <v/>
      </c>
      <c r="C796" s="8" t="str">
        <f>IFERROR(__xludf.DUMMYFUNCTION("""COMPUTED_VALUE"""),"")</f>
        <v/>
      </c>
      <c r="D796" s="8" t="str">
        <f>IFERROR(__xludf.DUMMYFUNCTION("""COMPUTED_VALUE"""),"")</f>
        <v/>
      </c>
      <c r="E796" s="8" t="str">
        <f>IFERROR(__xludf.DUMMYFUNCTION("""COMPUTED_VALUE"""),"")</f>
        <v/>
      </c>
      <c r="F796" s="8" t="str">
        <f>IFERROR(__xludf.DUMMYFUNCTION("""COMPUTED_VALUE"""),"")</f>
        <v/>
      </c>
      <c r="G796" s="8" t="str">
        <f>IFERROR(__xludf.DUMMYFUNCTION("""COMPUTED_VALUE"""),"")</f>
        <v/>
      </c>
      <c r="L796" s="8" t="s">
        <v>299</v>
      </c>
    </row>
    <row r="797">
      <c r="A797" s="10"/>
      <c r="B797" s="8" t="str">
        <f>IFERROR(__xludf.DUMMYFUNCTION("""COMPUTED_VALUE"""),"")</f>
        <v/>
      </c>
      <c r="C797" s="8" t="str">
        <f>IFERROR(__xludf.DUMMYFUNCTION("""COMPUTED_VALUE"""),"")</f>
        <v/>
      </c>
      <c r="D797" s="8" t="str">
        <f>IFERROR(__xludf.DUMMYFUNCTION("""COMPUTED_VALUE"""),"")</f>
        <v/>
      </c>
      <c r="E797" s="8" t="str">
        <f>IFERROR(__xludf.DUMMYFUNCTION("""COMPUTED_VALUE"""),"")</f>
        <v/>
      </c>
      <c r="F797" s="8" t="str">
        <f>IFERROR(__xludf.DUMMYFUNCTION("""COMPUTED_VALUE"""),"")</f>
        <v/>
      </c>
      <c r="G797" s="8" t="str">
        <f>IFERROR(__xludf.DUMMYFUNCTION("""COMPUTED_VALUE"""),"")</f>
        <v/>
      </c>
      <c r="L797" s="8" t="s">
        <v>299</v>
      </c>
    </row>
    <row r="798">
      <c r="A798" s="10"/>
      <c r="B798" s="8" t="str">
        <f>IFERROR(__xludf.DUMMYFUNCTION("""COMPUTED_VALUE"""),"")</f>
        <v/>
      </c>
      <c r="C798" s="8" t="str">
        <f>IFERROR(__xludf.DUMMYFUNCTION("""COMPUTED_VALUE"""),"")</f>
        <v/>
      </c>
      <c r="D798" s="8" t="str">
        <f>IFERROR(__xludf.DUMMYFUNCTION("""COMPUTED_VALUE"""),"")</f>
        <v/>
      </c>
      <c r="E798" s="8" t="str">
        <f>IFERROR(__xludf.DUMMYFUNCTION("""COMPUTED_VALUE"""),"")</f>
        <v/>
      </c>
      <c r="F798" s="8" t="str">
        <f>IFERROR(__xludf.DUMMYFUNCTION("""COMPUTED_VALUE"""),"")</f>
        <v/>
      </c>
      <c r="G798" s="8" t="str">
        <f>IFERROR(__xludf.DUMMYFUNCTION("""COMPUTED_VALUE"""),"")</f>
        <v/>
      </c>
      <c r="L798" s="8" t="s">
        <v>299</v>
      </c>
    </row>
    <row r="799">
      <c r="A799" s="10"/>
      <c r="B799" s="8" t="str">
        <f>IFERROR(__xludf.DUMMYFUNCTION("""COMPUTED_VALUE"""),"")</f>
        <v/>
      </c>
      <c r="C799" s="8" t="str">
        <f>IFERROR(__xludf.DUMMYFUNCTION("""COMPUTED_VALUE"""),"")</f>
        <v/>
      </c>
      <c r="D799" s="8" t="str">
        <f>IFERROR(__xludf.DUMMYFUNCTION("""COMPUTED_VALUE"""),"")</f>
        <v/>
      </c>
      <c r="E799" s="8" t="str">
        <f>IFERROR(__xludf.DUMMYFUNCTION("""COMPUTED_VALUE"""),"")</f>
        <v/>
      </c>
      <c r="F799" s="8" t="str">
        <f>IFERROR(__xludf.DUMMYFUNCTION("""COMPUTED_VALUE"""),"")</f>
        <v/>
      </c>
      <c r="G799" s="8" t="str">
        <f>IFERROR(__xludf.DUMMYFUNCTION("""COMPUTED_VALUE"""),"")</f>
        <v/>
      </c>
      <c r="L799" s="8" t="s">
        <v>299</v>
      </c>
    </row>
    <row r="800">
      <c r="A800" s="10"/>
      <c r="B800" s="8" t="str">
        <f>IFERROR(__xludf.DUMMYFUNCTION("""COMPUTED_VALUE"""),"")</f>
        <v/>
      </c>
      <c r="C800" s="8" t="str">
        <f>IFERROR(__xludf.DUMMYFUNCTION("""COMPUTED_VALUE"""),"")</f>
        <v/>
      </c>
      <c r="D800" s="8" t="str">
        <f>IFERROR(__xludf.DUMMYFUNCTION("""COMPUTED_VALUE"""),"")</f>
        <v/>
      </c>
      <c r="E800" s="8" t="str">
        <f>IFERROR(__xludf.DUMMYFUNCTION("""COMPUTED_VALUE"""),"")</f>
        <v/>
      </c>
      <c r="F800" s="8" t="str">
        <f>IFERROR(__xludf.DUMMYFUNCTION("""COMPUTED_VALUE"""),"")</f>
        <v/>
      </c>
      <c r="G800" s="8" t="str">
        <f>IFERROR(__xludf.DUMMYFUNCTION("""COMPUTED_VALUE"""),"")</f>
        <v/>
      </c>
      <c r="L800" s="8" t="s">
        <v>299</v>
      </c>
    </row>
    <row r="801">
      <c r="A801" s="10"/>
      <c r="B801" s="8" t="str">
        <f>IFERROR(__xludf.DUMMYFUNCTION("""COMPUTED_VALUE"""),"")</f>
        <v/>
      </c>
      <c r="C801" s="8" t="str">
        <f>IFERROR(__xludf.DUMMYFUNCTION("""COMPUTED_VALUE"""),"")</f>
        <v/>
      </c>
      <c r="D801" s="8" t="str">
        <f>IFERROR(__xludf.DUMMYFUNCTION("""COMPUTED_VALUE"""),"")</f>
        <v/>
      </c>
      <c r="E801" s="8" t="str">
        <f>IFERROR(__xludf.DUMMYFUNCTION("""COMPUTED_VALUE"""),"")</f>
        <v/>
      </c>
      <c r="F801" s="8" t="str">
        <f>IFERROR(__xludf.DUMMYFUNCTION("""COMPUTED_VALUE"""),"")</f>
        <v/>
      </c>
      <c r="G801" s="8" t="str">
        <f>IFERROR(__xludf.DUMMYFUNCTION("""COMPUTED_VALUE"""),"")</f>
        <v/>
      </c>
      <c r="L801" s="8" t="s">
        <v>299</v>
      </c>
    </row>
    <row r="802">
      <c r="A802" s="10"/>
      <c r="B802" s="8" t="str">
        <f>IFERROR(__xludf.DUMMYFUNCTION("""COMPUTED_VALUE"""),"")</f>
        <v/>
      </c>
      <c r="C802" s="8" t="str">
        <f>IFERROR(__xludf.DUMMYFUNCTION("""COMPUTED_VALUE"""),"")</f>
        <v/>
      </c>
      <c r="D802" s="8" t="str">
        <f>IFERROR(__xludf.DUMMYFUNCTION("""COMPUTED_VALUE"""),"")</f>
        <v/>
      </c>
      <c r="E802" s="8" t="str">
        <f>IFERROR(__xludf.DUMMYFUNCTION("""COMPUTED_VALUE"""),"")</f>
        <v/>
      </c>
      <c r="F802" s="8" t="str">
        <f>IFERROR(__xludf.DUMMYFUNCTION("""COMPUTED_VALUE"""),"")</f>
        <v/>
      </c>
      <c r="G802" s="8" t="str">
        <f>IFERROR(__xludf.DUMMYFUNCTION("""COMPUTED_VALUE"""),"")</f>
        <v/>
      </c>
      <c r="L802" s="8" t="s">
        <v>299</v>
      </c>
    </row>
    <row r="803">
      <c r="A803" s="10"/>
      <c r="B803" s="8" t="str">
        <f>IFERROR(__xludf.DUMMYFUNCTION("""COMPUTED_VALUE"""),"")</f>
        <v/>
      </c>
      <c r="C803" s="8" t="str">
        <f>IFERROR(__xludf.DUMMYFUNCTION("""COMPUTED_VALUE"""),"")</f>
        <v/>
      </c>
      <c r="D803" s="8" t="str">
        <f>IFERROR(__xludf.DUMMYFUNCTION("""COMPUTED_VALUE"""),"")</f>
        <v/>
      </c>
      <c r="E803" s="8" t="str">
        <f>IFERROR(__xludf.DUMMYFUNCTION("""COMPUTED_VALUE"""),"")</f>
        <v/>
      </c>
      <c r="F803" s="8" t="str">
        <f>IFERROR(__xludf.DUMMYFUNCTION("""COMPUTED_VALUE"""),"")</f>
        <v/>
      </c>
      <c r="G803" s="8" t="str">
        <f>IFERROR(__xludf.DUMMYFUNCTION("""COMPUTED_VALUE"""),"")</f>
        <v/>
      </c>
      <c r="L803" s="8" t="s">
        <v>299</v>
      </c>
    </row>
    <row r="804">
      <c r="A804" s="10"/>
      <c r="B804" s="8" t="str">
        <f>IFERROR(__xludf.DUMMYFUNCTION("""COMPUTED_VALUE"""),"")</f>
        <v/>
      </c>
      <c r="C804" s="8" t="str">
        <f>IFERROR(__xludf.DUMMYFUNCTION("""COMPUTED_VALUE"""),"")</f>
        <v/>
      </c>
      <c r="D804" s="8" t="str">
        <f>IFERROR(__xludf.DUMMYFUNCTION("""COMPUTED_VALUE"""),"")</f>
        <v/>
      </c>
      <c r="E804" s="8" t="str">
        <f>IFERROR(__xludf.DUMMYFUNCTION("""COMPUTED_VALUE"""),"")</f>
        <v/>
      </c>
      <c r="F804" s="8" t="str">
        <f>IFERROR(__xludf.DUMMYFUNCTION("""COMPUTED_VALUE"""),"")</f>
        <v/>
      </c>
      <c r="G804" s="8" t="str">
        <f>IFERROR(__xludf.DUMMYFUNCTION("""COMPUTED_VALUE"""),"")</f>
        <v/>
      </c>
      <c r="L804" s="8" t="s">
        <v>299</v>
      </c>
    </row>
    <row r="805">
      <c r="A805" s="10"/>
      <c r="B805" s="8" t="str">
        <f>IFERROR(__xludf.DUMMYFUNCTION("""COMPUTED_VALUE"""),"")</f>
        <v/>
      </c>
      <c r="C805" s="8" t="str">
        <f>IFERROR(__xludf.DUMMYFUNCTION("""COMPUTED_VALUE"""),"")</f>
        <v/>
      </c>
      <c r="D805" s="8" t="str">
        <f>IFERROR(__xludf.DUMMYFUNCTION("""COMPUTED_VALUE"""),"")</f>
        <v/>
      </c>
      <c r="E805" s="8" t="str">
        <f>IFERROR(__xludf.DUMMYFUNCTION("""COMPUTED_VALUE"""),"")</f>
        <v/>
      </c>
      <c r="F805" s="8" t="str">
        <f>IFERROR(__xludf.DUMMYFUNCTION("""COMPUTED_VALUE"""),"")</f>
        <v/>
      </c>
      <c r="G805" s="8" t="str">
        <f>IFERROR(__xludf.DUMMYFUNCTION("""COMPUTED_VALUE"""),"")</f>
        <v/>
      </c>
      <c r="L805" s="8" t="s">
        <v>299</v>
      </c>
    </row>
    <row r="806">
      <c r="A806" s="10"/>
      <c r="B806" s="8" t="str">
        <f>IFERROR(__xludf.DUMMYFUNCTION("""COMPUTED_VALUE"""),"")</f>
        <v/>
      </c>
      <c r="C806" s="8" t="str">
        <f>IFERROR(__xludf.DUMMYFUNCTION("""COMPUTED_VALUE"""),"")</f>
        <v/>
      </c>
      <c r="D806" s="8" t="str">
        <f>IFERROR(__xludf.DUMMYFUNCTION("""COMPUTED_VALUE"""),"")</f>
        <v/>
      </c>
      <c r="E806" s="8" t="str">
        <f>IFERROR(__xludf.DUMMYFUNCTION("""COMPUTED_VALUE"""),"")</f>
        <v/>
      </c>
      <c r="F806" s="8" t="str">
        <f>IFERROR(__xludf.DUMMYFUNCTION("""COMPUTED_VALUE"""),"")</f>
        <v/>
      </c>
      <c r="G806" s="8" t="str">
        <f>IFERROR(__xludf.DUMMYFUNCTION("""COMPUTED_VALUE"""),"")</f>
        <v/>
      </c>
      <c r="L806" s="8" t="s">
        <v>299</v>
      </c>
    </row>
    <row r="807">
      <c r="A807" s="10"/>
      <c r="B807" s="8" t="str">
        <f>IFERROR(__xludf.DUMMYFUNCTION("""COMPUTED_VALUE"""),"")</f>
        <v/>
      </c>
      <c r="C807" s="8" t="str">
        <f>IFERROR(__xludf.DUMMYFUNCTION("""COMPUTED_VALUE"""),"")</f>
        <v/>
      </c>
      <c r="D807" s="8" t="str">
        <f>IFERROR(__xludf.DUMMYFUNCTION("""COMPUTED_VALUE"""),"")</f>
        <v/>
      </c>
      <c r="E807" s="8" t="str">
        <f>IFERROR(__xludf.DUMMYFUNCTION("""COMPUTED_VALUE"""),"")</f>
        <v/>
      </c>
      <c r="F807" s="8" t="str">
        <f>IFERROR(__xludf.DUMMYFUNCTION("""COMPUTED_VALUE"""),"")</f>
        <v/>
      </c>
      <c r="G807" s="8" t="str">
        <f>IFERROR(__xludf.DUMMYFUNCTION("""COMPUTED_VALUE"""),"")</f>
        <v/>
      </c>
      <c r="L807" s="8" t="s">
        <v>299</v>
      </c>
    </row>
    <row r="808">
      <c r="A808" s="10"/>
      <c r="B808" s="8" t="str">
        <f>IFERROR(__xludf.DUMMYFUNCTION("""COMPUTED_VALUE"""),"")</f>
        <v/>
      </c>
      <c r="C808" s="8" t="str">
        <f>IFERROR(__xludf.DUMMYFUNCTION("""COMPUTED_VALUE"""),"")</f>
        <v/>
      </c>
      <c r="D808" s="8" t="str">
        <f>IFERROR(__xludf.DUMMYFUNCTION("""COMPUTED_VALUE"""),"")</f>
        <v/>
      </c>
      <c r="E808" s="8" t="str">
        <f>IFERROR(__xludf.DUMMYFUNCTION("""COMPUTED_VALUE"""),"")</f>
        <v/>
      </c>
      <c r="F808" s="8" t="str">
        <f>IFERROR(__xludf.DUMMYFUNCTION("""COMPUTED_VALUE"""),"")</f>
        <v/>
      </c>
      <c r="G808" s="8" t="str">
        <f>IFERROR(__xludf.DUMMYFUNCTION("""COMPUTED_VALUE"""),"")</f>
        <v/>
      </c>
      <c r="L808" s="8" t="s">
        <v>299</v>
      </c>
    </row>
    <row r="809">
      <c r="A809" s="10"/>
      <c r="B809" s="8" t="str">
        <f>IFERROR(__xludf.DUMMYFUNCTION("""COMPUTED_VALUE"""),"")</f>
        <v/>
      </c>
      <c r="C809" s="8" t="str">
        <f>IFERROR(__xludf.DUMMYFUNCTION("""COMPUTED_VALUE"""),"")</f>
        <v/>
      </c>
      <c r="D809" s="8" t="str">
        <f>IFERROR(__xludf.DUMMYFUNCTION("""COMPUTED_VALUE"""),"")</f>
        <v/>
      </c>
      <c r="E809" s="8" t="str">
        <f>IFERROR(__xludf.DUMMYFUNCTION("""COMPUTED_VALUE"""),"")</f>
        <v/>
      </c>
      <c r="F809" s="8" t="str">
        <f>IFERROR(__xludf.DUMMYFUNCTION("""COMPUTED_VALUE"""),"")</f>
        <v/>
      </c>
      <c r="G809" s="8" t="str">
        <f>IFERROR(__xludf.DUMMYFUNCTION("""COMPUTED_VALUE"""),"")</f>
        <v/>
      </c>
      <c r="L809" s="8" t="s">
        <v>299</v>
      </c>
    </row>
    <row r="810">
      <c r="A810" s="10"/>
      <c r="B810" s="8" t="str">
        <f>IFERROR(__xludf.DUMMYFUNCTION("""COMPUTED_VALUE"""),"")</f>
        <v/>
      </c>
      <c r="C810" s="8" t="str">
        <f>IFERROR(__xludf.DUMMYFUNCTION("""COMPUTED_VALUE"""),"")</f>
        <v/>
      </c>
      <c r="D810" s="8" t="str">
        <f>IFERROR(__xludf.DUMMYFUNCTION("""COMPUTED_VALUE"""),"")</f>
        <v/>
      </c>
      <c r="E810" s="8" t="str">
        <f>IFERROR(__xludf.DUMMYFUNCTION("""COMPUTED_VALUE"""),"")</f>
        <v/>
      </c>
      <c r="F810" s="8" t="str">
        <f>IFERROR(__xludf.DUMMYFUNCTION("""COMPUTED_VALUE"""),"")</f>
        <v/>
      </c>
      <c r="G810" s="8" t="str">
        <f>IFERROR(__xludf.DUMMYFUNCTION("""COMPUTED_VALUE"""),"")</f>
        <v/>
      </c>
      <c r="L810" s="8" t="s">
        <v>299</v>
      </c>
    </row>
    <row r="811">
      <c r="A811" s="10"/>
      <c r="B811" s="8" t="str">
        <f>IFERROR(__xludf.DUMMYFUNCTION("""COMPUTED_VALUE"""),"")</f>
        <v/>
      </c>
      <c r="C811" s="8" t="str">
        <f>IFERROR(__xludf.DUMMYFUNCTION("""COMPUTED_VALUE"""),"")</f>
        <v/>
      </c>
      <c r="D811" s="8" t="str">
        <f>IFERROR(__xludf.DUMMYFUNCTION("""COMPUTED_VALUE"""),"")</f>
        <v/>
      </c>
      <c r="E811" s="8" t="str">
        <f>IFERROR(__xludf.DUMMYFUNCTION("""COMPUTED_VALUE"""),"")</f>
        <v/>
      </c>
      <c r="F811" s="8" t="str">
        <f>IFERROR(__xludf.DUMMYFUNCTION("""COMPUTED_VALUE"""),"")</f>
        <v/>
      </c>
      <c r="G811" s="8" t="str">
        <f>IFERROR(__xludf.DUMMYFUNCTION("""COMPUTED_VALUE"""),"")</f>
        <v/>
      </c>
      <c r="L811" s="8" t="s">
        <v>299</v>
      </c>
    </row>
    <row r="812">
      <c r="A812" s="10"/>
      <c r="B812" s="8" t="str">
        <f>IFERROR(__xludf.DUMMYFUNCTION("""COMPUTED_VALUE"""),"")</f>
        <v/>
      </c>
      <c r="C812" s="8" t="str">
        <f>IFERROR(__xludf.DUMMYFUNCTION("""COMPUTED_VALUE"""),"")</f>
        <v/>
      </c>
      <c r="D812" s="8" t="str">
        <f>IFERROR(__xludf.DUMMYFUNCTION("""COMPUTED_VALUE"""),"")</f>
        <v/>
      </c>
      <c r="E812" s="8" t="str">
        <f>IFERROR(__xludf.DUMMYFUNCTION("""COMPUTED_VALUE"""),"")</f>
        <v/>
      </c>
      <c r="F812" s="8" t="str">
        <f>IFERROR(__xludf.DUMMYFUNCTION("""COMPUTED_VALUE"""),"")</f>
        <v/>
      </c>
      <c r="G812" s="8" t="str">
        <f>IFERROR(__xludf.DUMMYFUNCTION("""COMPUTED_VALUE"""),"")</f>
        <v/>
      </c>
      <c r="L812" s="8" t="s">
        <v>299</v>
      </c>
    </row>
    <row r="813">
      <c r="A813" s="10"/>
      <c r="B813" s="8" t="str">
        <f>IFERROR(__xludf.DUMMYFUNCTION("""COMPUTED_VALUE"""),"")</f>
        <v/>
      </c>
      <c r="C813" s="8" t="str">
        <f>IFERROR(__xludf.DUMMYFUNCTION("""COMPUTED_VALUE"""),"")</f>
        <v/>
      </c>
      <c r="D813" s="8" t="str">
        <f>IFERROR(__xludf.DUMMYFUNCTION("""COMPUTED_VALUE"""),"")</f>
        <v/>
      </c>
      <c r="E813" s="8" t="str">
        <f>IFERROR(__xludf.DUMMYFUNCTION("""COMPUTED_VALUE"""),"")</f>
        <v/>
      </c>
      <c r="F813" s="8" t="str">
        <f>IFERROR(__xludf.DUMMYFUNCTION("""COMPUTED_VALUE"""),"")</f>
        <v/>
      </c>
      <c r="G813" s="8" t="str">
        <f>IFERROR(__xludf.DUMMYFUNCTION("""COMPUTED_VALUE"""),"")</f>
        <v/>
      </c>
      <c r="L813" s="8" t="s">
        <v>299</v>
      </c>
    </row>
    <row r="814">
      <c r="A814" s="10"/>
      <c r="B814" s="8" t="str">
        <f>IFERROR(__xludf.DUMMYFUNCTION("""COMPUTED_VALUE"""),"")</f>
        <v/>
      </c>
      <c r="C814" s="8" t="str">
        <f>IFERROR(__xludf.DUMMYFUNCTION("""COMPUTED_VALUE"""),"")</f>
        <v/>
      </c>
      <c r="D814" s="8" t="str">
        <f>IFERROR(__xludf.DUMMYFUNCTION("""COMPUTED_VALUE"""),"")</f>
        <v/>
      </c>
      <c r="E814" s="8" t="str">
        <f>IFERROR(__xludf.DUMMYFUNCTION("""COMPUTED_VALUE"""),"")</f>
        <v/>
      </c>
      <c r="F814" s="8" t="str">
        <f>IFERROR(__xludf.DUMMYFUNCTION("""COMPUTED_VALUE"""),"")</f>
        <v/>
      </c>
      <c r="G814" s="8" t="str">
        <f>IFERROR(__xludf.DUMMYFUNCTION("""COMPUTED_VALUE"""),"")</f>
        <v/>
      </c>
      <c r="L814" s="8" t="s">
        <v>299</v>
      </c>
    </row>
    <row r="815">
      <c r="A815" s="10"/>
      <c r="B815" s="8" t="str">
        <f>IFERROR(__xludf.DUMMYFUNCTION("""COMPUTED_VALUE"""),"")</f>
        <v/>
      </c>
      <c r="C815" s="8" t="str">
        <f>IFERROR(__xludf.DUMMYFUNCTION("""COMPUTED_VALUE"""),"")</f>
        <v/>
      </c>
      <c r="D815" s="8" t="str">
        <f>IFERROR(__xludf.DUMMYFUNCTION("""COMPUTED_VALUE"""),"")</f>
        <v/>
      </c>
      <c r="E815" s="8" t="str">
        <f>IFERROR(__xludf.DUMMYFUNCTION("""COMPUTED_VALUE"""),"")</f>
        <v/>
      </c>
      <c r="F815" s="8" t="str">
        <f>IFERROR(__xludf.DUMMYFUNCTION("""COMPUTED_VALUE"""),"")</f>
        <v/>
      </c>
      <c r="G815" s="8" t="str">
        <f>IFERROR(__xludf.DUMMYFUNCTION("""COMPUTED_VALUE"""),"")</f>
        <v/>
      </c>
      <c r="L815" s="8" t="s">
        <v>299</v>
      </c>
    </row>
    <row r="816">
      <c r="A816" s="10"/>
      <c r="B816" s="8" t="str">
        <f>IFERROR(__xludf.DUMMYFUNCTION("""COMPUTED_VALUE"""),"")</f>
        <v/>
      </c>
      <c r="C816" s="8" t="str">
        <f>IFERROR(__xludf.DUMMYFUNCTION("""COMPUTED_VALUE"""),"")</f>
        <v/>
      </c>
      <c r="D816" s="8" t="str">
        <f>IFERROR(__xludf.DUMMYFUNCTION("""COMPUTED_VALUE"""),"")</f>
        <v/>
      </c>
      <c r="E816" s="8" t="str">
        <f>IFERROR(__xludf.DUMMYFUNCTION("""COMPUTED_VALUE"""),"")</f>
        <v/>
      </c>
      <c r="F816" s="8" t="str">
        <f>IFERROR(__xludf.DUMMYFUNCTION("""COMPUTED_VALUE"""),"")</f>
        <v/>
      </c>
      <c r="G816" s="8" t="str">
        <f>IFERROR(__xludf.DUMMYFUNCTION("""COMPUTED_VALUE"""),"")</f>
        <v/>
      </c>
      <c r="L816" s="8" t="s">
        <v>299</v>
      </c>
    </row>
    <row r="817">
      <c r="A817" s="10"/>
      <c r="B817" s="8" t="str">
        <f>IFERROR(__xludf.DUMMYFUNCTION("""COMPUTED_VALUE"""),"")</f>
        <v/>
      </c>
      <c r="C817" s="8" t="str">
        <f>IFERROR(__xludf.DUMMYFUNCTION("""COMPUTED_VALUE"""),"")</f>
        <v/>
      </c>
      <c r="D817" s="8" t="str">
        <f>IFERROR(__xludf.DUMMYFUNCTION("""COMPUTED_VALUE"""),"")</f>
        <v/>
      </c>
      <c r="E817" s="8" t="str">
        <f>IFERROR(__xludf.DUMMYFUNCTION("""COMPUTED_VALUE"""),"")</f>
        <v/>
      </c>
      <c r="F817" s="8" t="str">
        <f>IFERROR(__xludf.DUMMYFUNCTION("""COMPUTED_VALUE"""),"")</f>
        <v/>
      </c>
      <c r="G817" s="8" t="str">
        <f>IFERROR(__xludf.DUMMYFUNCTION("""COMPUTED_VALUE"""),"")</f>
        <v/>
      </c>
      <c r="L817" s="8" t="s">
        <v>299</v>
      </c>
    </row>
    <row r="818">
      <c r="A818" s="10"/>
      <c r="B818" s="8" t="str">
        <f>IFERROR(__xludf.DUMMYFUNCTION("""COMPUTED_VALUE"""),"")</f>
        <v/>
      </c>
      <c r="C818" s="8" t="str">
        <f>IFERROR(__xludf.DUMMYFUNCTION("""COMPUTED_VALUE"""),"")</f>
        <v/>
      </c>
      <c r="D818" s="8" t="str">
        <f>IFERROR(__xludf.DUMMYFUNCTION("""COMPUTED_VALUE"""),"")</f>
        <v/>
      </c>
      <c r="E818" s="8" t="str">
        <f>IFERROR(__xludf.DUMMYFUNCTION("""COMPUTED_VALUE"""),"")</f>
        <v/>
      </c>
      <c r="F818" s="8" t="str">
        <f>IFERROR(__xludf.DUMMYFUNCTION("""COMPUTED_VALUE"""),"")</f>
        <v/>
      </c>
      <c r="G818" s="8" t="str">
        <f>IFERROR(__xludf.DUMMYFUNCTION("""COMPUTED_VALUE"""),"")</f>
        <v/>
      </c>
      <c r="L818" s="8" t="s">
        <v>299</v>
      </c>
    </row>
    <row r="819">
      <c r="A819" s="10"/>
      <c r="B819" s="8" t="str">
        <f>IFERROR(__xludf.DUMMYFUNCTION("""COMPUTED_VALUE"""),"")</f>
        <v/>
      </c>
      <c r="C819" s="8" t="str">
        <f>IFERROR(__xludf.DUMMYFUNCTION("""COMPUTED_VALUE"""),"")</f>
        <v/>
      </c>
      <c r="D819" s="8" t="str">
        <f>IFERROR(__xludf.DUMMYFUNCTION("""COMPUTED_VALUE"""),"")</f>
        <v/>
      </c>
      <c r="E819" s="8" t="str">
        <f>IFERROR(__xludf.DUMMYFUNCTION("""COMPUTED_VALUE"""),"")</f>
        <v/>
      </c>
      <c r="F819" s="8" t="str">
        <f>IFERROR(__xludf.DUMMYFUNCTION("""COMPUTED_VALUE"""),"")</f>
        <v/>
      </c>
      <c r="G819" s="8" t="str">
        <f>IFERROR(__xludf.DUMMYFUNCTION("""COMPUTED_VALUE"""),"")</f>
        <v/>
      </c>
      <c r="L819" s="8" t="s">
        <v>299</v>
      </c>
    </row>
    <row r="820">
      <c r="A820" s="10"/>
      <c r="B820" s="8" t="str">
        <f>IFERROR(__xludf.DUMMYFUNCTION("""COMPUTED_VALUE"""),"")</f>
        <v/>
      </c>
      <c r="C820" s="8" t="str">
        <f>IFERROR(__xludf.DUMMYFUNCTION("""COMPUTED_VALUE"""),"")</f>
        <v/>
      </c>
      <c r="D820" s="8" t="str">
        <f>IFERROR(__xludf.DUMMYFUNCTION("""COMPUTED_VALUE"""),"")</f>
        <v/>
      </c>
      <c r="E820" s="8" t="str">
        <f>IFERROR(__xludf.DUMMYFUNCTION("""COMPUTED_VALUE"""),"")</f>
        <v/>
      </c>
      <c r="F820" s="8" t="str">
        <f>IFERROR(__xludf.DUMMYFUNCTION("""COMPUTED_VALUE"""),"")</f>
        <v/>
      </c>
      <c r="G820" s="8" t="str">
        <f>IFERROR(__xludf.DUMMYFUNCTION("""COMPUTED_VALUE"""),"")</f>
        <v/>
      </c>
      <c r="L820" s="8" t="s">
        <v>299</v>
      </c>
    </row>
    <row r="821">
      <c r="A821" s="10"/>
      <c r="B821" s="8" t="str">
        <f>IFERROR(__xludf.DUMMYFUNCTION("""COMPUTED_VALUE"""),"")</f>
        <v/>
      </c>
      <c r="C821" s="8" t="str">
        <f>IFERROR(__xludf.DUMMYFUNCTION("""COMPUTED_VALUE"""),"")</f>
        <v/>
      </c>
      <c r="D821" s="8" t="str">
        <f>IFERROR(__xludf.DUMMYFUNCTION("""COMPUTED_VALUE"""),"")</f>
        <v/>
      </c>
      <c r="E821" s="8" t="str">
        <f>IFERROR(__xludf.DUMMYFUNCTION("""COMPUTED_VALUE"""),"")</f>
        <v/>
      </c>
      <c r="F821" s="8" t="str">
        <f>IFERROR(__xludf.DUMMYFUNCTION("""COMPUTED_VALUE"""),"")</f>
        <v/>
      </c>
      <c r="G821" s="8" t="str">
        <f>IFERROR(__xludf.DUMMYFUNCTION("""COMPUTED_VALUE"""),"")</f>
        <v/>
      </c>
      <c r="L821" s="8" t="s">
        <v>299</v>
      </c>
    </row>
    <row r="822">
      <c r="A822" s="10"/>
      <c r="B822" s="8" t="str">
        <f>IFERROR(__xludf.DUMMYFUNCTION("""COMPUTED_VALUE"""),"")</f>
        <v/>
      </c>
      <c r="C822" s="8" t="str">
        <f>IFERROR(__xludf.DUMMYFUNCTION("""COMPUTED_VALUE"""),"")</f>
        <v/>
      </c>
      <c r="D822" s="8" t="str">
        <f>IFERROR(__xludf.DUMMYFUNCTION("""COMPUTED_VALUE"""),"")</f>
        <v/>
      </c>
      <c r="E822" s="8" t="str">
        <f>IFERROR(__xludf.DUMMYFUNCTION("""COMPUTED_VALUE"""),"")</f>
        <v/>
      </c>
      <c r="F822" s="8" t="str">
        <f>IFERROR(__xludf.DUMMYFUNCTION("""COMPUTED_VALUE"""),"")</f>
        <v/>
      </c>
      <c r="G822" s="8" t="str">
        <f>IFERROR(__xludf.DUMMYFUNCTION("""COMPUTED_VALUE"""),"")</f>
        <v/>
      </c>
      <c r="L822" s="8" t="s">
        <v>299</v>
      </c>
    </row>
    <row r="823">
      <c r="A823" s="10"/>
      <c r="B823" s="8" t="str">
        <f>IFERROR(__xludf.DUMMYFUNCTION("""COMPUTED_VALUE"""),"")</f>
        <v/>
      </c>
      <c r="C823" s="8" t="str">
        <f>IFERROR(__xludf.DUMMYFUNCTION("""COMPUTED_VALUE"""),"")</f>
        <v/>
      </c>
      <c r="D823" s="8" t="str">
        <f>IFERROR(__xludf.DUMMYFUNCTION("""COMPUTED_VALUE"""),"")</f>
        <v/>
      </c>
      <c r="E823" s="8" t="str">
        <f>IFERROR(__xludf.DUMMYFUNCTION("""COMPUTED_VALUE"""),"")</f>
        <v/>
      </c>
      <c r="F823" s="8" t="str">
        <f>IFERROR(__xludf.DUMMYFUNCTION("""COMPUTED_VALUE"""),"")</f>
        <v/>
      </c>
      <c r="G823" s="8" t="str">
        <f>IFERROR(__xludf.DUMMYFUNCTION("""COMPUTED_VALUE"""),"")</f>
        <v/>
      </c>
      <c r="L823" s="8" t="s">
        <v>299</v>
      </c>
    </row>
    <row r="824">
      <c r="A824" s="10"/>
      <c r="B824" s="8" t="str">
        <f>IFERROR(__xludf.DUMMYFUNCTION("""COMPUTED_VALUE"""),"")</f>
        <v/>
      </c>
      <c r="C824" s="8" t="str">
        <f>IFERROR(__xludf.DUMMYFUNCTION("""COMPUTED_VALUE"""),"")</f>
        <v/>
      </c>
      <c r="D824" s="8" t="str">
        <f>IFERROR(__xludf.DUMMYFUNCTION("""COMPUTED_VALUE"""),"")</f>
        <v/>
      </c>
      <c r="E824" s="8" t="str">
        <f>IFERROR(__xludf.DUMMYFUNCTION("""COMPUTED_VALUE"""),"")</f>
        <v/>
      </c>
      <c r="F824" s="8" t="str">
        <f>IFERROR(__xludf.DUMMYFUNCTION("""COMPUTED_VALUE"""),"")</f>
        <v/>
      </c>
      <c r="G824" s="8" t="str">
        <f>IFERROR(__xludf.DUMMYFUNCTION("""COMPUTED_VALUE"""),"")</f>
        <v/>
      </c>
      <c r="L824" s="8" t="s">
        <v>299</v>
      </c>
    </row>
    <row r="825">
      <c r="A825" s="10"/>
      <c r="B825" s="8" t="str">
        <f>IFERROR(__xludf.DUMMYFUNCTION("""COMPUTED_VALUE"""),"")</f>
        <v/>
      </c>
      <c r="C825" s="8" t="str">
        <f>IFERROR(__xludf.DUMMYFUNCTION("""COMPUTED_VALUE"""),"")</f>
        <v/>
      </c>
      <c r="D825" s="8" t="str">
        <f>IFERROR(__xludf.DUMMYFUNCTION("""COMPUTED_VALUE"""),"")</f>
        <v/>
      </c>
      <c r="E825" s="8" t="str">
        <f>IFERROR(__xludf.DUMMYFUNCTION("""COMPUTED_VALUE"""),"")</f>
        <v/>
      </c>
      <c r="F825" s="8" t="str">
        <f>IFERROR(__xludf.DUMMYFUNCTION("""COMPUTED_VALUE"""),"")</f>
        <v/>
      </c>
      <c r="G825" s="8" t="str">
        <f>IFERROR(__xludf.DUMMYFUNCTION("""COMPUTED_VALUE"""),"")</f>
        <v/>
      </c>
      <c r="L825" s="8" t="s">
        <v>299</v>
      </c>
    </row>
    <row r="826">
      <c r="A826" s="10"/>
      <c r="B826" s="8" t="str">
        <f>IFERROR(__xludf.DUMMYFUNCTION("""COMPUTED_VALUE"""),"")</f>
        <v/>
      </c>
      <c r="C826" s="8" t="str">
        <f>IFERROR(__xludf.DUMMYFUNCTION("""COMPUTED_VALUE"""),"")</f>
        <v/>
      </c>
      <c r="D826" s="8" t="str">
        <f>IFERROR(__xludf.DUMMYFUNCTION("""COMPUTED_VALUE"""),"")</f>
        <v/>
      </c>
      <c r="E826" s="8" t="str">
        <f>IFERROR(__xludf.DUMMYFUNCTION("""COMPUTED_VALUE"""),"")</f>
        <v/>
      </c>
      <c r="F826" s="8" t="str">
        <f>IFERROR(__xludf.DUMMYFUNCTION("""COMPUTED_VALUE"""),"")</f>
        <v/>
      </c>
      <c r="G826" s="8" t="str">
        <f>IFERROR(__xludf.DUMMYFUNCTION("""COMPUTED_VALUE"""),"")</f>
        <v/>
      </c>
      <c r="L826" s="8" t="s">
        <v>299</v>
      </c>
    </row>
    <row r="827">
      <c r="A827" s="10"/>
      <c r="B827" s="8" t="str">
        <f>IFERROR(__xludf.DUMMYFUNCTION("""COMPUTED_VALUE"""),"")</f>
        <v/>
      </c>
      <c r="C827" s="8" t="str">
        <f>IFERROR(__xludf.DUMMYFUNCTION("""COMPUTED_VALUE"""),"")</f>
        <v/>
      </c>
      <c r="D827" s="8" t="str">
        <f>IFERROR(__xludf.DUMMYFUNCTION("""COMPUTED_VALUE"""),"")</f>
        <v/>
      </c>
      <c r="E827" s="8" t="str">
        <f>IFERROR(__xludf.DUMMYFUNCTION("""COMPUTED_VALUE"""),"")</f>
        <v/>
      </c>
      <c r="F827" s="8" t="str">
        <f>IFERROR(__xludf.DUMMYFUNCTION("""COMPUTED_VALUE"""),"")</f>
        <v/>
      </c>
      <c r="G827" s="8" t="str">
        <f>IFERROR(__xludf.DUMMYFUNCTION("""COMPUTED_VALUE"""),"")</f>
        <v/>
      </c>
      <c r="L827" s="8" t="s">
        <v>299</v>
      </c>
    </row>
    <row r="828">
      <c r="A828" s="10"/>
      <c r="B828" s="8" t="str">
        <f>IFERROR(__xludf.DUMMYFUNCTION("""COMPUTED_VALUE"""),"")</f>
        <v/>
      </c>
      <c r="C828" s="8" t="str">
        <f>IFERROR(__xludf.DUMMYFUNCTION("""COMPUTED_VALUE"""),"")</f>
        <v/>
      </c>
      <c r="D828" s="8" t="str">
        <f>IFERROR(__xludf.DUMMYFUNCTION("""COMPUTED_VALUE"""),"")</f>
        <v/>
      </c>
      <c r="E828" s="8" t="str">
        <f>IFERROR(__xludf.DUMMYFUNCTION("""COMPUTED_VALUE"""),"")</f>
        <v/>
      </c>
      <c r="F828" s="8" t="str">
        <f>IFERROR(__xludf.DUMMYFUNCTION("""COMPUTED_VALUE"""),"")</f>
        <v/>
      </c>
      <c r="G828" s="8" t="str">
        <f>IFERROR(__xludf.DUMMYFUNCTION("""COMPUTED_VALUE"""),"")</f>
        <v/>
      </c>
      <c r="L828" s="8" t="s">
        <v>299</v>
      </c>
    </row>
    <row r="829">
      <c r="A829" s="10"/>
      <c r="B829" s="8" t="str">
        <f>IFERROR(__xludf.DUMMYFUNCTION("""COMPUTED_VALUE"""),"")</f>
        <v/>
      </c>
      <c r="C829" s="8" t="str">
        <f>IFERROR(__xludf.DUMMYFUNCTION("""COMPUTED_VALUE"""),"")</f>
        <v/>
      </c>
      <c r="D829" s="8" t="str">
        <f>IFERROR(__xludf.DUMMYFUNCTION("""COMPUTED_VALUE"""),"")</f>
        <v/>
      </c>
      <c r="E829" s="8" t="str">
        <f>IFERROR(__xludf.DUMMYFUNCTION("""COMPUTED_VALUE"""),"")</f>
        <v/>
      </c>
      <c r="F829" s="8" t="str">
        <f>IFERROR(__xludf.DUMMYFUNCTION("""COMPUTED_VALUE"""),"")</f>
        <v/>
      </c>
      <c r="G829" s="8" t="str">
        <f>IFERROR(__xludf.DUMMYFUNCTION("""COMPUTED_VALUE"""),"")</f>
        <v/>
      </c>
      <c r="L829" s="8" t="s">
        <v>299</v>
      </c>
    </row>
    <row r="830">
      <c r="A830" s="10"/>
      <c r="B830" s="8" t="str">
        <f>IFERROR(__xludf.DUMMYFUNCTION("""COMPUTED_VALUE"""),"")</f>
        <v/>
      </c>
      <c r="C830" s="8" t="str">
        <f>IFERROR(__xludf.DUMMYFUNCTION("""COMPUTED_VALUE"""),"")</f>
        <v/>
      </c>
      <c r="D830" s="8" t="str">
        <f>IFERROR(__xludf.DUMMYFUNCTION("""COMPUTED_VALUE"""),"")</f>
        <v/>
      </c>
      <c r="E830" s="8" t="str">
        <f>IFERROR(__xludf.DUMMYFUNCTION("""COMPUTED_VALUE"""),"")</f>
        <v/>
      </c>
      <c r="F830" s="8" t="str">
        <f>IFERROR(__xludf.DUMMYFUNCTION("""COMPUTED_VALUE"""),"")</f>
        <v/>
      </c>
      <c r="G830" s="8" t="str">
        <f>IFERROR(__xludf.DUMMYFUNCTION("""COMPUTED_VALUE"""),"")</f>
        <v/>
      </c>
      <c r="L830" s="8" t="s">
        <v>299</v>
      </c>
    </row>
    <row r="831">
      <c r="A831" s="10"/>
      <c r="B831" s="8" t="str">
        <f>IFERROR(__xludf.DUMMYFUNCTION("""COMPUTED_VALUE"""),"")</f>
        <v/>
      </c>
      <c r="C831" s="8" t="str">
        <f>IFERROR(__xludf.DUMMYFUNCTION("""COMPUTED_VALUE"""),"")</f>
        <v/>
      </c>
      <c r="D831" s="8" t="str">
        <f>IFERROR(__xludf.DUMMYFUNCTION("""COMPUTED_VALUE"""),"")</f>
        <v/>
      </c>
      <c r="E831" s="8" t="str">
        <f>IFERROR(__xludf.DUMMYFUNCTION("""COMPUTED_VALUE"""),"")</f>
        <v/>
      </c>
      <c r="F831" s="8" t="str">
        <f>IFERROR(__xludf.DUMMYFUNCTION("""COMPUTED_VALUE"""),"")</f>
        <v/>
      </c>
      <c r="G831" s="8" t="str">
        <f>IFERROR(__xludf.DUMMYFUNCTION("""COMPUTED_VALUE"""),"")</f>
        <v/>
      </c>
      <c r="L831" s="8" t="s">
        <v>299</v>
      </c>
    </row>
    <row r="832">
      <c r="A832" s="10"/>
      <c r="B832" s="8" t="str">
        <f>IFERROR(__xludf.DUMMYFUNCTION("""COMPUTED_VALUE"""),"")</f>
        <v/>
      </c>
      <c r="C832" s="8" t="str">
        <f>IFERROR(__xludf.DUMMYFUNCTION("""COMPUTED_VALUE"""),"")</f>
        <v/>
      </c>
      <c r="D832" s="8" t="str">
        <f>IFERROR(__xludf.DUMMYFUNCTION("""COMPUTED_VALUE"""),"")</f>
        <v/>
      </c>
      <c r="E832" s="8" t="str">
        <f>IFERROR(__xludf.DUMMYFUNCTION("""COMPUTED_VALUE"""),"")</f>
        <v/>
      </c>
      <c r="F832" s="8" t="str">
        <f>IFERROR(__xludf.DUMMYFUNCTION("""COMPUTED_VALUE"""),"")</f>
        <v/>
      </c>
      <c r="G832" s="8" t="str">
        <f>IFERROR(__xludf.DUMMYFUNCTION("""COMPUTED_VALUE"""),"")</f>
        <v/>
      </c>
      <c r="L832" s="8" t="s">
        <v>299</v>
      </c>
    </row>
    <row r="833">
      <c r="A833" s="10"/>
      <c r="B833" s="8" t="str">
        <f>IFERROR(__xludf.DUMMYFUNCTION("""COMPUTED_VALUE"""),"")</f>
        <v/>
      </c>
      <c r="C833" s="8" t="str">
        <f>IFERROR(__xludf.DUMMYFUNCTION("""COMPUTED_VALUE"""),"")</f>
        <v/>
      </c>
      <c r="D833" s="8" t="str">
        <f>IFERROR(__xludf.DUMMYFUNCTION("""COMPUTED_VALUE"""),"")</f>
        <v/>
      </c>
      <c r="E833" s="8" t="str">
        <f>IFERROR(__xludf.DUMMYFUNCTION("""COMPUTED_VALUE"""),"")</f>
        <v/>
      </c>
      <c r="F833" s="8" t="str">
        <f>IFERROR(__xludf.DUMMYFUNCTION("""COMPUTED_VALUE"""),"")</f>
        <v/>
      </c>
      <c r="G833" s="8" t="str">
        <f>IFERROR(__xludf.DUMMYFUNCTION("""COMPUTED_VALUE"""),"")</f>
        <v/>
      </c>
      <c r="L833" s="8" t="s">
        <v>299</v>
      </c>
    </row>
    <row r="834">
      <c r="A834" s="10"/>
      <c r="B834" s="8" t="str">
        <f>IFERROR(__xludf.DUMMYFUNCTION("""COMPUTED_VALUE"""),"")</f>
        <v/>
      </c>
      <c r="C834" s="8" t="str">
        <f>IFERROR(__xludf.DUMMYFUNCTION("""COMPUTED_VALUE"""),"")</f>
        <v/>
      </c>
      <c r="D834" s="8" t="str">
        <f>IFERROR(__xludf.DUMMYFUNCTION("""COMPUTED_VALUE"""),"")</f>
        <v/>
      </c>
      <c r="E834" s="8" t="str">
        <f>IFERROR(__xludf.DUMMYFUNCTION("""COMPUTED_VALUE"""),"")</f>
        <v/>
      </c>
      <c r="F834" s="8" t="str">
        <f>IFERROR(__xludf.DUMMYFUNCTION("""COMPUTED_VALUE"""),"")</f>
        <v/>
      </c>
      <c r="G834" s="8" t="str">
        <f>IFERROR(__xludf.DUMMYFUNCTION("""COMPUTED_VALUE"""),"")</f>
        <v/>
      </c>
      <c r="L834" s="8" t="s">
        <v>299</v>
      </c>
    </row>
    <row r="835">
      <c r="A835" s="10"/>
      <c r="B835" s="8" t="str">
        <f>IFERROR(__xludf.DUMMYFUNCTION("""COMPUTED_VALUE"""),"")</f>
        <v/>
      </c>
      <c r="C835" s="8" t="str">
        <f>IFERROR(__xludf.DUMMYFUNCTION("""COMPUTED_VALUE"""),"")</f>
        <v/>
      </c>
      <c r="D835" s="8" t="str">
        <f>IFERROR(__xludf.DUMMYFUNCTION("""COMPUTED_VALUE"""),"")</f>
        <v/>
      </c>
      <c r="E835" s="8" t="str">
        <f>IFERROR(__xludf.DUMMYFUNCTION("""COMPUTED_VALUE"""),"")</f>
        <v/>
      </c>
      <c r="F835" s="8" t="str">
        <f>IFERROR(__xludf.DUMMYFUNCTION("""COMPUTED_VALUE"""),"")</f>
        <v/>
      </c>
      <c r="G835" s="8" t="str">
        <f>IFERROR(__xludf.DUMMYFUNCTION("""COMPUTED_VALUE"""),"")</f>
        <v/>
      </c>
      <c r="L835" s="8" t="s">
        <v>299</v>
      </c>
    </row>
    <row r="836">
      <c r="A836" s="10"/>
      <c r="B836" s="8" t="str">
        <f>IFERROR(__xludf.DUMMYFUNCTION("""COMPUTED_VALUE"""),"")</f>
        <v/>
      </c>
      <c r="C836" s="8" t="str">
        <f>IFERROR(__xludf.DUMMYFUNCTION("""COMPUTED_VALUE"""),"")</f>
        <v/>
      </c>
      <c r="D836" s="8" t="str">
        <f>IFERROR(__xludf.DUMMYFUNCTION("""COMPUTED_VALUE"""),"")</f>
        <v/>
      </c>
      <c r="E836" s="8" t="str">
        <f>IFERROR(__xludf.DUMMYFUNCTION("""COMPUTED_VALUE"""),"")</f>
        <v/>
      </c>
      <c r="F836" s="8" t="str">
        <f>IFERROR(__xludf.DUMMYFUNCTION("""COMPUTED_VALUE"""),"")</f>
        <v/>
      </c>
      <c r="G836" s="8" t="str">
        <f>IFERROR(__xludf.DUMMYFUNCTION("""COMPUTED_VALUE"""),"")</f>
        <v/>
      </c>
      <c r="L836" s="8" t="s">
        <v>299</v>
      </c>
    </row>
    <row r="837">
      <c r="A837" s="10"/>
      <c r="B837" s="8" t="str">
        <f>IFERROR(__xludf.DUMMYFUNCTION("""COMPUTED_VALUE"""),"")</f>
        <v/>
      </c>
      <c r="C837" s="8" t="str">
        <f>IFERROR(__xludf.DUMMYFUNCTION("""COMPUTED_VALUE"""),"")</f>
        <v/>
      </c>
      <c r="D837" s="8" t="str">
        <f>IFERROR(__xludf.DUMMYFUNCTION("""COMPUTED_VALUE"""),"")</f>
        <v/>
      </c>
      <c r="E837" s="8" t="str">
        <f>IFERROR(__xludf.DUMMYFUNCTION("""COMPUTED_VALUE"""),"")</f>
        <v/>
      </c>
      <c r="F837" s="8" t="str">
        <f>IFERROR(__xludf.DUMMYFUNCTION("""COMPUTED_VALUE"""),"")</f>
        <v/>
      </c>
      <c r="G837" s="8" t="str">
        <f>IFERROR(__xludf.DUMMYFUNCTION("""COMPUTED_VALUE"""),"")</f>
        <v/>
      </c>
      <c r="L837" s="8" t="s">
        <v>299</v>
      </c>
    </row>
    <row r="838">
      <c r="A838" s="10"/>
      <c r="B838" s="8" t="str">
        <f>IFERROR(__xludf.DUMMYFUNCTION("""COMPUTED_VALUE"""),"")</f>
        <v/>
      </c>
      <c r="C838" s="8" t="str">
        <f>IFERROR(__xludf.DUMMYFUNCTION("""COMPUTED_VALUE"""),"")</f>
        <v/>
      </c>
      <c r="D838" s="8" t="str">
        <f>IFERROR(__xludf.DUMMYFUNCTION("""COMPUTED_VALUE"""),"")</f>
        <v/>
      </c>
      <c r="E838" s="8" t="str">
        <f>IFERROR(__xludf.DUMMYFUNCTION("""COMPUTED_VALUE"""),"")</f>
        <v/>
      </c>
      <c r="F838" s="8" t="str">
        <f>IFERROR(__xludf.DUMMYFUNCTION("""COMPUTED_VALUE"""),"")</f>
        <v/>
      </c>
      <c r="G838" s="8" t="str">
        <f>IFERROR(__xludf.DUMMYFUNCTION("""COMPUTED_VALUE"""),"")</f>
        <v/>
      </c>
      <c r="L838" s="8" t="s">
        <v>299</v>
      </c>
    </row>
    <row r="839">
      <c r="A839" s="10"/>
      <c r="B839" s="8" t="str">
        <f>IFERROR(__xludf.DUMMYFUNCTION("""COMPUTED_VALUE"""),"")</f>
        <v/>
      </c>
      <c r="C839" s="8" t="str">
        <f>IFERROR(__xludf.DUMMYFUNCTION("""COMPUTED_VALUE"""),"")</f>
        <v/>
      </c>
      <c r="D839" s="8" t="str">
        <f>IFERROR(__xludf.DUMMYFUNCTION("""COMPUTED_VALUE"""),"")</f>
        <v/>
      </c>
      <c r="E839" s="8" t="str">
        <f>IFERROR(__xludf.DUMMYFUNCTION("""COMPUTED_VALUE"""),"")</f>
        <v/>
      </c>
      <c r="F839" s="8" t="str">
        <f>IFERROR(__xludf.DUMMYFUNCTION("""COMPUTED_VALUE"""),"")</f>
        <v/>
      </c>
      <c r="G839" s="8" t="str">
        <f>IFERROR(__xludf.DUMMYFUNCTION("""COMPUTED_VALUE"""),"")</f>
        <v/>
      </c>
      <c r="L839" s="8" t="s">
        <v>299</v>
      </c>
    </row>
    <row r="840">
      <c r="A840" s="10"/>
      <c r="B840" s="8" t="str">
        <f>IFERROR(__xludf.DUMMYFUNCTION("""COMPUTED_VALUE"""),"")</f>
        <v/>
      </c>
      <c r="C840" s="8" t="str">
        <f>IFERROR(__xludf.DUMMYFUNCTION("""COMPUTED_VALUE"""),"")</f>
        <v/>
      </c>
      <c r="D840" s="8" t="str">
        <f>IFERROR(__xludf.DUMMYFUNCTION("""COMPUTED_VALUE"""),"")</f>
        <v/>
      </c>
      <c r="E840" s="8" t="str">
        <f>IFERROR(__xludf.DUMMYFUNCTION("""COMPUTED_VALUE"""),"")</f>
        <v/>
      </c>
      <c r="F840" s="8" t="str">
        <f>IFERROR(__xludf.DUMMYFUNCTION("""COMPUTED_VALUE"""),"")</f>
        <v/>
      </c>
      <c r="G840" s="8" t="str">
        <f>IFERROR(__xludf.DUMMYFUNCTION("""COMPUTED_VALUE"""),"")</f>
        <v/>
      </c>
      <c r="L840" s="8" t="s">
        <v>299</v>
      </c>
    </row>
    <row r="841">
      <c r="A841" s="10"/>
      <c r="B841" s="8" t="str">
        <f>IFERROR(__xludf.DUMMYFUNCTION("""COMPUTED_VALUE"""),"")</f>
        <v/>
      </c>
      <c r="C841" s="8" t="str">
        <f>IFERROR(__xludf.DUMMYFUNCTION("""COMPUTED_VALUE"""),"")</f>
        <v/>
      </c>
      <c r="D841" s="8" t="str">
        <f>IFERROR(__xludf.DUMMYFUNCTION("""COMPUTED_VALUE"""),"")</f>
        <v/>
      </c>
      <c r="E841" s="8" t="str">
        <f>IFERROR(__xludf.DUMMYFUNCTION("""COMPUTED_VALUE"""),"")</f>
        <v/>
      </c>
      <c r="F841" s="8" t="str">
        <f>IFERROR(__xludf.DUMMYFUNCTION("""COMPUTED_VALUE"""),"")</f>
        <v/>
      </c>
      <c r="G841" s="8" t="str">
        <f>IFERROR(__xludf.DUMMYFUNCTION("""COMPUTED_VALUE"""),"")</f>
        <v/>
      </c>
      <c r="L841" s="8" t="s">
        <v>299</v>
      </c>
    </row>
    <row r="842">
      <c r="A842" s="10"/>
      <c r="B842" s="8" t="str">
        <f>IFERROR(__xludf.DUMMYFUNCTION("""COMPUTED_VALUE"""),"")</f>
        <v/>
      </c>
      <c r="C842" s="8" t="str">
        <f>IFERROR(__xludf.DUMMYFUNCTION("""COMPUTED_VALUE"""),"")</f>
        <v/>
      </c>
      <c r="D842" s="8" t="str">
        <f>IFERROR(__xludf.DUMMYFUNCTION("""COMPUTED_VALUE"""),"")</f>
        <v/>
      </c>
      <c r="E842" s="8" t="str">
        <f>IFERROR(__xludf.DUMMYFUNCTION("""COMPUTED_VALUE"""),"")</f>
        <v/>
      </c>
      <c r="F842" s="8" t="str">
        <f>IFERROR(__xludf.DUMMYFUNCTION("""COMPUTED_VALUE"""),"")</f>
        <v/>
      </c>
      <c r="G842" s="8" t="str">
        <f>IFERROR(__xludf.DUMMYFUNCTION("""COMPUTED_VALUE"""),"")</f>
        <v/>
      </c>
      <c r="L842" s="8" t="s">
        <v>299</v>
      </c>
    </row>
    <row r="843">
      <c r="A843" s="10"/>
      <c r="B843" s="8" t="str">
        <f>IFERROR(__xludf.DUMMYFUNCTION("""COMPUTED_VALUE"""),"")</f>
        <v/>
      </c>
      <c r="C843" s="8" t="str">
        <f>IFERROR(__xludf.DUMMYFUNCTION("""COMPUTED_VALUE"""),"")</f>
        <v/>
      </c>
      <c r="D843" s="8" t="str">
        <f>IFERROR(__xludf.DUMMYFUNCTION("""COMPUTED_VALUE"""),"")</f>
        <v/>
      </c>
      <c r="E843" s="8" t="str">
        <f>IFERROR(__xludf.DUMMYFUNCTION("""COMPUTED_VALUE"""),"")</f>
        <v/>
      </c>
      <c r="F843" s="8" t="str">
        <f>IFERROR(__xludf.DUMMYFUNCTION("""COMPUTED_VALUE"""),"")</f>
        <v/>
      </c>
      <c r="G843" s="8" t="str">
        <f>IFERROR(__xludf.DUMMYFUNCTION("""COMPUTED_VALUE"""),"")</f>
        <v/>
      </c>
      <c r="L843" s="8" t="s">
        <v>299</v>
      </c>
    </row>
    <row r="844">
      <c r="A844" s="10"/>
      <c r="B844" s="8" t="str">
        <f>IFERROR(__xludf.DUMMYFUNCTION("""COMPUTED_VALUE"""),"")</f>
        <v/>
      </c>
      <c r="C844" s="8" t="str">
        <f>IFERROR(__xludf.DUMMYFUNCTION("""COMPUTED_VALUE"""),"")</f>
        <v/>
      </c>
      <c r="D844" s="8" t="str">
        <f>IFERROR(__xludf.DUMMYFUNCTION("""COMPUTED_VALUE"""),"")</f>
        <v/>
      </c>
      <c r="E844" s="8" t="str">
        <f>IFERROR(__xludf.DUMMYFUNCTION("""COMPUTED_VALUE"""),"")</f>
        <v/>
      </c>
      <c r="F844" s="8" t="str">
        <f>IFERROR(__xludf.DUMMYFUNCTION("""COMPUTED_VALUE"""),"")</f>
        <v/>
      </c>
      <c r="G844" s="8" t="str">
        <f>IFERROR(__xludf.DUMMYFUNCTION("""COMPUTED_VALUE"""),"")</f>
        <v/>
      </c>
      <c r="L844" s="8" t="s">
        <v>299</v>
      </c>
    </row>
    <row r="845">
      <c r="A845" s="10"/>
      <c r="B845" s="8" t="str">
        <f>IFERROR(__xludf.DUMMYFUNCTION("""COMPUTED_VALUE"""),"")</f>
        <v/>
      </c>
      <c r="C845" s="8" t="str">
        <f>IFERROR(__xludf.DUMMYFUNCTION("""COMPUTED_VALUE"""),"")</f>
        <v/>
      </c>
      <c r="D845" s="8" t="str">
        <f>IFERROR(__xludf.DUMMYFUNCTION("""COMPUTED_VALUE"""),"")</f>
        <v/>
      </c>
      <c r="E845" s="8" t="str">
        <f>IFERROR(__xludf.DUMMYFUNCTION("""COMPUTED_VALUE"""),"")</f>
        <v/>
      </c>
      <c r="F845" s="8" t="str">
        <f>IFERROR(__xludf.DUMMYFUNCTION("""COMPUTED_VALUE"""),"")</f>
        <v/>
      </c>
      <c r="G845" s="8" t="str">
        <f>IFERROR(__xludf.DUMMYFUNCTION("""COMPUTED_VALUE"""),"")</f>
        <v/>
      </c>
      <c r="L845" s="8" t="s">
        <v>299</v>
      </c>
    </row>
    <row r="846">
      <c r="A846" s="10"/>
      <c r="B846" s="8" t="str">
        <f>IFERROR(__xludf.DUMMYFUNCTION("""COMPUTED_VALUE"""),"")</f>
        <v/>
      </c>
      <c r="C846" s="8" t="str">
        <f>IFERROR(__xludf.DUMMYFUNCTION("""COMPUTED_VALUE"""),"")</f>
        <v/>
      </c>
      <c r="D846" s="8" t="str">
        <f>IFERROR(__xludf.DUMMYFUNCTION("""COMPUTED_VALUE"""),"")</f>
        <v/>
      </c>
      <c r="E846" s="8" t="str">
        <f>IFERROR(__xludf.DUMMYFUNCTION("""COMPUTED_VALUE"""),"")</f>
        <v/>
      </c>
      <c r="F846" s="8" t="str">
        <f>IFERROR(__xludf.DUMMYFUNCTION("""COMPUTED_VALUE"""),"")</f>
        <v/>
      </c>
      <c r="G846" s="8" t="str">
        <f>IFERROR(__xludf.DUMMYFUNCTION("""COMPUTED_VALUE"""),"")</f>
        <v/>
      </c>
      <c r="L846" s="8" t="s">
        <v>299</v>
      </c>
    </row>
    <row r="847">
      <c r="A847" s="10"/>
      <c r="B847" s="8" t="str">
        <f>IFERROR(__xludf.DUMMYFUNCTION("""COMPUTED_VALUE"""),"")</f>
        <v/>
      </c>
      <c r="C847" s="8" t="str">
        <f>IFERROR(__xludf.DUMMYFUNCTION("""COMPUTED_VALUE"""),"")</f>
        <v/>
      </c>
      <c r="D847" s="8" t="str">
        <f>IFERROR(__xludf.DUMMYFUNCTION("""COMPUTED_VALUE"""),"")</f>
        <v/>
      </c>
      <c r="E847" s="8" t="str">
        <f>IFERROR(__xludf.DUMMYFUNCTION("""COMPUTED_VALUE"""),"")</f>
        <v/>
      </c>
      <c r="F847" s="8" t="str">
        <f>IFERROR(__xludf.DUMMYFUNCTION("""COMPUTED_VALUE"""),"")</f>
        <v/>
      </c>
      <c r="G847" s="8" t="str">
        <f>IFERROR(__xludf.DUMMYFUNCTION("""COMPUTED_VALUE"""),"")</f>
        <v/>
      </c>
      <c r="L847" s="8" t="s">
        <v>299</v>
      </c>
    </row>
    <row r="848">
      <c r="A848" s="10"/>
      <c r="B848" s="8" t="str">
        <f>IFERROR(__xludf.DUMMYFUNCTION("""COMPUTED_VALUE"""),"")</f>
        <v/>
      </c>
      <c r="C848" s="8" t="str">
        <f>IFERROR(__xludf.DUMMYFUNCTION("""COMPUTED_VALUE"""),"")</f>
        <v/>
      </c>
      <c r="D848" s="8" t="str">
        <f>IFERROR(__xludf.DUMMYFUNCTION("""COMPUTED_VALUE"""),"")</f>
        <v/>
      </c>
      <c r="E848" s="8" t="str">
        <f>IFERROR(__xludf.DUMMYFUNCTION("""COMPUTED_VALUE"""),"")</f>
        <v/>
      </c>
      <c r="F848" s="8" t="str">
        <f>IFERROR(__xludf.DUMMYFUNCTION("""COMPUTED_VALUE"""),"")</f>
        <v/>
      </c>
      <c r="G848" s="8" t="str">
        <f>IFERROR(__xludf.DUMMYFUNCTION("""COMPUTED_VALUE"""),"")</f>
        <v/>
      </c>
      <c r="L848" s="8" t="s">
        <v>299</v>
      </c>
    </row>
    <row r="849">
      <c r="A849" s="10"/>
      <c r="B849" s="8" t="str">
        <f>IFERROR(__xludf.DUMMYFUNCTION("""COMPUTED_VALUE"""),"")</f>
        <v/>
      </c>
      <c r="C849" s="8" t="str">
        <f>IFERROR(__xludf.DUMMYFUNCTION("""COMPUTED_VALUE"""),"")</f>
        <v/>
      </c>
      <c r="D849" s="8" t="str">
        <f>IFERROR(__xludf.DUMMYFUNCTION("""COMPUTED_VALUE"""),"")</f>
        <v/>
      </c>
      <c r="E849" s="8" t="str">
        <f>IFERROR(__xludf.DUMMYFUNCTION("""COMPUTED_VALUE"""),"")</f>
        <v/>
      </c>
      <c r="F849" s="8" t="str">
        <f>IFERROR(__xludf.DUMMYFUNCTION("""COMPUTED_VALUE"""),"")</f>
        <v/>
      </c>
      <c r="G849" s="8" t="str">
        <f>IFERROR(__xludf.DUMMYFUNCTION("""COMPUTED_VALUE"""),"")</f>
        <v/>
      </c>
      <c r="L849" s="8" t="s">
        <v>299</v>
      </c>
    </row>
    <row r="850">
      <c r="A850" s="10"/>
      <c r="B850" s="8" t="str">
        <f>IFERROR(__xludf.DUMMYFUNCTION("""COMPUTED_VALUE"""),"")</f>
        <v/>
      </c>
      <c r="C850" s="8" t="str">
        <f>IFERROR(__xludf.DUMMYFUNCTION("""COMPUTED_VALUE"""),"")</f>
        <v/>
      </c>
      <c r="D850" s="8" t="str">
        <f>IFERROR(__xludf.DUMMYFUNCTION("""COMPUTED_VALUE"""),"")</f>
        <v/>
      </c>
      <c r="E850" s="8" t="str">
        <f>IFERROR(__xludf.DUMMYFUNCTION("""COMPUTED_VALUE"""),"")</f>
        <v/>
      </c>
      <c r="F850" s="8" t="str">
        <f>IFERROR(__xludf.DUMMYFUNCTION("""COMPUTED_VALUE"""),"")</f>
        <v/>
      </c>
      <c r="G850" s="8" t="str">
        <f>IFERROR(__xludf.DUMMYFUNCTION("""COMPUTED_VALUE"""),"")</f>
        <v/>
      </c>
      <c r="L850" s="8" t="s">
        <v>299</v>
      </c>
    </row>
    <row r="851">
      <c r="A851" s="10"/>
      <c r="B851" s="8" t="str">
        <f>IFERROR(__xludf.DUMMYFUNCTION("""COMPUTED_VALUE"""),"")</f>
        <v/>
      </c>
      <c r="C851" s="8" t="str">
        <f>IFERROR(__xludf.DUMMYFUNCTION("""COMPUTED_VALUE"""),"")</f>
        <v/>
      </c>
      <c r="D851" s="8" t="str">
        <f>IFERROR(__xludf.DUMMYFUNCTION("""COMPUTED_VALUE"""),"")</f>
        <v/>
      </c>
      <c r="E851" s="8" t="str">
        <f>IFERROR(__xludf.DUMMYFUNCTION("""COMPUTED_VALUE"""),"")</f>
        <v/>
      </c>
      <c r="F851" s="8" t="str">
        <f>IFERROR(__xludf.DUMMYFUNCTION("""COMPUTED_VALUE"""),"")</f>
        <v/>
      </c>
      <c r="G851" s="8" t="str">
        <f>IFERROR(__xludf.DUMMYFUNCTION("""COMPUTED_VALUE"""),"")</f>
        <v/>
      </c>
      <c r="L851" s="8" t="s">
        <v>299</v>
      </c>
    </row>
    <row r="852">
      <c r="A852" s="10"/>
      <c r="B852" s="8" t="str">
        <f>IFERROR(__xludf.DUMMYFUNCTION("""COMPUTED_VALUE"""),"")</f>
        <v/>
      </c>
      <c r="C852" s="8" t="str">
        <f>IFERROR(__xludf.DUMMYFUNCTION("""COMPUTED_VALUE"""),"")</f>
        <v/>
      </c>
      <c r="D852" s="8" t="str">
        <f>IFERROR(__xludf.DUMMYFUNCTION("""COMPUTED_VALUE"""),"")</f>
        <v/>
      </c>
      <c r="E852" s="8" t="str">
        <f>IFERROR(__xludf.DUMMYFUNCTION("""COMPUTED_VALUE"""),"")</f>
        <v/>
      </c>
      <c r="F852" s="8" t="str">
        <f>IFERROR(__xludf.DUMMYFUNCTION("""COMPUTED_VALUE"""),"")</f>
        <v/>
      </c>
      <c r="G852" s="8" t="str">
        <f>IFERROR(__xludf.DUMMYFUNCTION("""COMPUTED_VALUE"""),"")</f>
        <v/>
      </c>
      <c r="L852" s="8" t="s">
        <v>299</v>
      </c>
    </row>
    <row r="853">
      <c r="A853" s="10"/>
      <c r="B853" s="8" t="str">
        <f>IFERROR(__xludf.DUMMYFUNCTION("""COMPUTED_VALUE"""),"")</f>
        <v/>
      </c>
      <c r="C853" s="8" t="str">
        <f>IFERROR(__xludf.DUMMYFUNCTION("""COMPUTED_VALUE"""),"")</f>
        <v/>
      </c>
      <c r="D853" s="8" t="str">
        <f>IFERROR(__xludf.DUMMYFUNCTION("""COMPUTED_VALUE"""),"")</f>
        <v/>
      </c>
      <c r="E853" s="8" t="str">
        <f>IFERROR(__xludf.DUMMYFUNCTION("""COMPUTED_VALUE"""),"")</f>
        <v/>
      </c>
      <c r="F853" s="8" t="str">
        <f>IFERROR(__xludf.DUMMYFUNCTION("""COMPUTED_VALUE"""),"")</f>
        <v/>
      </c>
      <c r="G853" s="8" t="str">
        <f>IFERROR(__xludf.DUMMYFUNCTION("""COMPUTED_VALUE"""),"")</f>
        <v/>
      </c>
      <c r="L853" s="8" t="s">
        <v>299</v>
      </c>
    </row>
    <row r="854">
      <c r="A854" s="10"/>
      <c r="B854" s="8" t="str">
        <f>IFERROR(__xludf.DUMMYFUNCTION("""COMPUTED_VALUE"""),"")</f>
        <v/>
      </c>
      <c r="C854" s="8" t="str">
        <f>IFERROR(__xludf.DUMMYFUNCTION("""COMPUTED_VALUE"""),"")</f>
        <v/>
      </c>
      <c r="D854" s="8" t="str">
        <f>IFERROR(__xludf.DUMMYFUNCTION("""COMPUTED_VALUE"""),"")</f>
        <v/>
      </c>
      <c r="E854" s="8" t="str">
        <f>IFERROR(__xludf.DUMMYFUNCTION("""COMPUTED_VALUE"""),"")</f>
        <v/>
      </c>
      <c r="F854" s="8" t="str">
        <f>IFERROR(__xludf.DUMMYFUNCTION("""COMPUTED_VALUE"""),"")</f>
        <v/>
      </c>
      <c r="G854" s="8" t="str">
        <f>IFERROR(__xludf.DUMMYFUNCTION("""COMPUTED_VALUE"""),"")</f>
        <v/>
      </c>
      <c r="L854" s="8" t="s">
        <v>299</v>
      </c>
    </row>
    <row r="855">
      <c r="A855" s="10"/>
      <c r="B855" s="8" t="str">
        <f>IFERROR(__xludf.DUMMYFUNCTION("""COMPUTED_VALUE"""),"")</f>
        <v/>
      </c>
      <c r="C855" s="8" t="str">
        <f>IFERROR(__xludf.DUMMYFUNCTION("""COMPUTED_VALUE"""),"")</f>
        <v/>
      </c>
      <c r="D855" s="8" t="str">
        <f>IFERROR(__xludf.DUMMYFUNCTION("""COMPUTED_VALUE"""),"")</f>
        <v/>
      </c>
      <c r="E855" s="8" t="str">
        <f>IFERROR(__xludf.DUMMYFUNCTION("""COMPUTED_VALUE"""),"")</f>
        <v/>
      </c>
      <c r="F855" s="8" t="str">
        <f>IFERROR(__xludf.DUMMYFUNCTION("""COMPUTED_VALUE"""),"")</f>
        <v/>
      </c>
      <c r="G855" s="8" t="str">
        <f>IFERROR(__xludf.DUMMYFUNCTION("""COMPUTED_VALUE"""),"")</f>
        <v/>
      </c>
      <c r="L855" s="8" t="s">
        <v>299</v>
      </c>
    </row>
    <row r="856">
      <c r="A856" s="10"/>
      <c r="B856" s="8" t="str">
        <f>IFERROR(__xludf.DUMMYFUNCTION("""COMPUTED_VALUE"""),"")</f>
        <v/>
      </c>
      <c r="C856" s="8" t="str">
        <f>IFERROR(__xludf.DUMMYFUNCTION("""COMPUTED_VALUE"""),"")</f>
        <v/>
      </c>
      <c r="D856" s="8" t="str">
        <f>IFERROR(__xludf.DUMMYFUNCTION("""COMPUTED_VALUE"""),"")</f>
        <v/>
      </c>
      <c r="E856" s="8" t="str">
        <f>IFERROR(__xludf.DUMMYFUNCTION("""COMPUTED_VALUE"""),"")</f>
        <v/>
      </c>
      <c r="F856" s="8" t="str">
        <f>IFERROR(__xludf.DUMMYFUNCTION("""COMPUTED_VALUE"""),"")</f>
        <v/>
      </c>
      <c r="G856" s="8" t="str">
        <f>IFERROR(__xludf.DUMMYFUNCTION("""COMPUTED_VALUE"""),"")</f>
        <v/>
      </c>
      <c r="L856" s="8" t="s">
        <v>299</v>
      </c>
    </row>
    <row r="857">
      <c r="A857" s="10"/>
      <c r="B857" s="8" t="str">
        <f>IFERROR(__xludf.DUMMYFUNCTION("""COMPUTED_VALUE"""),"")</f>
        <v/>
      </c>
      <c r="C857" s="8" t="str">
        <f>IFERROR(__xludf.DUMMYFUNCTION("""COMPUTED_VALUE"""),"")</f>
        <v/>
      </c>
      <c r="D857" s="8" t="str">
        <f>IFERROR(__xludf.DUMMYFUNCTION("""COMPUTED_VALUE"""),"")</f>
        <v/>
      </c>
      <c r="E857" s="8" t="str">
        <f>IFERROR(__xludf.DUMMYFUNCTION("""COMPUTED_VALUE"""),"")</f>
        <v/>
      </c>
      <c r="F857" s="8" t="str">
        <f>IFERROR(__xludf.DUMMYFUNCTION("""COMPUTED_VALUE"""),"")</f>
        <v/>
      </c>
      <c r="G857" s="8" t="str">
        <f>IFERROR(__xludf.DUMMYFUNCTION("""COMPUTED_VALUE"""),"")</f>
        <v/>
      </c>
      <c r="L857" s="8" t="s">
        <v>299</v>
      </c>
    </row>
    <row r="858">
      <c r="A858" s="10"/>
      <c r="B858" s="8" t="str">
        <f>IFERROR(__xludf.DUMMYFUNCTION("""COMPUTED_VALUE"""),"")</f>
        <v/>
      </c>
      <c r="C858" s="8" t="str">
        <f>IFERROR(__xludf.DUMMYFUNCTION("""COMPUTED_VALUE"""),"")</f>
        <v/>
      </c>
      <c r="D858" s="8" t="str">
        <f>IFERROR(__xludf.DUMMYFUNCTION("""COMPUTED_VALUE"""),"")</f>
        <v/>
      </c>
      <c r="E858" s="8" t="str">
        <f>IFERROR(__xludf.DUMMYFUNCTION("""COMPUTED_VALUE"""),"")</f>
        <v/>
      </c>
      <c r="F858" s="8" t="str">
        <f>IFERROR(__xludf.DUMMYFUNCTION("""COMPUTED_VALUE"""),"")</f>
        <v/>
      </c>
      <c r="G858" s="8" t="str">
        <f>IFERROR(__xludf.DUMMYFUNCTION("""COMPUTED_VALUE"""),"")</f>
        <v/>
      </c>
      <c r="L858" s="8" t="s">
        <v>299</v>
      </c>
    </row>
    <row r="859">
      <c r="A859" s="10"/>
      <c r="B859" s="8" t="str">
        <f>IFERROR(__xludf.DUMMYFUNCTION("""COMPUTED_VALUE"""),"")</f>
        <v/>
      </c>
      <c r="C859" s="8" t="str">
        <f>IFERROR(__xludf.DUMMYFUNCTION("""COMPUTED_VALUE"""),"")</f>
        <v/>
      </c>
      <c r="D859" s="8" t="str">
        <f>IFERROR(__xludf.DUMMYFUNCTION("""COMPUTED_VALUE"""),"")</f>
        <v/>
      </c>
      <c r="E859" s="8" t="str">
        <f>IFERROR(__xludf.DUMMYFUNCTION("""COMPUTED_VALUE"""),"")</f>
        <v/>
      </c>
      <c r="F859" s="8" t="str">
        <f>IFERROR(__xludf.DUMMYFUNCTION("""COMPUTED_VALUE"""),"")</f>
        <v/>
      </c>
      <c r="G859" s="8" t="str">
        <f>IFERROR(__xludf.DUMMYFUNCTION("""COMPUTED_VALUE"""),"")</f>
        <v/>
      </c>
      <c r="L859" s="8" t="s">
        <v>299</v>
      </c>
    </row>
    <row r="860">
      <c r="A860" s="10"/>
      <c r="B860" s="8" t="str">
        <f>IFERROR(__xludf.DUMMYFUNCTION("""COMPUTED_VALUE"""),"")</f>
        <v/>
      </c>
      <c r="C860" s="8" t="str">
        <f>IFERROR(__xludf.DUMMYFUNCTION("""COMPUTED_VALUE"""),"")</f>
        <v/>
      </c>
      <c r="D860" s="8" t="str">
        <f>IFERROR(__xludf.DUMMYFUNCTION("""COMPUTED_VALUE"""),"")</f>
        <v/>
      </c>
      <c r="E860" s="8" t="str">
        <f>IFERROR(__xludf.DUMMYFUNCTION("""COMPUTED_VALUE"""),"")</f>
        <v/>
      </c>
      <c r="F860" s="8" t="str">
        <f>IFERROR(__xludf.DUMMYFUNCTION("""COMPUTED_VALUE"""),"")</f>
        <v/>
      </c>
      <c r="G860" s="8" t="str">
        <f>IFERROR(__xludf.DUMMYFUNCTION("""COMPUTED_VALUE"""),"")</f>
        <v/>
      </c>
      <c r="L860" s="8" t="s">
        <v>299</v>
      </c>
    </row>
    <row r="861">
      <c r="A861" s="10"/>
      <c r="B861" s="8" t="str">
        <f>IFERROR(__xludf.DUMMYFUNCTION("""COMPUTED_VALUE"""),"")</f>
        <v/>
      </c>
      <c r="C861" s="8" t="str">
        <f>IFERROR(__xludf.DUMMYFUNCTION("""COMPUTED_VALUE"""),"")</f>
        <v/>
      </c>
      <c r="D861" s="8" t="str">
        <f>IFERROR(__xludf.DUMMYFUNCTION("""COMPUTED_VALUE"""),"")</f>
        <v/>
      </c>
      <c r="E861" s="8" t="str">
        <f>IFERROR(__xludf.DUMMYFUNCTION("""COMPUTED_VALUE"""),"")</f>
        <v/>
      </c>
      <c r="F861" s="8" t="str">
        <f>IFERROR(__xludf.DUMMYFUNCTION("""COMPUTED_VALUE"""),"")</f>
        <v/>
      </c>
      <c r="G861" s="8" t="str">
        <f>IFERROR(__xludf.DUMMYFUNCTION("""COMPUTED_VALUE"""),"")</f>
        <v/>
      </c>
      <c r="L861" s="8" t="s">
        <v>299</v>
      </c>
    </row>
    <row r="862">
      <c r="A862" s="10"/>
      <c r="B862" s="8" t="str">
        <f>IFERROR(__xludf.DUMMYFUNCTION("""COMPUTED_VALUE"""),"")</f>
        <v/>
      </c>
      <c r="C862" s="8" t="str">
        <f>IFERROR(__xludf.DUMMYFUNCTION("""COMPUTED_VALUE"""),"")</f>
        <v/>
      </c>
      <c r="D862" s="8" t="str">
        <f>IFERROR(__xludf.DUMMYFUNCTION("""COMPUTED_VALUE"""),"")</f>
        <v/>
      </c>
      <c r="E862" s="8" t="str">
        <f>IFERROR(__xludf.DUMMYFUNCTION("""COMPUTED_VALUE"""),"")</f>
        <v/>
      </c>
      <c r="F862" s="8" t="str">
        <f>IFERROR(__xludf.DUMMYFUNCTION("""COMPUTED_VALUE"""),"")</f>
        <v/>
      </c>
      <c r="G862" s="8" t="str">
        <f>IFERROR(__xludf.DUMMYFUNCTION("""COMPUTED_VALUE"""),"")</f>
        <v/>
      </c>
      <c r="L862" s="8" t="s">
        <v>299</v>
      </c>
    </row>
    <row r="863">
      <c r="A863" s="10"/>
      <c r="B863" s="8" t="str">
        <f>IFERROR(__xludf.DUMMYFUNCTION("""COMPUTED_VALUE"""),"")</f>
        <v/>
      </c>
      <c r="C863" s="8" t="str">
        <f>IFERROR(__xludf.DUMMYFUNCTION("""COMPUTED_VALUE"""),"")</f>
        <v/>
      </c>
      <c r="D863" s="8" t="str">
        <f>IFERROR(__xludf.DUMMYFUNCTION("""COMPUTED_VALUE"""),"")</f>
        <v/>
      </c>
      <c r="E863" s="8" t="str">
        <f>IFERROR(__xludf.DUMMYFUNCTION("""COMPUTED_VALUE"""),"")</f>
        <v/>
      </c>
      <c r="F863" s="8" t="str">
        <f>IFERROR(__xludf.DUMMYFUNCTION("""COMPUTED_VALUE"""),"")</f>
        <v/>
      </c>
      <c r="G863" s="8" t="str">
        <f>IFERROR(__xludf.DUMMYFUNCTION("""COMPUTED_VALUE"""),"")</f>
        <v/>
      </c>
      <c r="L863" s="8" t="s">
        <v>299</v>
      </c>
    </row>
    <row r="864">
      <c r="A864" s="10"/>
      <c r="B864" s="8" t="str">
        <f>IFERROR(__xludf.DUMMYFUNCTION("""COMPUTED_VALUE"""),"")</f>
        <v/>
      </c>
      <c r="C864" s="8" t="str">
        <f>IFERROR(__xludf.DUMMYFUNCTION("""COMPUTED_VALUE"""),"")</f>
        <v/>
      </c>
      <c r="D864" s="8" t="str">
        <f>IFERROR(__xludf.DUMMYFUNCTION("""COMPUTED_VALUE"""),"")</f>
        <v/>
      </c>
      <c r="E864" s="8" t="str">
        <f>IFERROR(__xludf.DUMMYFUNCTION("""COMPUTED_VALUE"""),"")</f>
        <v/>
      </c>
      <c r="F864" s="8" t="str">
        <f>IFERROR(__xludf.DUMMYFUNCTION("""COMPUTED_VALUE"""),"")</f>
        <v/>
      </c>
      <c r="G864" s="8" t="str">
        <f>IFERROR(__xludf.DUMMYFUNCTION("""COMPUTED_VALUE"""),"")</f>
        <v/>
      </c>
      <c r="L864" s="8" t="s">
        <v>299</v>
      </c>
    </row>
    <row r="865">
      <c r="A865" s="10"/>
      <c r="B865" s="8" t="str">
        <f>IFERROR(__xludf.DUMMYFUNCTION("""COMPUTED_VALUE"""),"")</f>
        <v/>
      </c>
      <c r="C865" s="8" t="str">
        <f>IFERROR(__xludf.DUMMYFUNCTION("""COMPUTED_VALUE"""),"")</f>
        <v/>
      </c>
      <c r="D865" s="8" t="str">
        <f>IFERROR(__xludf.DUMMYFUNCTION("""COMPUTED_VALUE"""),"")</f>
        <v/>
      </c>
      <c r="E865" s="8" t="str">
        <f>IFERROR(__xludf.DUMMYFUNCTION("""COMPUTED_VALUE"""),"")</f>
        <v/>
      </c>
      <c r="F865" s="8" t="str">
        <f>IFERROR(__xludf.DUMMYFUNCTION("""COMPUTED_VALUE"""),"")</f>
        <v/>
      </c>
      <c r="G865" s="8" t="str">
        <f>IFERROR(__xludf.DUMMYFUNCTION("""COMPUTED_VALUE"""),"")</f>
        <v/>
      </c>
      <c r="L865" s="8" t="s">
        <v>299</v>
      </c>
    </row>
    <row r="866">
      <c r="A866" s="10"/>
      <c r="B866" s="8" t="str">
        <f>IFERROR(__xludf.DUMMYFUNCTION("""COMPUTED_VALUE"""),"")</f>
        <v/>
      </c>
      <c r="C866" s="8" t="str">
        <f>IFERROR(__xludf.DUMMYFUNCTION("""COMPUTED_VALUE"""),"")</f>
        <v/>
      </c>
      <c r="D866" s="8" t="str">
        <f>IFERROR(__xludf.DUMMYFUNCTION("""COMPUTED_VALUE"""),"")</f>
        <v/>
      </c>
      <c r="E866" s="8" t="str">
        <f>IFERROR(__xludf.DUMMYFUNCTION("""COMPUTED_VALUE"""),"")</f>
        <v/>
      </c>
      <c r="F866" s="8" t="str">
        <f>IFERROR(__xludf.DUMMYFUNCTION("""COMPUTED_VALUE"""),"")</f>
        <v/>
      </c>
      <c r="G866" s="8" t="str">
        <f>IFERROR(__xludf.DUMMYFUNCTION("""COMPUTED_VALUE"""),"")</f>
        <v/>
      </c>
      <c r="L866" s="8" t="s">
        <v>299</v>
      </c>
    </row>
    <row r="867">
      <c r="A867" s="10"/>
      <c r="B867" s="8" t="str">
        <f>IFERROR(__xludf.DUMMYFUNCTION("""COMPUTED_VALUE"""),"")</f>
        <v/>
      </c>
      <c r="C867" s="8" t="str">
        <f>IFERROR(__xludf.DUMMYFUNCTION("""COMPUTED_VALUE"""),"")</f>
        <v/>
      </c>
      <c r="D867" s="8" t="str">
        <f>IFERROR(__xludf.DUMMYFUNCTION("""COMPUTED_VALUE"""),"")</f>
        <v/>
      </c>
      <c r="E867" s="8" t="str">
        <f>IFERROR(__xludf.DUMMYFUNCTION("""COMPUTED_VALUE"""),"")</f>
        <v/>
      </c>
      <c r="F867" s="8" t="str">
        <f>IFERROR(__xludf.DUMMYFUNCTION("""COMPUTED_VALUE"""),"")</f>
        <v/>
      </c>
      <c r="G867" s="8" t="str">
        <f>IFERROR(__xludf.DUMMYFUNCTION("""COMPUTED_VALUE"""),"")</f>
        <v/>
      </c>
      <c r="L867" s="8" t="s">
        <v>299</v>
      </c>
    </row>
    <row r="868">
      <c r="A868" s="10"/>
      <c r="B868" s="8" t="str">
        <f>IFERROR(__xludf.DUMMYFUNCTION("""COMPUTED_VALUE"""),"")</f>
        <v/>
      </c>
      <c r="C868" s="8" t="str">
        <f>IFERROR(__xludf.DUMMYFUNCTION("""COMPUTED_VALUE"""),"")</f>
        <v/>
      </c>
      <c r="D868" s="8" t="str">
        <f>IFERROR(__xludf.DUMMYFUNCTION("""COMPUTED_VALUE"""),"")</f>
        <v/>
      </c>
      <c r="E868" s="8" t="str">
        <f>IFERROR(__xludf.DUMMYFUNCTION("""COMPUTED_VALUE"""),"")</f>
        <v/>
      </c>
      <c r="F868" s="8" t="str">
        <f>IFERROR(__xludf.DUMMYFUNCTION("""COMPUTED_VALUE"""),"")</f>
        <v/>
      </c>
      <c r="G868" s="8" t="str">
        <f>IFERROR(__xludf.DUMMYFUNCTION("""COMPUTED_VALUE"""),"")</f>
        <v/>
      </c>
      <c r="L868" s="8" t="s">
        <v>299</v>
      </c>
    </row>
    <row r="869">
      <c r="A869" s="10"/>
      <c r="B869" s="8" t="str">
        <f>IFERROR(__xludf.DUMMYFUNCTION("""COMPUTED_VALUE"""),"")</f>
        <v/>
      </c>
      <c r="C869" s="8" t="str">
        <f>IFERROR(__xludf.DUMMYFUNCTION("""COMPUTED_VALUE"""),"")</f>
        <v/>
      </c>
      <c r="D869" s="8" t="str">
        <f>IFERROR(__xludf.DUMMYFUNCTION("""COMPUTED_VALUE"""),"")</f>
        <v/>
      </c>
      <c r="E869" s="8" t="str">
        <f>IFERROR(__xludf.DUMMYFUNCTION("""COMPUTED_VALUE"""),"")</f>
        <v/>
      </c>
      <c r="F869" s="8" t="str">
        <f>IFERROR(__xludf.DUMMYFUNCTION("""COMPUTED_VALUE"""),"")</f>
        <v/>
      </c>
      <c r="G869" s="8" t="str">
        <f>IFERROR(__xludf.DUMMYFUNCTION("""COMPUTED_VALUE"""),"")</f>
        <v/>
      </c>
      <c r="L869" s="8" t="s">
        <v>299</v>
      </c>
    </row>
    <row r="870">
      <c r="A870" s="10"/>
      <c r="B870" s="8" t="str">
        <f>IFERROR(__xludf.DUMMYFUNCTION("""COMPUTED_VALUE"""),"")</f>
        <v/>
      </c>
      <c r="C870" s="8" t="str">
        <f>IFERROR(__xludf.DUMMYFUNCTION("""COMPUTED_VALUE"""),"")</f>
        <v/>
      </c>
      <c r="D870" s="8" t="str">
        <f>IFERROR(__xludf.DUMMYFUNCTION("""COMPUTED_VALUE"""),"")</f>
        <v/>
      </c>
      <c r="E870" s="8" t="str">
        <f>IFERROR(__xludf.DUMMYFUNCTION("""COMPUTED_VALUE"""),"")</f>
        <v/>
      </c>
      <c r="F870" s="8" t="str">
        <f>IFERROR(__xludf.DUMMYFUNCTION("""COMPUTED_VALUE"""),"")</f>
        <v/>
      </c>
      <c r="G870" s="8" t="str">
        <f>IFERROR(__xludf.DUMMYFUNCTION("""COMPUTED_VALUE"""),"")</f>
        <v/>
      </c>
      <c r="L870" s="8" t="s">
        <v>299</v>
      </c>
    </row>
    <row r="871">
      <c r="A871" s="10"/>
      <c r="B871" s="8" t="str">
        <f>IFERROR(__xludf.DUMMYFUNCTION("""COMPUTED_VALUE"""),"")</f>
        <v/>
      </c>
      <c r="C871" s="8" t="str">
        <f>IFERROR(__xludf.DUMMYFUNCTION("""COMPUTED_VALUE"""),"")</f>
        <v/>
      </c>
      <c r="D871" s="8" t="str">
        <f>IFERROR(__xludf.DUMMYFUNCTION("""COMPUTED_VALUE"""),"")</f>
        <v/>
      </c>
      <c r="E871" s="8" t="str">
        <f>IFERROR(__xludf.DUMMYFUNCTION("""COMPUTED_VALUE"""),"")</f>
        <v/>
      </c>
      <c r="F871" s="8" t="str">
        <f>IFERROR(__xludf.DUMMYFUNCTION("""COMPUTED_VALUE"""),"")</f>
        <v/>
      </c>
      <c r="G871" s="8" t="str">
        <f>IFERROR(__xludf.DUMMYFUNCTION("""COMPUTED_VALUE"""),"")</f>
        <v/>
      </c>
      <c r="L871" s="8" t="s">
        <v>299</v>
      </c>
    </row>
    <row r="872">
      <c r="A872" s="10"/>
      <c r="B872" s="8" t="str">
        <f>IFERROR(__xludf.DUMMYFUNCTION("""COMPUTED_VALUE"""),"")</f>
        <v/>
      </c>
      <c r="C872" s="8" t="str">
        <f>IFERROR(__xludf.DUMMYFUNCTION("""COMPUTED_VALUE"""),"")</f>
        <v/>
      </c>
      <c r="D872" s="8" t="str">
        <f>IFERROR(__xludf.DUMMYFUNCTION("""COMPUTED_VALUE"""),"")</f>
        <v/>
      </c>
      <c r="E872" s="8" t="str">
        <f>IFERROR(__xludf.DUMMYFUNCTION("""COMPUTED_VALUE"""),"")</f>
        <v/>
      </c>
      <c r="F872" s="8" t="str">
        <f>IFERROR(__xludf.DUMMYFUNCTION("""COMPUTED_VALUE"""),"")</f>
        <v/>
      </c>
      <c r="G872" s="8" t="str">
        <f>IFERROR(__xludf.DUMMYFUNCTION("""COMPUTED_VALUE"""),"")</f>
        <v/>
      </c>
      <c r="L872" s="8" t="s">
        <v>299</v>
      </c>
    </row>
    <row r="873">
      <c r="A873" s="10"/>
      <c r="B873" s="8" t="str">
        <f>IFERROR(__xludf.DUMMYFUNCTION("""COMPUTED_VALUE"""),"")</f>
        <v/>
      </c>
      <c r="C873" s="8" t="str">
        <f>IFERROR(__xludf.DUMMYFUNCTION("""COMPUTED_VALUE"""),"")</f>
        <v/>
      </c>
      <c r="D873" s="8" t="str">
        <f>IFERROR(__xludf.DUMMYFUNCTION("""COMPUTED_VALUE"""),"")</f>
        <v/>
      </c>
      <c r="E873" s="8" t="str">
        <f>IFERROR(__xludf.DUMMYFUNCTION("""COMPUTED_VALUE"""),"")</f>
        <v/>
      </c>
      <c r="F873" s="8" t="str">
        <f>IFERROR(__xludf.DUMMYFUNCTION("""COMPUTED_VALUE"""),"")</f>
        <v/>
      </c>
      <c r="G873" s="8" t="str">
        <f>IFERROR(__xludf.DUMMYFUNCTION("""COMPUTED_VALUE"""),"")</f>
        <v/>
      </c>
      <c r="L873" s="8" t="s">
        <v>299</v>
      </c>
    </row>
    <row r="874">
      <c r="A874" s="10"/>
      <c r="B874" s="8" t="str">
        <f>IFERROR(__xludf.DUMMYFUNCTION("""COMPUTED_VALUE"""),"")</f>
        <v/>
      </c>
      <c r="C874" s="8" t="str">
        <f>IFERROR(__xludf.DUMMYFUNCTION("""COMPUTED_VALUE"""),"")</f>
        <v/>
      </c>
      <c r="D874" s="8" t="str">
        <f>IFERROR(__xludf.DUMMYFUNCTION("""COMPUTED_VALUE"""),"")</f>
        <v/>
      </c>
      <c r="E874" s="8" t="str">
        <f>IFERROR(__xludf.DUMMYFUNCTION("""COMPUTED_VALUE"""),"")</f>
        <v/>
      </c>
      <c r="F874" s="8" t="str">
        <f>IFERROR(__xludf.DUMMYFUNCTION("""COMPUTED_VALUE"""),"")</f>
        <v/>
      </c>
      <c r="G874" s="8" t="str">
        <f>IFERROR(__xludf.DUMMYFUNCTION("""COMPUTED_VALUE"""),"")</f>
        <v/>
      </c>
      <c r="L874" s="8" t="s">
        <v>299</v>
      </c>
    </row>
    <row r="875">
      <c r="A875" s="10"/>
      <c r="B875" s="8" t="str">
        <f>IFERROR(__xludf.DUMMYFUNCTION("""COMPUTED_VALUE"""),"")</f>
        <v/>
      </c>
      <c r="C875" s="8" t="str">
        <f>IFERROR(__xludf.DUMMYFUNCTION("""COMPUTED_VALUE"""),"")</f>
        <v/>
      </c>
      <c r="D875" s="8" t="str">
        <f>IFERROR(__xludf.DUMMYFUNCTION("""COMPUTED_VALUE"""),"")</f>
        <v/>
      </c>
      <c r="E875" s="8" t="str">
        <f>IFERROR(__xludf.DUMMYFUNCTION("""COMPUTED_VALUE"""),"")</f>
        <v/>
      </c>
      <c r="F875" s="8" t="str">
        <f>IFERROR(__xludf.DUMMYFUNCTION("""COMPUTED_VALUE"""),"")</f>
        <v/>
      </c>
      <c r="G875" s="8" t="str">
        <f>IFERROR(__xludf.DUMMYFUNCTION("""COMPUTED_VALUE"""),"")</f>
        <v/>
      </c>
      <c r="L875" s="8" t="s">
        <v>299</v>
      </c>
    </row>
    <row r="876">
      <c r="A876" s="10"/>
      <c r="B876" s="8" t="str">
        <f>IFERROR(__xludf.DUMMYFUNCTION("""COMPUTED_VALUE"""),"")</f>
        <v/>
      </c>
      <c r="C876" s="8" t="str">
        <f>IFERROR(__xludf.DUMMYFUNCTION("""COMPUTED_VALUE"""),"")</f>
        <v/>
      </c>
      <c r="D876" s="8" t="str">
        <f>IFERROR(__xludf.DUMMYFUNCTION("""COMPUTED_VALUE"""),"")</f>
        <v/>
      </c>
      <c r="E876" s="8" t="str">
        <f>IFERROR(__xludf.DUMMYFUNCTION("""COMPUTED_VALUE"""),"")</f>
        <v/>
      </c>
      <c r="F876" s="8" t="str">
        <f>IFERROR(__xludf.DUMMYFUNCTION("""COMPUTED_VALUE"""),"")</f>
        <v/>
      </c>
      <c r="G876" s="8" t="str">
        <f>IFERROR(__xludf.DUMMYFUNCTION("""COMPUTED_VALUE"""),"")</f>
        <v/>
      </c>
      <c r="L876" s="8" t="s">
        <v>299</v>
      </c>
    </row>
    <row r="877">
      <c r="A877" s="10"/>
      <c r="B877" s="8" t="str">
        <f>IFERROR(__xludf.DUMMYFUNCTION("""COMPUTED_VALUE"""),"")</f>
        <v/>
      </c>
      <c r="C877" s="8" t="str">
        <f>IFERROR(__xludf.DUMMYFUNCTION("""COMPUTED_VALUE"""),"")</f>
        <v/>
      </c>
      <c r="D877" s="8" t="str">
        <f>IFERROR(__xludf.DUMMYFUNCTION("""COMPUTED_VALUE"""),"")</f>
        <v/>
      </c>
      <c r="E877" s="8" t="str">
        <f>IFERROR(__xludf.DUMMYFUNCTION("""COMPUTED_VALUE"""),"")</f>
        <v/>
      </c>
      <c r="F877" s="8" t="str">
        <f>IFERROR(__xludf.DUMMYFUNCTION("""COMPUTED_VALUE"""),"")</f>
        <v/>
      </c>
      <c r="G877" s="8" t="str">
        <f>IFERROR(__xludf.DUMMYFUNCTION("""COMPUTED_VALUE"""),"")</f>
        <v/>
      </c>
      <c r="L877" s="8" t="s">
        <v>299</v>
      </c>
    </row>
    <row r="878">
      <c r="A878" s="10"/>
      <c r="B878" s="8" t="str">
        <f>IFERROR(__xludf.DUMMYFUNCTION("""COMPUTED_VALUE"""),"")</f>
        <v/>
      </c>
      <c r="C878" s="8" t="str">
        <f>IFERROR(__xludf.DUMMYFUNCTION("""COMPUTED_VALUE"""),"")</f>
        <v/>
      </c>
      <c r="D878" s="8" t="str">
        <f>IFERROR(__xludf.DUMMYFUNCTION("""COMPUTED_VALUE"""),"")</f>
        <v/>
      </c>
      <c r="E878" s="8" t="str">
        <f>IFERROR(__xludf.DUMMYFUNCTION("""COMPUTED_VALUE"""),"")</f>
        <v/>
      </c>
      <c r="F878" s="8" t="str">
        <f>IFERROR(__xludf.DUMMYFUNCTION("""COMPUTED_VALUE"""),"")</f>
        <v/>
      </c>
      <c r="G878" s="8" t="str">
        <f>IFERROR(__xludf.DUMMYFUNCTION("""COMPUTED_VALUE"""),"")</f>
        <v/>
      </c>
      <c r="L878" s="8" t="s">
        <v>299</v>
      </c>
    </row>
    <row r="879">
      <c r="A879" s="10"/>
      <c r="B879" s="8" t="str">
        <f>IFERROR(__xludf.DUMMYFUNCTION("""COMPUTED_VALUE"""),"")</f>
        <v/>
      </c>
      <c r="C879" s="8" t="str">
        <f>IFERROR(__xludf.DUMMYFUNCTION("""COMPUTED_VALUE"""),"")</f>
        <v/>
      </c>
      <c r="D879" s="8" t="str">
        <f>IFERROR(__xludf.DUMMYFUNCTION("""COMPUTED_VALUE"""),"")</f>
        <v/>
      </c>
      <c r="E879" s="8" t="str">
        <f>IFERROR(__xludf.DUMMYFUNCTION("""COMPUTED_VALUE"""),"")</f>
        <v/>
      </c>
      <c r="F879" s="8" t="str">
        <f>IFERROR(__xludf.DUMMYFUNCTION("""COMPUTED_VALUE"""),"")</f>
        <v/>
      </c>
      <c r="G879" s="8" t="str">
        <f>IFERROR(__xludf.DUMMYFUNCTION("""COMPUTED_VALUE"""),"")</f>
        <v/>
      </c>
      <c r="L879" s="8" t="s">
        <v>299</v>
      </c>
    </row>
    <row r="880">
      <c r="A880" s="10"/>
      <c r="B880" s="8" t="str">
        <f>IFERROR(__xludf.DUMMYFUNCTION("""COMPUTED_VALUE"""),"")</f>
        <v/>
      </c>
      <c r="C880" s="8" t="str">
        <f>IFERROR(__xludf.DUMMYFUNCTION("""COMPUTED_VALUE"""),"")</f>
        <v/>
      </c>
      <c r="D880" s="8" t="str">
        <f>IFERROR(__xludf.DUMMYFUNCTION("""COMPUTED_VALUE"""),"")</f>
        <v/>
      </c>
      <c r="E880" s="8" t="str">
        <f>IFERROR(__xludf.DUMMYFUNCTION("""COMPUTED_VALUE"""),"")</f>
        <v/>
      </c>
      <c r="F880" s="8" t="str">
        <f>IFERROR(__xludf.DUMMYFUNCTION("""COMPUTED_VALUE"""),"")</f>
        <v/>
      </c>
      <c r="G880" s="8" t="str">
        <f>IFERROR(__xludf.DUMMYFUNCTION("""COMPUTED_VALUE"""),"")</f>
        <v/>
      </c>
      <c r="L880" s="8" t="s">
        <v>299</v>
      </c>
    </row>
    <row r="881">
      <c r="A881" s="10"/>
      <c r="B881" s="8" t="str">
        <f>IFERROR(__xludf.DUMMYFUNCTION("""COMPUTED_VALUE"""),"")</f>
        <v/>
      </c>
      <c r="C881" s="8" t="str">
        <f>IFERROR(__xludf.DUMMYFUNCTION("""COMPUTED_VALUE"""),"")</f>
        <v/>
      </c>
      <c r="D881" s="8" t="str">
        <f>IFERROR(__xludf.DUMMYFUNCTION("""COMPUTED_VALUE"""),"")</f>
        <v/>
      </c>
      <c r="E881" s="8" t="str">
        <f>IFERROR(__xludf.DUMMYFUNCTION("""COMPUTED_VALUE"""),"")</f>
        <v/>
      </c>
      <c r="F881" s="8" t="str">
        <f>IFERROR(__xludf.DUMMYFUNCTION("""COMPUTED_VALUE"""),"")</f>
        <v/>
      </c>
      <c r="G881" s="8" t="str">
        <f>IFERROR(__xludf.DUMMYFUNCTION("""COMPUTED_VALUE"""),"")</f>
        <v/>
      </c>
      <c r="L881" s="8" t="s">
        <v>299</v>
      </c>
    </row>
    <row r="882">
      <c r="A882" s="10"/>
      <c r="B882" s="8" t="str">
        <f>IFERROR(__xludf.DUMMYFUNCTION("""COMPUTED_VALUE"""),"")</f>
        <v/>
      </c>
      <c r="C882" s="8" t="str">
        <f>IFERROR(__xludf.DUMMYFUNCTION("""COMPUTED_VALUE"""),"")</f>
        <v/>
      </c>
      <c r="D882" s="8" t="str">
        <f>IFERROR(__xludf.DUMMYFUNCTION("""COMPUTED_VALUE"""),"")</f>
        <v/>
      </c>
      <c r="E882" s="8" t="str">
        <f>IFERROR(__xludf.DUMMYFUNCTION("""COMPUTED_VALUE"""),"")</f>
        <v/>
      </c>
      <c r="F882" s="8" t="str">
        <f>IFERROR(__xludf.DUMMYFUNCTION("""COMPUTED_VALUE"""),"")</f>
        <v/>
      </c>
      <c r="G882" s="8" t="str">
        <f>IFERROR(__xludf.DUMMYFUNCTION("""COMPUTED_VALUE"""),"")</f>
        <v/>
      </c>
      <c r="L882" s="8" t="s">
        <v>299</v>
      </c>
    </row>
    <row r="883">
      <c r="A883" s="10"/>
      <c r="B883" s="8" t="str">
        <f>IFERROR(__xludf.DUMMYFUNCTION("""COMPUTED_VALUE"""),"")</f>
        <v/>
      </c>
      <c r="C883" s="8" t="str">
        <f>IFERROR(__xludf.DUMMYFUNCTION("""COMPUTED_VALUE"""),"")</f>
        <v/>
      </c>
      <c r="D883" s="8" t="str">
        <f>IFERROR(__xludf.DUMMYFUNCTION("""COMPUTED_VALUE"""),"")</f>
        <v/>
      </c>
      <c r="E883" s="8" t="str">
        <f>IFERROR(__xludf.DUMMYFUNCTION("""COMPUTED_VALUE"""),"")</f>
        <v/>
      </c>
      <c r="F883" s="8" t="str">
        <f>IFERROR(__xludf.DUMMYFUNCTION("""COMPUTED_VALUE"""),"")</f>
        <v/>
      </c>
      <c r="G883" s="8" t="str">
        <f>IFERROR(__xludf.DUMMYFUNCTION("""COMPUTED_VALUE"""),"")</f>
        <v/>
      </c>
      <c r="L883" s="8" t="s">
        <v>299</v>
      </c>
    </row>
    <row r="884">
      <c r="A884" s="10"/>
      <c r="B884" s="8" t="str">
        <f>IFERROR(__xludf.DUMMYFUNCTION("""COMPUTED_VALUE"""),"")</f>
        <v/>
      </c>
      <c r="C884" s="8" t="str">
        <f>IFERROR(__xludf.DUMMYFUNCTION("""COMPUTED_VALUE"""),"")</f>
        <v/>
      </c>
      <c r="D884" s="8" t="str">
        <f>IFERROR(__xludf.DUMMYFUNCTION("""COMPUTED_VALUE"""),"")</f>
        <v/>
      </c>
      <c r="E884" s="8" t="str">
        <f>IFERROR(__xludf.DUMMYFUNCTION("""COMPUTED_VALUE"""),"")</f>
        <v/>
      </c>
      <c r="F884" s="8" t="str">
        <f>IFERROR(__xludf.DUMMYFUNCTION("""COMPUTED_VALUE"""),"")</f>
        <v/>
      </c>
      <c r="G884" s="8" t="str">
        <f>IFERROR(__xludf.DUMMYFUNCTION("""COMPUTED_VALUE"""),"")</f>
        <v/>
      </c>
      <c r="L884" s="8" t="s">
        <v>299</v>
      </c>
    </row>
    <row r="885">
      <c r="A885" s="10"/>
      <c r="B885" s="8" t="str">
        <f>IFERROR(__xludf.DUMMYFUNCTION("""COMPUTED_VALUE"""),"")</f>
        <v/>
      </c>
      <c r="C885" s="8" t="str">
        <f>IFERROR(__xludf.DUMMYFUNCTION("""COMPUTED_VALUE"""),"")</f>
        <v/>
      </c>
      <c r="D885" s="8" t="str">
        <f>IFERROR(__xludf.DUMMYFUNCTION("""COMPUTED_VALUE"""),"")</f>
        <v/>
      </c>
      <c r="E885" s="8" t="str">
        <f>IFERROR(__xludf.DUMMYFUNCTION("""COMPUTED_VALUE"""),"")</f>
        <v/>
      </c>
      <c r="F885" s="8" t="str">
        <f>IFERROR(__xludf.DUMMYFUNCTION("""COMPUTED_VALUE"""),"")</f>
        <v/>
      </c>
      <c r="G885" s="8" t="str">
        <f>IFERROR(__xludf.DUMMYFUNCTION("""COMPUTED_VALUE"""),"")</f>
        <v/>
      </c>
      <c r="L885" s="8" t="s">
        <v>299</v>
      </c>
    </row>
    <row r="886">
      <c r="A886" s="10"/>
      <c r="B886" s="8" t="str">
        <f>IFERROR(__xludf.DUMMYFUNCTION("""COMPUTED_VALUE"""),"")</f>
        <v/>
      </c>
      <c r="C886" s="8" t="str">
        <f>IFERROR(__xludf.DUMMYFUNCTION("""COMPUTED_VALUE"""),"")</f>
        <v/>
      </c>
      <c r="D886" s="8" t="str">
        <f>IFERROR(__xludf.DUMMYFUNCTION("""COMPUTED_VALUE"""),"")</f>
        <v/>
      </c>
      <c r="E886" s="8" t="str">
        <f>IFERROR(__xludf.DUMMYFUNCTION("""COMPUTED_VALUE"""),"")</f>
        <v/>
      </c>
      <c r="F886" s="8" t="str">
        <f>IFERROR(__xludf.DUMMYFUNCTION("""COMPUTED_VALUE"""),"")</f>
        <v/>
      </c>
      <c r="G886" s="8" t="str">
        <f>IFERROR(__xludf.DUMMYFUNCTION("""COMPUTED_VALUE"""),"")</f>
        <v/>
      </c>
      <c r="L886" s="8" t="s">
        <v>299</v>
      </c>
    </row>
    <row r="887">
      <c r="A887" s="10"/>
      <c r="B887" s="8" t="str">
        <f>IFERROR(__xludf.DUMMYFUNCTION("""COMPUTED_VALUE"""),"")</f>
        <v/>
      </c>
      <c r="C887" s="8" t="str">
        <f>IFERROR(__xludf.DUMMYFUNCTION("""COMPUTED_VALUE"""),"")</f>
        <v/>
      </c>
      <c r="D887" s="8" t="str">
        <f>IFERROR(__xludf.DUMMYFUNCTION("""COMPUTED_VALUE"""),"")</f>
        <v/>
      </c>
      <c r="E887" s="8" t="str">
        <f>IFERROR(__xludf.DUMMYFUNCTION("""COMPUTED_VALUE"""),"")</f>
        <v/>
      </c>
      <c r="F887" s="8" t="str">
        <f>IFERROR(__xludf.DUMMYFUNCTION("""COMPUTED_VALUE"""),"")</f>
        <v/>
      </c>
      <c r="G887" s="8" t="str">
        <f>IFERROR(__xludf.DUMMYFUNCTION("""COMPUTED_VALUE"""),"")</f>
        <v/>
      </c>
      <c r="L887" s="8" t="s">
        <v>299</v>
      </c>
    </row>
    <row r="888">
      <c r="A888" s="10"/>
      <c r="B888" s="8" t="str">
        <f>IFERROR(__xludf.DUMMYFUNCTION("""COMPUTED_VALUE"""),"")</f>
        <v/>
      </c>
      <c r="C888" s="8" t="str">
        <f>IFERROR(__xludf.DUMMYFUNCTION("""COMPUTED_VALUE"""),"")</f>
        <v/>
      </c>
      <c r="D888" s="8" t="str">
        <f>IFERROR(__xludf.DUMMYFUNCTION("""COMPUTED_VALUE"""),"")</f>
        <v/>
      </c>
      <c r="E888" s="8" t="str">
        <f>IFERROR(__xludf.DUMMYFUNCTION("""COMPUTED_VALUE"""),"")</f>
        <v/>
      </c>
      <c r="F888" s="8" t="str">
        <f>IFERROR(__xludf.DUMMYFUNCTION("""COMPUTED_VALUE"""),"")</f>
        <v/>
      </c>
      <c r="G888" s="8" t="str">
        <f>IFERROR(__xludf.DUMMYFUNCTION("""COMPUTED_VALUE"""),"")</f>
        <v/>
      </c>
      <c r="L888" s="8" t="s">
        <v>299</v>
      </c>
    </row>
    <row r="889">
      <c r="A889" s="10"/>
      <c r="B889" s="8" t="str">
        <f>IFERROR(__xludf.DUMMYFUNCTION("""COMPUTED_VALUE"""),"")</f>
        <v/>
      </c>
      <c r="C889" s="8" t="str">
        <f>IFERROR(__xludf.DUMMYFUNCTION("""COMPUTED_VALUE"""),"")</f>
        <v/>
      </c>
      <c r="D889" s="8" t="str">
        <f>IFERROR(__xludf.DUMMYFUNCTION("""COMPUTED_VALUE"""),"")</f>
        <v/>
      </c>
      <c r="E889" s="8" t="str">
        <f>IFERROR(__xludf.DUMMYFUNCTION("""COMPUTED_VALUE"""),"")</f>
        <v/>
      </c>
      <c r="F889" s="8" t="str">
        <f>IFERROR(__xludf.DUMMYFUNCTION("""COMPUTED_VALUE"""),"")</f>
        <v/>
      </c>
      <c r="G889" s="8" t="str">
        <f>IFERROR(__xludf.DUMMYFUNCTION("""COMPUTED_VALUE"""),"")</f>
        <v/>
      </c>
      <c r="L889" s="8" t="s">
        <v>299</v>
      </c>
    </row>
    <row r="890">
      <c r="A890" s="10"/>
      <c r="B890" s="8" t="str">
        <f>IFERROR(__xludf.DUMMYFUNCTION("""COMPUTED_VALUE"""),"")</f>
        <v/>
      </c>
      <c r="C890" s="8" t="str">
        <f>IFERROR(__xludf.DUMMYFUNCTION("""COMPUTED_VALUE"""),"")</f>
        <v/>
      </c>
      <c r="D890" s="8" t="str">
        <f>IFERROR(__xludf.DUMMYFUNCTION("""COMPUTED_VALUE"""),"")</f>
        <v/>
      </c>
      <c r="E890" s="8" t="str">
        <f>IFERROR(__xludf.DUMMYFUNCTION("""COMPUTED_VALUE"""),"")</f>
        <v/>
      </c>
      <c r="F890" s="8" t="str">
        <f>IFERROR(__xludf.DUMMYFUNCTION("""COMPUTED_VALUE"""),"")</f>
        <v/>
      </c>
      <c r="G890" s="8" t="str">
        <f>IFERROR(__xludf.DUMMYFUNCTION("""COMPUTED_VALUE"""),"")</f>
        <v/>
      </c>
      <c r="L890" s="8" t="s">
        <v>299</v>
      </c>
    </row>
    <row r="891">
      <c r="A891" s="10"/>
      <c r="B891" s="8" t="str">
        <f>IFERROR(__xludf.DUMMYFUNCTION("""COMPUTED_VALUE"""),"")</f>
        <v/>
      </c>
      <c r="C891" s="8" t="str">
        <f>IFERROR(__xludf.DUMMYFUNCTION("""COMPUTED_VALUE"""),"")</f>
        <v/>
      </c>
      <c r="D891" s="8" t="str">
        <f>IFERROR(__xludf.DUMMYFUNCTION("""COMPUTED_VALUE"""),"")</f>
        <v/>
      </c>
      <c r="E891" s="8" t="str">
        <f>IFERROR(__xludf.DUMMYFUNCTION("""COMPUTED_VALUE"""),"")</f>
        <v/>
      </c>
      <c r="F891" s="8" t="str">
        <f>IFERROR(__xludf.DUMMYFUNCTION("""COMPUTED_VALUE"""),"")</f>
        <v/>
      </c>
      <c r="G891" s="8" t="str">
        <f>IFERROR(__xludf.DUMMYFUNCTION("""COMPUTED_VALUE"""),"")</f>
        <v/>
      </c>
      <c r="L891" s="8" t="s">
        <v>299</v>
      </c>
    </row>
    <row r="892">
      <c r="A892" s="10"/>
      <c r="B892" s="8" t="str">
        <f>IFERROR(__xludf.DUMMYFUNCTION("""COMPUTED_VALUE"""),"")</f>
        <v/>
      </c>
      <c r="C892" s="8" t="str">
        <f>IFERROR(__xludf.DUMMYFUNCTION("""COMPUTED_VALUE"""),"")</f>
        <v/>
      </c>
      <c r="D892" s="8" t="str">
        <f>IFERROR(__xludf.DUMMYFUNCTION("""COMPUTED_VALUE"""),"")</f>
        <v/>
      </c>
      <c r="E892" s="8" t="str">
        <f>IFERROR(__xludf.DUMMYFUNCTION("""COMPUTED_VALUE"""),"")</f>
        <v/>
      </c>
      <c r="F892" s="8" t="str">
        <f>IFERROR(__xludf.DUMMYFUNCTION("""COMPUTED_VALUE"""),"")</f>
        <v/>
      </c>
      <c r="G892" s="8" t="str">
        <f>IFERROR(__xludf.DUMMYFUNCTION("""COMPUTED_VALUE"""),"")</f>
        <v/>
      </c>
      <c r="L892" s="8" t="s">
        <v>299</v>
      </c>
    </row>
    <row r="893">
      <c r="A893" s="10"/>
      <c r="B893" s="8" t="str">
        <f>IFERROR(__xludf.DUMMYFUNCTION("""COMPUTED_VALUE"""),"")</f>
        <v/>
      </c>
      <c r="C893" s="8" t="str">
        <f>IFERROR(__xludf.DUMMYFUNCTION("""COMPUTED_VALUE"""),"")</f>
        <v/>
      </c>
      <c r="D893" s="8" t="str">
        <f>IFERROR(__xludf.DUMMYFUNCTION("""COMPUTED_VALUE"""),"")</f>
        <v/>
      </c>
      <c r="E893" s="8" t="str">
        <f>IFERROR(__xludf.DUMMYFUNCTION("""COMPUTED_VALUE"""),"")</f>
        <v/>
      </c>
      <c r="F893" s="8" t="str">
        <f>IFERROR(__xludf.DUMMYFUNCTION("""COMPUTED_VALUE"""),"")</f>
        <v/>
      </c>
      <c r="G893" s="8" t="str">
        <f>IFERROR(__xludf.DUMMYFUNCTION("""COMPUTED_VALUE"""),"")</f>
        <v/>
      </c>
      <c r="L893" s="8" t="s">
        <v>299</v>
      </c>
    </row>
    <row r="894">
      <c r="A894" s="10"/>
      <c r="B894" s="8" t="str">
        <f>IFERROR(__xludf.DUMMYFUNCTION("""COMPUTED_VALUE"""),"")</f>
        <v/>
      </c>
      <c r="C894" s="8" t="str">
        <f>IFERROR(__xludf.DUMMYFUNCTION("""COMPUTED_VALUE"""),"")</f>
        <v/>
      </c>
      <c r="D894" s="8" t="str">
        <f>IFERROR(__xludf.DUMMYFUNCTION("""COMPUTED_VALUE"""),"")</f>
        <v/>
      </c>
      <c r="E894" s="8" t="str">
        <f>IFERROR(__xludf.DUMMYFUNCTION("""COMPUTED_VALUE"""),"")</f>
        <v/>
      </c>
      <c r="F894" s="8" t="str">
        <f>IFERROR(__xludf.DUMMYFUNCTION("""COMPUTED_VALUE"""),"")</f>
        <v/>
      </c>
      <c r="G894" s="8" t="str">
        <f>IFERROR(__xludf.DUMMYFUNCTION("""COMPUTED_VALUE"""),"")</f>
        <v/>
      </c>
      <c r="L894" s="8" t="s">
        <v>299</v>
      </c>
    </row>
    <row r="895">
      <c r="A895" s="10"/>
      <c r="B895" s="8" t="str">
        <f>IFERROR(__xludf.DUMMYFUNCTION("""COMPUTED_VALUE"""),"")</f>
        <v/>
      </c>
      <c r="C895" s="8" t="str">
        <f>IFERROR(__xludf.DUMMYFUNCTION("""COMPUTED_VALUE"""),"")</f>
        <v/>
      </c>
      <c r="D895" s="8" t="str">
        <f>IFERROR(__xludf.DUMMYFUNCTION("""COMPUTED_VALUE"""),"")</f>
        <v/>
      </c>
      <c r="E895" s="8" t="str">
        <f>IFERROR(__xludf.DUMMYFUNCTION("""COMPUTED_VALUE"""),"")</f>
        <v/>
      </c>
      <c r="F895" s="8" t="str">
        <f>IFERROR(__xludf.DUMMYFUNCTION("""COMPUTED_VALUE"""),"")</f>
        <v/>
      </c>
      <c r="G895" s="8" t="str">
        <f>IFERROR(__xludf.DUMMYFUNCTION("""COMPUTED_VALUE"""),"")</f>
        <v/>
      </c>
      <c r="L895" s="8" t="s">
        <v>299</v>
      </c>
    </row>
    <row r="896">
      <c r="A896" s="10"/>
      <c r="B896" s="8" t="str">
        <f>IFERROR(__xludf.DUMMYFUNCTION("""COMPUTED_VALUE"""),"")</f>
        <v/>
      </c>
      <c r="C896" s="8" t="str">
        <f>IFERROR(__xludf.DUMMYFUNCTION("""COMPUTED_VALUE"""),"")</f>
        <v/>
      </c>
      <c r="D896" s="8" t="str">
        <f>IFERROR(__xludf.DUMMYFUNCTION("""COMPUTED_VALUE"""),"")</f>
        <v/>
      </c>
      <c r="E896" s="8" t="str">
        <f>IFERROR(__xludf.DUMMYFUNCTION("""COMPUTED_VALUE"""),"")</f>
        <v/>
      </c>
      <c r="F896" s="8" t="str">
        <f>IFERROR(__xludf.DUMMYFUNCTION("""COMPUTED_VALUE"""),"")</f>
        <v/>
      </c>
      <c r="G896" s="8" t="str">
        <f>IFERROR(__xludf.DUMMYFUNCTION("""COMPUTED_VALUE"""),"")</f>
        <v/>
      </c>
      <c r="L896" s="8" t="s">
        <v>299</v>
      </c>
    </row>
    <row r="897">
      <c r="A897" s="10"/>
      <c r="B897" s="8" t="str">
        <f>IFERROR(__xludf.DUMMYFUNCTION("""COMPUTED_VALUE"""),"")</f>
        <v/>
      </c>
      <c r="C897" s="8" t="str">
        <f>IFERROR(__xludf.DUMMYFUNCTION("""COMPUTED_VALUE"""),"")</f>
        <v/>
      </c>
      <c r="D897" s="8" t="str">
        <f>IFERROR(__xludf.DUMMYFUNCTION("""COMPUTED_VALUE"""),"")</f>
        <v/>
      </c>
      <c r="E897" s="8" t="str">
        <f>IFERROR(__xludf.DUMMYFUNCTION("""COMPUTED_VALUE"""),"")</f>
        <v/>
      </c>
      <c r="F897" s="8" t="str">
        <f>IFERROR(__xludf.DUMMYFUNCTION("""COMPUTED_VALUE"""),"")</f>
        <v/>
      </c>
      <c r="G897" s="8" t="str">
        <f>IFERROR(__xludf.DUMMYFUNCTION("""COMPUTED_VALUE"""),"")</f>
        <v/>
      </c>
      <c r="L897" s="8" t="s">
        <v>299</v>
      </c>
    </row>
    <row r="898">
      <c r="A898" s="10"/>
      <c r="B898" s="8" t="str">
        <f>IFERROR(__xludf.DUMMYFUNCTION("""COMPUTED_VALUE"""),"")</f>
        <v/>
      </c>
      <c r="C898" s="8" t="str">
        <f>IFERROR(__xludf.DUMMYFUNCTION("""COMPUTED_VALUE"""),"")</f>
        <v/>
      </c>
      <c r="D898" s="8" t="str">
        <f>IFERROR(__xludf.DUMMYFUNCTION("""COMPUTED_VALUE"""),"")</f>
        <v/>
      </c>
      <c r="E898" s="8" t="str">
        <f>IFERROR(__xludf.DUMMYFUNCTION("""COMPUTED_VALUE"""),"")</f>
        <v/>
      </c>
      <c r="F898" s="8" t="str">
        <f>IFERROR(__xludf.DUMMYFUNCTION("""COMPUTED_VALUE"""),"")</f>
        <v/>
      </c>
      <c r="G898" s="8" t="str">
        <f>IFERROR(__xludf.DUMMYFUNCTION("""COMPUTED_VALUE"""),"")</f>
        <v/>
      </c>
      <c r="L898" s="8" t="s">
        <v>299</v>
      </c>
    </row>
    <row r="899">
      <c r="A899" s="10"/>
      <c r="B899" s="8" t="str">
        <f>IFERROR(__xludf.DUMMYFUNCTION("""COMPUTED_VALUE"""),"")</f>
        <v/>
      </c>
      <c r="C899" s="8" t="str">
        <f>IFERROR(__xludf.DUMMYFUNCTION("""COMPUTED_VALUE"""),"")</f>
        <v/>
      </c>
      <c r="D899" s="8" t="str">
        <f>IFERROR(__xludf.DUMMYFUNCTION("""COMPUTED_VALUE"""),"")</f>
        <v/>
      </c>
      <c r="E899" s="8" t="str">
        <f>IFERROR(__xludf.DUMMYFUNCTION("""COMPUTED_VALUE"""),"")</f>
        <v/>
      </c>
      <c r="F899" s="8" t="str">
        <f>IFERROR(__xludf.DUMMYFUNCTION("""COMPUTED_VALUE"""),"")</f>
        <v/>
      </c>
      <c r="G899" s="8" t="str">
        <f>IFERROR(__xludf.DUMMYFUNCTION("""COMPUTED_VALUE"""),"")</f>
        <v/>
      </c>
      <c r="L899" s="8" t="s">
        <v>299</v>
      </c>
    </row>
    <row r="900">
      <c r="A900" s="10"/>
      <c r="B900" s="8" t="str">
        <f>IFERROR(__xludf.DUMMYFUNCTION("""COMPUTED_VALUE"""),"")</f>
        <v/>
      </c>
      <c r="C900" s="8" t="str">
        <f>IFERROR(__xludf.DUMMYFUNCTION("""COMPUTED_VALUE"""),"")</f>
        <v/>
      </c>
      <c r="D900" s="8" t="str">
        <f>IFERROR(__xludf.DUMMYFUNCTION("""COMPUTED_VALUE"""),"")</f>
        <v/>
      </c>
      <c r="E900" s="8" t="str">
        <f>IFERROR(__xludf.DUMMYFUNCTION("""COMPUTED_VALUE"""),"")</f>
        <v/>
      </c>
      <c r="F900" s="8" t="str">
        <f>IFERROR(__xludf.DUMMYFUNCTION("""COMPUTED_VALUE"""),"")</f>
        <v/>
      </c>
      <c r="G900" s="8" t="str">
        <f>IFERROR(__xludf.DUMMYFUNCTION("""COMPUTED_VALUE"""),"")</f>
        <v/>
      </c>
      <c r="L900" s="8" t="s">
        <v>299</v>
      </c>
    </row>
    <row r="901">
      <c r="A901" s="10"/>
      <c r="B901" s="8" t="str">
        <f>IFERROR(__xludf.DUMMYFUNCTION("""COMPUTED_VALUE"""),"")</f>
        <v/>
      </c>
      <c r="C901" s="8" t="str">
        <f>IFERROR(__xludf.DUMMYFUNCTION("""COMPUTED_VALUE"""),"")</f>
        <v/>
      </c>
      <c r="D901" s="8" t="str">
        <f>IFERROR(__xludf.DUMMYFUNCTION("""COMPUTED_VALUE"""),"")</f>
        <v/>
      </c>
      <c r="E901" s="8" t="str">
        <f>IFERROR(__xludf.DUMMYFUNCTION("""COMPUTED_VALUE"""),"")</f>
        <v/>
      </c>
      <c r="F901" s="8" t="str">
        <f>IFERROR(__xludf.DUMMYFUNCTION("""COMPUTED_VALUE"""),"")</f>
        <v/>
      </c>
      <c r="G901" s="8" t="str">
        <f>IFERROR(__xludf.DUMMYFUNCTION("""COMPUTED_VALUE"""),"")</f>
        <v/>
      </c>
      <c r="L901" s="8" t="s">
        <v>299</v>
      </c>
    </row>
    <row r="902">
      <c r="A902" s="10"/>
      <c r="B902" s="8" t="str">
        <f>IFERROR(__xludf.DUMMYFUNCTION("""COMPUTED_VALUE"""),"")</f>
        <v/>
      </c>
      <c r="C902" s="8" t="str">
        <f>IFERROR(__xludf.DUMMYFUNCTION("""COMPUTED_VALUE"""),"")</f>
        <v/>
      </c>
      <c r="D902" s="8" t="str">
        <f>IFERROR(__xludf.DUMMYFUNCTION("""COMPUTED_VALUE"""),"")</f>
        <v/>
      </c>
      <c r="E902" s="8" t="str">
        <f>IFERROR(__xludf.DUMMYFUNCTION("""COMPUTED_VALUE"""),"")</f>
        <v/>
      </c>
      <c r="F902" s="8" t="str">
        <f>IFERROR(__xludf.DUMMYFUNCTION("""COMPUTED_VALUE"""),"")</f>
        <v/>
      </c>
      <c r="G902" s="8" t="str">
        <f>IFERROR(__xludf.DUMMYFUNCTION("""COMPUTED_VALUE"""),"")</f>
        <v/>
      </c>
      <c r="L902" s="8" t="s">
        <v>299</v>
      </c>
    </row>
    <row r="903">
      <c r="A903" s="10"/>
      <c r="B903" s="8" t="str">
        <f>IFERROR(__xludf.DUMMYFUNCTION("""COMPUTED_VALUE"""),"")</f>
        <v/>
      </c>
      <c r="C903" s="8" t="str">
        <f>IFERROR(__xludf.DUMMYFUNCTION("""COMPUTED_VALUE"""),"")</f>
        <v/>
      </c>
      <c r="D903" s="8" t="str">
        <f>IFERROR(__xludf.DUMMYFUNCTION("""COMPUTED_VALUE"""),"")</f>
        <v/>
      </c>
      <c r="E903" s="8" t="str">
        <f>IFERROR(__xludf.DUMMYFUNCTION("""COMPUTED_VALUE"""),"")</f>
        <v/>
      </c>
      <c r="F903" s="8" t="str">
        <f>IFERROR(__xludf.DUMMYFUNCTION("""COMPUTED_VALUE"""),"")</f>
        <v/>
      </c>
      <c r="G903" s="8" t="str">
        <f>IFERROR(__xludf.DUMMYFUNCTION("""COMPUTED_VALUE"""),"")</f>
        <v/>
      </c>
      <c r="L903" s="8" t="s">
        <v>299</v>
      </c>
    </row>
    <row r="904">
      <c r="A904" s="10"/>
      <c r="B904" s="8" t="str">
        <f>IFERROR(__xludf.DUMMYFUNCTION("""COMPUTED_VALUE"""),"")</f>
        <v/>
      </c>
      <c r="C904" s="8" t="str">
        <f>IFERROR(__xludf.DUMMYFUNCTION("""COMPUTED_VALUE"""),"")</f>
        <v/>
      </c>
      <c r="D904" s="8" t="str">
        <f>IFERROR(__xludf.DUMMYFUNCTION("""COMPUTED_VALUE"""),"")</f>
        <v/>
      </c>
      <c r="E904" s="8" t="str">
        <f>IFERROR(__xludf.DUMMYFUNCTION("""COMPUTED_VALUE"""),"")</f>
        <v/>
      </c>
      <c r="F904" s="8" t="str">
        <f>IFERROR(__xludf.DUMMYFUNCTION("""COMPUTED_VALUE"""),"")</f>
        <v/>
      </c>
      <c r="G904" s="8" t="str">
        <f>IFERROR(__xludf.DUMMYFUNCTION("""COMPUTED_VALUE"""),"")</f>
        <v/>
      </c>
      <c r="L904" s="8" t="s">
        <v>299</v>
      </c>
    </row>
    <row r="905">
      <c r="A905" s="10"/>
      <c r="B905" s="8" t="str">
        <f>IFERROR(__xludf.DUMMYFUNCTION("""COMPUTED_VALUE"""),"")</f>
        <v/>
      </c>
      <c r="C905" s="8" t="str">
        <f>IFERROR(__xludf.DUMMYFUNCTION("""COMPUTED_VALUE"""),"")</f>
        <v/>
      </c>
      <c r="D905" s="8" t="str">
        <f>IFERROR(__xludf.DUMMYFUNCTION("""COMPUTED_VALUE"""),"")</f>
        <v/>
      </c>
      <c r="E905" s="8" t="str">
        <f>IFERROR(__xludf.DUMMYFUNCTION("""COMPUTED_VALUE"""),"")</f>
        <v/>
      </c>
      <c r="F905" s="8" t="str">
        <f>IFERROR(__xludf.DUMMYFUNCTION("""COMPUTED_VALUE"""),"")</f>
        <v/>
      </c>
      <c r="G905" s="8" t="str">
        <f>IFERROR(__xludf.DUMMYFUNCTION("""COMPUTED_VALUE"""),"")</f>
        <v/>
      </c>
      <c r="L905" s="8" t="s">
        <v>299</v>
      </c>
    </row>
    <row r="906">
      <c r="A906" s="10"/>
      <c r="B906" s="8" t="str">
        <f>IFERROR(__xludf.DUMMYFUNCTION("""COMPUTED_VALUE"""),"")</f>
        <v/>
      </c>
      <c r="C906" s="8" t="str">
        <f>IFERROR(__xludf.DUMMYFUNCTION("""COMPUTED_VALUE"""),"")</f>
        <v/>
      </c>
      <c r="D906" s="8" t="str">
        <f>IFERROR(__xludf.DUMMYFUNCTION("""COMPUTED_VALUE"""),"")</f>
        <v/>
      </c>
      <c r="E906" s="8" t="str">
        <f>IFERROR(__xludf.DUMMYFUNCTION("""COMPUTED_VALUE"""),"")</f>
        <v/>
      </c>
      <c r="F906" s="8" t="str">
        <f>IFERROR(__xludf.DUMMYFUNCTION("""COMPUTED_VALUE"""),"")</f>
        <v/>
      </c>
      <c r="G906" s="8" t="str">
        <f>IFERROR(__xludf.DUMMYFUNCTION("""COMPUTED_VALUE"""),"")</f>
        <v/>
      </c>
      <c r="L906" s="8" t="s">
        <v>299</v>
      </c>
    </row>
    <row r="907">
      <c r="A907" s="10"/>
      <c r="B907" s="8" t="str">
        <f>IFERROR(__xludf.DUMMYFUNCTION("""COMPUTED_VALUE"""),"")</f>
        <v/>
      </c>
      <c r="C907" s="8" t="str">
        <f>IFERROR(__xludf.DUMMYFUNCTION("""COMPUTED_VALUE"""),"")</f>
        <v/>
      </c>
      <c r="D907" s="8" t="str">
        <f>IFERROR(__xludf.DUMMYFUNCTION("""COMPUTED_VALUE"""),"")</f>
        <v/>
      </c>
      <c r="E907" s="8" t="str">
        <f>IFERROR(__xludf.DUMMYFUNCTION("""COMPUTED_VALUE"""),"")</f>
        <v/>
      </c>
      <c r="F907" s="8" t="str">
        <f>IFERROR(__xludf.DUMMYFUNCTION("""COMPUTED_VALUE"""),"")</f>
        <v/>
      </c>
      <c r="G907" s="8" t="str">
        <f>IFERROR(__xludf.DUMMYFUNCTION("""COMPUTED_VALUE"""),"")</f>
        <v/>
      </c>
      <c r="L907" s="8" t="s">
        <v>299</v>
      </c>
    </row>
    <row r="908">
      <c r="A908" s="10"/>
      <c r="B908" s="8" t="str">
        <f>IFERROR(__xludf.DUMMYFUNCTION("""COMPUTED_VALUE"""),"")</f>
        <v/>
      </c>
      <c r="C908" s="8" t="str">
        <f>IFERROR(__xludf.DUMMYFUNCTION("""COMPUTED_VALUE"""),"")</f>
        <v/>
      </c>
      <c r="D908" s="8" t="str">
        <f>IFERROR(__xludf.DUMMYFUNCTION("""COMPUTED_VALUE"""),"")</f>
        <v/>
      </c>
      <c r="E908" s="8" t="str">
        <f>IFERROR(__xludf.DUMMYFUNCTION("""COMPUTED_VALUE"""),"")</f>
        <v/>
      </c>
      <c r="F908" s="8" t="str">
        <f>IFERROR(__xludf.DUMMYFUNCTION("""COMPUTED_VALUE"""),"")</f>
        <v/>
      </c>
      <c r="G908" s="8" t="str">
        <f>IFERROR(__xludf.DUMMYFUNCTION("""COMPUTED_VALUE"""),"")</f>
        <v/>
      </c>
      <c r="L908" s="8" t="s">
        <v>299</v>
      </c>
    </row>
    <row r="909">
      <c r="A909" s="10"/>
      <c r="B909" s="8" t="str">
        <f>IFERROR(__xludf.DUMMYFUNCTION("""COMPUTED_VALUE"""),"")</f>
        <v/>
      </c>
      <c r="C909" s="8" t="str">
        <f>IFERROR(__xludf.DUMMYFUNCTION("""COMPUTED_VALUE"""),"")</f>
        <v/>
      </c>
      <c r="D909" s="8" t="str">
        <f>IFERROR(__xludf.DUMMYFUNCTION("""COMPUTED_VALUE"""),"")</f>
        <v/>
      </c>
      <c r="E909" s="8" t="str">
        <f>IFERROR(__xludf.DUMMYFUNCTION("""COMPUTED_VALUE"""),"")</f>
        <v/>
      </c>
      <c r="F909" s="8" t="str">
        <f>IFERROR(__xludf.DUMMYFUNCTION("""COMPUTED_VALUE"""),"")</f>
        <v/>
      </c>
      <c r="G909" s="8" t="str">
        <f>IFERROR(__xludf.DUMMYFUNCTION("""COMPUTED_VALUE"""),"")</f>
        <v/>
      </c>
      <c r="L909" s="8" t="s">
        <v>299</v>
      </c>
    </row>
    <row r="910">
      <c r="A910" s="10"/>
      <c r="B910" s="8" t="str">
        <f>IFERROR(__xludf.DUMMYFUNCTION("""COMPUTED_VALUE"""),"")</f>
        <v/>
      </c>
      <c r="C910" s="8" t="str">
        <f>IFERROR(__xludf.DUMMYFUNCTION("""COMPUTED_VALUE"""),"")</f>
        <v/>
      </c>
      <c r="D910" s="8" t="str">
        <f>IFERROR(__xludf.DUMMYFUNCTION("""COMPUTED_VALUE"""),"")</f>
        <v/>
      </c>
      <c r="E910" s="8" t="str">
        <f>IFERROR(__xludf.DUMMYFUNCTION("""COMPUTED_VALUE"""),"")</f>
        <v/>
      </c>
      <c r="F910" s="8" t="str">
        <f>IFERROR(__xludf.DUMMYFUNCTION("""COMPUTED_VALUE"""),"")</f>
        <v/>
      </c>
      <c r="G910" s="8" t="str">
        <f>IFERROR(__xludf.DUMMYFUNCTION("""COMPUTED_VALUE"""),"")</f>
        <v/>
      </c>
      <c r="L910" s="8" t="s">
        <v>299</v>
      </c>
    </row>
    <row r="911">
      <c r="A911" s="10"/>
      <c r="B911" s="8" t="str">
        <f>IFERROR(__xludf.DUMMYFUNCTION("""COMPUTED_VALUE"""),"")</f>
        <v/>
      </c>
      <c r="C911" s="8" t="str">
        <f>IFERROR(__xludf.DUMMYFUNCTION("""COMPUTED_VALUE"""),"")</f>
        <v/>
      </c>
      <c r="D911" s="8" t="str">
        <f>IFERROR(__xludf.DUMMYFUNCTION("""COMPUTED_VALUE"""),"")</f>
        <v/>
      </c>
      <c r="E911" s="8" t="str">
        <f>IFERROR(__xludf.DUMMYFUNCTION("""COMPUTED_VALUE"""),"")</f>
        <v/>
      </c>
      <c r="F911" s="8" t="str">
        <f>IFERROR(__xludf.DUMMYFUNCTION("""COMPUTED_VALUE"""),"")</f>
        <v/>
      </c>
      <c r="G911" s="8" t="str">
        <f>IFERROR(__xludf.DUMMYFUNCTION("""COMPUTED_VALUE"""),"")</f>
        <v/>
      </c>
      <c r="L911" s="8" t="s">
        <v>299</v>
      </c>
    </row>
    <row r="912">
      <c r="A912" s="10"/>
      <c r="B912" s="8" t="str">
        <f>IFERROR(__xludf.DUMMYFUNCTION("""COMPUTED_VALUE"""),"")</f>
        <v/>
      </c>
      <c r="C912" s="8" t="str">
        <f>IFERROR(__xludf.DUMMYFUNCTION("""COMPUTED_VALUE"""),"")</f>
        <v/>
      </c>
      <c r="D912" s="8" t="str">
        <f>IFERROR(__xludf.DUMMYFUNCTION("""COMPUTED_VALUE"""),"")</f>
        <v/>
      </c>
      <c r="E912" s="8" t="str">
        <f>IFERROR(__xludf.DUMMYFUNCTION("""COMPUTED_VALUE"""),"")</f>
        <v/>
      </c>
      <c r="F912" s="8" t="str">
        <f>IFERROR(__xludf.DUMMYFUNCTION("""COMPUTED_VALUE"""),"")</f>
        <v/>
      </c>
      <c r="G912" s="8" t="str">
        <f>IFERROR(__xludf.DUMMYFUNCTION("""COMPUTED_VALUE"""),"")</f>
        <v/>
      </c>
      <c r="L912" s="8" t="s">
        <v>299</v>
      </c>
    </row>
    <row r="913">
      <c r="A913" s="10"/>
      <c r="B913" s="8" t="str">
        <f>IFERROR(__xludf.DUMMYFUNCTION("""COMPUTED_VALUE"""),"")</f>
        <v/>
      </c>
      <c r="C913" s="8" t="str">
        <f>IFERROR(__xludf.DUMMYFUNCTION("""COMPUTED_VALUE"""),"")</f>
        <v/>
      </c>
      <c r="D913" s="8" t="str">
        <f>IFERROR(__xludf.DUMMYFUNCTION("""COMPUTED_VALUE"""),"")</f>
        <v/>
      </c>
      <c r="E913" s="8" t="str">
        <f>IFERROR(__xludf.DUMMYFUNCTION("""COMPUTED_VALUE"""),"")</f>
        <v/>
      </c>
      <c r="F913" s="8" t="str">
        <f>IFERROR(__xludf.DUMMYFUNCTION("""COMPUTED_VALUE"""),"")</f>
        <v/>
      </c>
      <c r="G913" s="8" t="str">
        <f>IFERROR(__xludf.DUMMYFUNCTION("""COMPUTED_VALUE"""),"")</f>
        <v/>
      </c>
      <c r="L913" s="8" t="s">
        <v>299</v>
      </c>
    </row>
    <row r="914">
      <c r="A914" s="10"/>
      <c r="B914" s="8" t="str">
        <f>IFERROR(__xludf.DUMMYFUNCTION("""COMPUTED_VALUE"""),"")</f>
        <v/>
      </c>
      <c r="C914" s="8" t="str">
        <f>IFERROR(__xludf.DUMMYFUNCTION("""COMPUTED_VALUE"""),"")</f>
        <v/>
      </c>
      <c r="D914" s="8" t="str">
        <f>IFERROR(__xludf.DUMMYFUNCTION("""COMPUTED_VALUE"""),"")</f>
        <v/>
      </c>
      <c r="E914" s="8" t="str">
        <f>IFERROR(__xludf.DUMMYFUNCTION("""COMPUTED_VALUE"""),"")</f>
        <v/>
      </c>
      <c r="F914" s="8" t="str">
        <f>IFERROR(__xludf.DUMMYFUNCTION("""COMPUTED_VALUE"""),"")</f>
        <v/>
      </c>
      <c r="G914" s="8" t="str">
        <f>IFERROR(__xludf.DUMMYFUNCTION("""COMPUTED_VALUE"""),"")</f>
        <v/>
      </c>
      <c r="L914" s="8" t="s">
        <v>299</v>
      </c>
    </row>
    <row r="915">
      <c r="A915" s="10"/>
      <c r="B915" s="8" t="str">
        <f>IFERROR(__xludf.DUMMYFUNCTION("""COMPUTED_VALUE"""),"")</f>
        <v/>
      </c>
      <c r="C915" s="8" t="str">
        <f>IFERROR(__xludf.DUMMYFUNCTION("""COMPUTED_VALUE"""),"")</f>
        <v/>
      </c>
      <c r="D915" s="8" t="str">
        <f>IFERROR(__xludf.DUMMYFUNCTION("""COMPUTED_VALUE"""),"")</f>
        <v/>
      </c>
      <c r="E915" s="8" t="str">
        <f>IFERROR(__xludf.DUMMYFUNCTION("""COMPUTED_VALUE"""),"")</f>
        <v/>
      </c>
      <c r="F915" s="8" t="str">
        <f>IFERROR(__xludf.DUMMYFUNCTION("""COMPUTED_VALUE"""),"")</f>
        <v/>
      </c>
      <c r="G915" s="8" t="str">
        <f>IFERROR(__xludf.DUMMYFUNCTION("""COMPUTED_VALUE"""),"")</f>
        <v/>
      </c>
      <c r="L915" s="8" t="s">
        <v>299</v>
      </c>
    </row>
    <row r="916">
      <c r="A916" s="10"/>
      <c r="B916" s="8" t="str">
        <f>IFERROR(__xludf.DUMMYFUNCTION("""COMPUTED_VALUE"""),"")</f>
        <v/>
      </c>
      <c r="C916" s="8" t="str">
        <f>IFERROR(__xludf.DUMMYFUNCTION("""COMPUTED_VALUE"""),"")</f>
        <v/>
      </c>
      <c r="D916" s="8" t="str">
        <f>IFERROR(__xludf.DUMMYFUNCTION("""COMPUTED_VALUE"""),"")</f>
        <v/>
      </c>
      <c r="E916" s="8" t="str">
        <f>IFERROR(__xludf.DUMMYFUNCTION("""COMPUTED_VALUE"""),"")</f>
        <v/>
      </c>
      <c r="F916" s="8" t="str">
        <f>IFERROR(__xludf.DUMMYFUNCTION("""COMPUTED_VALUE"""),"")</f>
        <v/>
      </c>
      <c r="G916" s="8" t="str">
        <f>IFERROR(__xludf.DUMMYFUNCTION("""COMPUTED_VALUE"""),"")</f>
        <v/>
      </c>
      <c r="L916" s="8" t="s">
        <v>299</v>
      </c>
    </row>
    <row r="917">
      <c r="A917" s="10"/>
      <c r="B917" s="8" t="str">
        <f>IFERROR(__xludf.DUMMYFUNCTION("""COMPUTED_VALUE"""),"")</f>
        <v/>
      </c>
      <c r="C917" s="8" t="str">
        <f>IFERROR(__xludf.DUMMYFUNCTION("""COMPUTED_VALUE"""),"")</f>
        <v/>
      </c>
      <c r="D917" s="8" t="str">
        <f>IFERROR(__xludf.DUMMYFUNCTION("""COMPUTED_VALUE"""),"")</f>
        <v/>
      </c>
      <c r="E917" s="8" t="str">
        <f>IFERROR(__xludf.DUMMYFUNCTION("""COMPUTED_VALUE"""),"")</f>
        <v/>
      </c>
      <c r="F917" s="8" t="str">
        <f>IFERROR(__xludf.DUMMYFUNCTION("""COMPUTED_VALUE"""),"")</f>
        <v/>
      </c>
      <c r="G917" s="8" t="str">
        <f>IFERROR(__xludf.DUMMYFUNCTION("""COMPUTED_VALUE"""),"")</f>
        <v/>
      </c>
      <c r="L917" s="8" t="s">
        <v>299</v>
      </c>
    </row>
    <row r="918">
      <c r="A918" s="10"/>
      <c r="B918" s="8" t="str">
        <f>IFERROR(__xludf.DUMMYFUNCTION("""COMPUTED_VALUE"""),"")</f>
        <v/>
      </c>
      <c r="C918" s="8" t="str">
        <f>IFERROR(__xludf.DUMMYFUNCTION("""COMPUTED_VALUE"""),"")</f>
        <v/>
      </c>
      <c r="D918" s="8" t="str">
        <f>IFERROR(__xludf.DUMMYFUNCTION("""COMPUTED_VALUE"""),"")</f>
        <v/>
      </c>
      <c r="E918" s="8" t="str">
        <f>IFERROR(__xludf.DUMMYFUNCTION("""COMPUTED_VALUE"""),"")</f>
        <v/>
      </c>
      <c r="F918" s="8" t="str">
        <f>IFERROR(__xludf.DUMMYFUNCTION("""COMPUTED_VALUE"""),"")</f>
        <v/>
      </c>
      <c r="G918" s="8" t="str">
        <f>IFERROR(__xludf.DUMMYFUNCTION("""COMPUTED_VALUE"""),"")</f>
        <v/>
      </c>
      <c r="L918" s="8" t="s">
        <v>299</v>
      </c>
    </row>
    <row r="919">
      <c r="A919" s="10"/>
      <c r="B919" s="8" t="str">
        <f>IFERROR(__xludf.DUMMYFUNCTION("""COMPUTED_VALUE"""),"")</f>
        <v/>
      </c>
      <c r="C919" s="8" t="str">
        <f>IFERROR(__xludf.DUMMYFUNCTION("""COMPUTED_VALUE"""),"")</f>
        <v/>
      </c>
      <c r="D919" s="8" t="str">
        <f>IFERROR(__xludf.DUMMYFUNCTION("""COMPUTED_VALUE"""),"")</f>
        <v/>
      </c>
      <c r="E919" s="8" t="str">
        <f>IFERROR(__xludf.DUMMYFUNCTION("""COMPUTED_VALUE"""),"")</f>
        <v/>
      </c>
      <c r="F919" s="8" t="str">
        <f>IFERROR(__xludf.DUMMYFUNCTION("""COMPUTED_VALUE"""),"")</f>
        <v/>
      </c>
      <c r="G919" s="8" t="str">
        <f>IFERROR(__xludf.DUMMYFUNCTION("""COMPUTED_VALUE"""),"")</f>
        <v/>
      </c>
      <c r="L919" s="8" t="s">
        <v>299</v>
      </c>
    </row>
    <row r="920">
      <c r="A920" s="10"/>
      <c r="B920" s="8" t="str">
        <f>IFERROR(__xludf.DUMMYFUNCTION("""COMPUTED_VALUE"""),"")</f>
        <v/>
      </c>
      <c r="C920" s="8" t="str">
        <f>IFERROR(__xludf.DUMMYFUNCTION("""COMPUTED_VALUE"""),"")</f>
        <v/>
      </c>
      <c r="D920" s="8" t="str">
        <f>IFERROR(__xludf.DUMMYFUNCTION("""COMPUTED_VALUE"""),"")</f>
        <v/>
      </c>
      <c r="E920" s="8" t="str">
        <f>IFERROR(__xludf.DUMMYFUNCTION("""COMPUTED_VALUE"""),"")</f>
        <v/>
      </c>
      <c r="F920" s="8" t="str">
        <f>IFERROR(__xludf.DUMMYFUNCTION("""COMPUTED_VALUE"""),"")</f>
        <v/>
      </c>
      <c r="G920" s="8" t="str">
        <f>IFERROR(__xludf.DUMMYFUNCTION("""COMPUTED_VALUE"""),"")</f>
        <v/>
      </c>
      <c r="L920" s="8" t="s">
        <v>299</v>
      </c>
    </row>
    <row r="921">
      <c r="A921" s="10"/>
      <c r="B921" s="8" t="str">
        <f>IFERROR(__xludf.DUMMYFUNCTION("""COMPUTED_VALUE"""),"")</f>
        <v/>
      </c>
      <c r="C921" s="8" t="str">
        <f>IFERROR(__xludf.DUMMYFUNCTION("""COMPUTED_VALUE"""),"")</f>
        <v/>
      </c>
      <c r="D921" s="8" t="str">
        <f>IFERROR(__xludf.DUMMYFUNCTION("""COMPUTED_VALUE"""),"")</f>
        <v/>
      </c>
      <c r="E921" s="8" t="str">
        <f>IFERROR(__xludf.DUMMYFUNCTION("""COMPUTED_VALUE"""),"")</f>
        <v/>
      </c>
      <c r="F921" s="8" t="str">
        <f>IFERROR(__xludf.DUMMYFUNCTION("""COMPUTED_VALUE"""),"")</f>
        <v/>
      </c>
      <c r="G921" s="8" t="str">
        <f>IFERROR(__xludf.DUMMYFUNCTION("""COMPUTED_VALUE"""),"")</f>
        <v/>
      </c>
      <c r="L921" s="8" t="s">
        <v>299</v>
      </c>
    </row>
    <row r="922">
      <c r="A922" s="10"/>
      <c r="B922" s="8" t="str">
        <f>IFERROR(__xludf.DUMMYFUNCTION("""COMPUTED_VALUE"""),"")</f>
        <v/>
      </c>
      <c r="C922" s="8" t="str">
        <f>IFERROR(__xludf.DUMMYFUNCTION("""COMPUTED_VALUE"""),"")</f>
        <v/>
      </c>
      <c r="D922" s="8" t="str">
        <f>IFERROR(__xludf.DUMMYFUNCTION("""COMPUTED_VALUE"""),"")</f>
        <v/>
      </c>
      <c r="E922" s="8" t="str">
        <f>IFERROR(__xludf.DUMMYFUNCTION("""COMPUTED_VALUE"""),"")</f>
        <v/>
      </c>
      <c r="F922" s="8" t="str">
        <f>IFERROR(__xludf.DUMMYFUNCTION("""COMPUTED_VALUE"""),"")</f>
        <v/>
      </c>
      <c r="G922" s="8" t="str">
        <f>IFERROR(__xludf.DUMMYFUNCTION("""COMPUTED_VALUE"""),"")</f>
        <v/>
      </c>
      <c r="L922" s="8" t="s">
        <v>299</v>
      </c>
    </row>
    <row r="923">
      <c r="A923" s="10"/>
      <c r="B923" s="8" t="str">
        <f>IFERROR(__xludf.DUMMYFUNCTION("""COMPUTED_VALUE"""),"")</f>
        <v/>
      </c>
      <c r="C923" s="8" t="str">
        <f>IFERROR(__xludf.DUMMYFUNCTION("""COMPUTED_VALUE"""),"")</f>
        <v/>
      </c>
      <c r="D923" s="8" t="str">
        <f>IFERROR(__xludf.DUMMYFUNCTION("""COMPUTED_VALUE"""),"")</f>
        <v/>
      </c>
      <c r="E923" s="8" t="str">
        <f>IFERROR(__xludf.DUMMYFUNCTION("""COMPUTED_VALUE"""),"")</f>
        <v/>
      </c>
      <c r="F923" s="8" t="str">
        <f>IFERROR(__xludf.DUMMYFUNCTION("""COMPUTED_VALUE"""),"")</f>
        <v/>
      </c>
      <c r="G923" s="8" t="str">
        <f>IFERROR(__xludf.DUMMYFUNCTION("""COMPUTED_VALUE"""),"")</f>
        <v/>
      </c>
      <c r="L923" s="8" t="s">
        <v>299</v>
      </c>
    </row>
    <row r="924">
      <c r="A924" s="10"/>
      <c r="B924" s="8" t="str">
        <f>IFERROR(__xludf.DUMMYFUNCTION("""COMPUTED_VALUE"""),"")</f>
        <v/>
      </c>
      <c r="C924" s="8" t="str">
        <f>IFERROR(__xludf.DUMMYFUNCTION("""COMPUTED_VALUE"""),"")</f>
        <v/>
      </c>
      <c r="D924" s="8" t="str">
        <f>IFERROR(__xludf.DUMMYFUNCTION("""COMPUTED_VALUE"""),"")</f>
        <v/>
      </c>
      <c r="E924" s="8" t="str">
        <f>IFERROR(__xludf.DUMMYFUNCTION("""COMPUTED_VALUE"""),"")</f>
        <v/>
      </c>
      <c r="F924" s="8" t="str">
        <f>IFERROR(__xludf.DUMMYFUNCTION("""COMPUTED_VALUE"""),"")</f>
        <v/>
      </c>
      <c r="G924" s="8" t="str">
        <f>IFERROR(__xludf.DUMMYFUNCTION("""COMPUTED_VALUE"""),"")</f>
        <v/>
      </c>
      <c r="L924" s="8" t="s">
        <v>299</v>
      </c>
    </row>
    <row r="925">
      <c r="A925" s="10"/>
      <c r="B925" s="8" t="str">
        <f>IFERROR(__xludf.DUMMYFUNCTION("""COMPUTED_VALUE"""),"")</f>
        <v/>
      </c>
      <c r="C925" s="8" t="str">
        <f>IFERROR(__xludf.DUMMYFUNCTION("""COMPUTED_VALUE"""),"")</f>
        <v/>
      </c>
      <c r="D925" s="8" t="str">
        <f>IFERROR(__xludf.DUMMYFUNCTION("""COMPUTED_VALUE"""),"")</f>
        <v/>
      </c>
      <c r="E925" s="8" t="str">
        <f>IFERROR(__xludf.DUMMYFUNCTION("""COMPUTED_VALUE"""),"")</f>
        <v/>
      </c>
      <c r="F925" s="8" t="str">
        <f>IFERROR(__xludf.DUMMYFUNCTION("""COMPUTED_VALUE"""),"")</f>
        <v/>
      </c>
      <c r="G925" s="8" t="str">
        <f>IFERROR(__xludf.DUMMYFUNCTION("""COMPUTED_VALUE"""),"")</f>
        <v/>
      </c>
      <c r="L925" s="8" t="s">
        <v>299</v>
      </c>
    </row>
    <row r="926">
      <c r="A926" s="10"/>
      <c r="B926" s="8" t="str">
        <f>IFERROR(__xludf.DUMMYFUNCTION("""COMPUTED_VALUE"""),"")</f>
        <v/>
      </c>
      <c r="C926" s="8" t="str">
        <f>IFERROR(__xludf.DUMMYFUNCTION("""COMPUTED_VALUE"""),"")</f>
        <v/>
      </c>
      <c r="D926" s="8" t="str">
        <f>IFERROR(__xludf.DUMMYFUNCTION("""COMPUTED_VALUE"""),"")</f>
        <v/>
      </c>
      <c r="E926" s="8" t="str">
        <f>IFERROR(__xludf.DUMMYFUNCTION("""COMPUTED_VALUE"""),"")</f>
        <v/>
      </c>
      <c r="F926" s="8" t="str">
        <f>IFERROR(__xludf.DUMMYFUNCTION("""COMPUTED_VALUE"""),"")</f>
        <v/>
      </c>
      <c r="G926" s="8" t="str">
        <f>IFERROR(__xludf.DUMMYFUNCTION("""COMPUTED_VALUE"""),"")</f>
        <v/>
      </c>
      <c r="L926" s="8" t="s">
        <v>299</v>
      </c>
    </row>
    <row r="927">
      <c r="A927" s="10"/>
      <c r="B927" s="8" t="str">
        <f>IFERROR(__xludf.DUMMYFUNCTION("""COMPUTED_VALUE"""),"")</f>
        <v/>
      </c>
      <c r="C927" s="8" t="str">
        <f>IFERROR(__xludf.DUMMYFUNCTION("""COMPUTED_VALUE"""),"")</f>
        <v/>
      </c>
      <c r="D927" s="8" t="str">
        <f>IFERROR(__xludf.DUMMYFUNCTION("""COMPUTED_VALUE"""),"")</f>
        <v/>
      </c>
      <c r="E927" s="8" t="str">
        <f>IFERROR(__xludf.DUMMYFUNCTION("""COMPUTED_VALUE"""),"")</f>
        <v/>
      </c>
      <c r="F927" s="8" t="str">
        <f>IFERROR(__xludf.DUMMYFUNCTION("""COMPUTED_VALUE"""),"")</f>
        <v/>
      </c>
      <c r="G927" s="8" t="str">
        <f>IFERROR(__xludf.DUMMYFUNCTION("""COMPUTED_VALUE"""),"")</f>
        <v/>
      </c>
      <c r="L927" s="8" t="s">
        <v>299</v>
      </c>
    </row>
    <row r="928">
      <c r="A928" s="10"/>
      <c r="B928" s="8" t="str">
        <f>IFERROR(__xludf.DUMMYFUNCTION("""COMPUTED_VALUE"""),"")</f>
        <v/>
      </c>
      <c r="C928" s="8" t="str">
        <f>IFERROR(__xludf.DUMMYFUNCTION("""COMPUTED_VALUE"""),"")</f>
        <v/>
      </c>
      <c r="D928" s="8" t="str">
        <f>IFERROR(__xludf.DUMMYFUNCTION("""COMPUTED_VALUE"""),"")</f>
        <v/>
      </c>
      <c r="E928" s="8" t="str">
        <f>IFERROR(__xludf.DUMMYFUNCTION("""COMPUTED_VALUE"""),"")</f>
        <v/>
      </c>
      <c r="F928" s="8" t="str">
        <f>IFERROR(__xludf.DUMMYFUNCTION("""COMPUTED_VALUE"""),"")</f>
        <v/>
      </c>
      <c r="G928" s="8" t="str">
        <f>IFERROR(__xludf.DUMMYFUNCTION("""COMPUTED_VALUE"""),"")</f>
        <v/>
      </c>
      <c r="L928" s="8" t="s">
        <v>299</v>
      </c>
    </row>
    <row r="929">
      <c r="A929" s="10"/>
      <c r="B929" s="8" t="str">
        <f>IFERROR(__xludf.DUMMYFUNCTION("""COMPUTED_VALUE"""),"")</f>
        <v/>
      </c>
      <c r="C929" s="8" t="str">
        <f>IFERROR(__xludf.DUMMYFUNCTION("""COMPUTED_VALUE"""),"")</f>
        <v/>
      </c>
      <c r="D929" s="8" t="str">
        <f>IFERROR(__xludf.DUMMYFUNCTION("""COMPUTED_VALUE"""),"")</f>
        <v/>
      </c>
      <c r="E929" s="8" t="str">
        <f>IFERROR(__xludf.DUMMYFUNCTION("""COMPUTED_VALUE"""),"")</f>
        <v/>
      </c>
      <c r="F929" s="8" t="str">
        <f>IFERROR(__xludf.DUMMYFUNCTION("""COMPUTED_VALUE"""),"")</f>
        <v/>
      </c>
      <c r="G929" s="8" t="str">
        <f>IFERROR(__xludf.DUMMYFUNCTION("""COMPUTED_VALUE"""),"")</f>
        <v/>
      </c>
      <c r="L929" s="8" t="s">
        <v>299</v>
      </c>
    </row>
    <row r="930">
      <c r="A930" s="10"/>
      <c r="B930" s="8" t="str">
        <f>IFERROR(__xludf.DUMMYFUNCTION("""COMPUTED_VALUE"""),"")</f>
        <v/>
      </c>
      <c r="C930" s="8" t="str">
        <f>IFERROR(__xludf.DUMMYFUNCTION("""COMPUTED_VALUE"""),"")</f>
        <v/>
      </c>
      <c r="D930" s="8" t="str">
        <f>IFERROR(__xludf.DUMMYFUNCTION("""COMPUTED_VALUE"""),"")</f>
        <v/>
      </c>
      <c r="E930" s="8" t="str">
        <f>IFERROR(__xludf.DUMMYFUNCTION("""COMPUTED_VALUE"""),"")</f>
        <v/>
      </c>
      <c r="F930" s="8" t="str">
        <f>IFERROR(__xludf.DUMMYFUNCTION("""COMPUTED_VALUE"""),"")</f>
        <v/>
      </c>
      <c r="G930" s="8" t="str">
        <f>IFERROR(__xludf.DUMMYFUNCTION("""COMPUTED_VALUE"""),"")</f>
        <v/>
      </c>
      <c r="L930" s="8" t="s">
        <v>299</v>
      </c>
    </row>
    <row r="931">
      <c r="A931" s="10"/>
      <c r="B931" s="8" t="str">
        <f>IFERROR(__xludf.DUMMYFUNCTION("""COMPUTED_VALUE"""),"")</f>
        <v/>
      </c>
      <c r="C931" s="8" t="str">
        <f>IFERROR(__xludf.DUMMYFUNCTION("""COMPUTED_VALUE"""),"")</f>
        <v/>
      </c>
      <c r="D931" s="8" t="str">
        <f>IFERROR(__xludf.DUMMYFUNCTION("""COMPUTED_VALUE"""),"")</f>
        <v/>
      </c>
      <c r="E931" s="8" t="str">
        <f>IFERROR(__xludf.DUMMYFUNCTION("""COMPUTED_VALUE"""),"")</f>
        <v/>
      </c>
      <c r="F931" s="8" t="str">
        <f>IFERROR(__xludf.DUMMYFUNCTION("""COMPUTED_VALUE"""),"")</f>
        <v/>
      </c>
      <c r="G931" s="8" t="str">
        <f>IFERROR(__xludf.DUMMYFUNCTION("""COMPUTED_VALUE"""),"")</f>
        <v/>
      </c>
      <c r="L931" s="8" t="s">
        <v>299</v>
      </c>
    </row>
    <row r="932">
      <c r="A932" s="10"/>
      <c r="B932" s="8" t="str">
        <f>IFERROR(__xludf.DUMMYFUNCTION("""COMPUTED_VALUE"""),"")</f>
        <v/>
      </c>
      <c r="C932" s="8" t="str">
        <f>IFERROR(__xludf.DUMMYFUNCTION("""COMPUTED_VALUE"""),"")</f>
        <v/>
      </c>
      <c r="D932" s="8" t="str">
        <f>IFERROR(__xludf.DUMMYFUNCTION("""COMPUTED_VALUE"""),"")</f>
        <v/>
      </c>
      <c r="E932" s="8" t="str">
        <f>IFERROR(__xludf.DUMMYFUNCTION("""COMPUTED_VALUE"""),"")</f>
        <v/>
      </c>
      <c r="F932" s="8" t="str">
        <f>IFERROR(__xludf.DUMMYFUNCTION("""COMPUTED_VALUE"""),"")</f>
        <v/>
      </c>
      <c r="G932" s="8" t="str">
        <f>IFERROR(__xludf.DUMMYFUNCTION("""COMPUTED_VALUE"""),"")</f>
        <v/>
      </c>
      <c r="L932" s="8" t="s">
        <v>299</v>
      </c>
    </row>
    <row r="933">
      <c r="A933" s="10"/>
      <c r="B933" s="8" t="str">
        <f>IFERROR(__xludf.DUMMYFUNCTION("""COMPUTED_VALUE"""),"")</f>
        <v/>
      </c>
      <c r="C933" s="8" t="str">
        <f>IFERROR(__xludf.DUMMYFUNCTION("""COMPUTED_VALUE"""),"")</f>
        <v/>
      </c>
      <c r="D933" s="8" t="str">
        <f>IFERROR(__xludf.DUMMYFUNCTION("""COMPUTED_VALUE"""),"")</f>
        <v/>
      </c>
      <c r="E933" s="8" t="str">
        <f>IFERROR(__xludf.DUMMYFUNCTION("""COMPUTED_VALUE"""),"")</f>
        <v/>
      </c>
      <c r="F933" s="8" t="str">
        <f>IFERROR(__xludf.DUMMYFUNCTION("""COMPUTED_VALUE"""),"")</f>
        <v/>
      </c>
      <c r="G933" s="8" t="str">
        <f>IFERROR(__xludf.DUMMYFUNCTION("""COMPUTED_VALUE"""),"")</f>
        <v/>
      </c>
      <c r="L933" s="8" t="s">
        <v>299</v>
      </c>
    </row>
    <row r="934">
      <c r="A934" s="10"/>
      <c r="B934" s="8" t="str">
        <f>IFERROR(__xludf.DUMMYFUNCTION("""COMPUTED_VALUE"""),"")</f>
        <v/>
      </c>
      <c r="C934" s="8" t="str">
        <f>IFERROR(__xludf.DUMMYFUNCTION("""COMPUTED_VALUE"""),"")</f>
        <v/>
      </c>
      <c r="D934" s="8" t="str">
        <f>IFERROR(__xludf.DUMMYFUNCTION("""COMPUTED_VALUE"""),"")</f>
        <v/>
      </c>
      <c r="E934" s="8" t="str">
        <f>IFERROR(__xludf.DUMMYFUNCTION("""COMPUTED_VALUE"""),"")</f>
        <v/>
      </c>
      <c r="F934" s="8" t="str">
        <f>IFERROR(__xludf.DUMMYFUNCTION("""COMPUTED_VALUE"""),"")</f>
        <v/>
      </c>
      <c r="G934" s="8" t="str">
        <f>IFERROR(__xludf.DUMMYFUNCTION("""COMPUTED_VALUE"""),"")</f>
        <v/>
      </c>
      <c r="L934" s="8" t="s">
        <v>299</v>
      </c>
    </row>
    <row r="935">
      <c r="A935" s="10"/>
      <c r="B935" s="8" t="str">
        <f>IFERROR(__xludf.DUMMYFUNCTION("""COMPUTED_VALUE"""),"")</f>
        <v/>
      </c>
      <c r="C935" s="8" t="str">
        <f>IFERROR(__xludf.DUMMYFUNCTION("""COMPUTED_VALUE"""),"")</f>
        <v/>
      </c>
      <c r="D935" s="8" t="str">
        <f>IFERROR(__xludf.DUMMYFUNCTION("""COMPUTED_VALUE"""),"")</f>
        <v/>
      </c>
      <c r="E935" s="8" t="str">
        <f>IFERROR(__xludf.DUMMYFUNCTION("""COMPUTED_VALUE"""),"")</f>
        <v/>
      </c>
      <c r="F935" s="8" t="str">
        <f>IFERROR(__xludf.DUMMYFUNCTION("""COMPUTED_VALUE"""),"")</f>
        <v/>
      </c>
      <c r="G935" s="8" t="str">
        <f>IFERROR(__xludf.DUMMYFUNCTION("""COMPUTED_VALUE"""),"")</f>
        <v/>
      </c>
      <c r="L935" s="8" t="s">
        <v>299</v>
      </c>
    </row>
    <row r="936">
      <c r="A936" s="10"/>
      <c r="B936" s="8" t="str">
        <f>IFERROR(__xludf.DUMMYFUNCTION("""COMPUTED_VALUE"""),"")</f>
        <v/>
      </c>
      <c r="C936" s="8" t="str">
        <f>IFERROR(__xludf.DUMMYFUNCTION("""COMPUTED_VALUE"""),"")</f>
        <v/>
      </c>
      <c r="D936" s="8" t="str">
        <f>IFERROR(__xludf.DUMMYFUNCTION("""COMPUTED_VALUE"""),"")</f>
        <v/>
      </c>
      <c r="E936" s="8" t="str">
        <f>IFERROR(__xludf.DUMMYFUNCTION("""COMPUTED_VALUE"""),"")</f>
        <v/>
      </c>
      <c r="F936" s="8" t="str">
        <f>IFERROR(__xludf.DUMMYFUNCTION("""COMPUTED_VALUE"""),"")</f>
        <v/>
      </c>
      <c r="G936" s="8" t="str">
        <f>IFERROR(__xludf.DUMMYFUNCTION("""COMPUTED_VALUE"""),"")</f>
        <v/>
      </c>
      <c r="L936" s="8" t="s">
        <v>299</v>
      </c>
    </row>
    <row r="937">
      <c r="A937" s="10"/>
      <c r="B937" s="8" t="str">
        <f>IFERROR(__xludf.DUMMYFUNCTION("""COMPUTED_VALUE"""),"")</f>
        <v/>
      </c>
      <c r="C937" s="8" t="str">
        <f>IFERROR(__xludf.DUMMYFUNCTION("""COMPUTED_VALUE"""),"")</f>
        <v/>
      </c>
      <c r="D937" s="8" t="str">
        <f>IFERROR(__xludf.DUMMYFUNCTION("""COMPUTED_VALUE"""),"")</f>
        <v/>
      </c>
      <c r="E937" s="8" t="str">
        <f>IFERROR(__xludf.DUMMYFUNCTION("""COMPUTED_VALUE"""),"")</f>
        <v/>
      </c>
      <c r="F937" s="8" t="str">
        <f>IFERROR(__xludf.DUMMYFUNCTION("""COMPUTED_VALUE"""),"")</f>
        <v/>
      </c>
      <c r="G937" s="8" t="str">
        <f>IFERROR(__xludf.DUMMYFUNCTION("""COMPUTED_VALUE"""),"")</f>
        <v/>
      </c>
      <c r="L937" s="8" t="s">
        <v>299</v>
      </c>
    </row>
    <row r="938">
      <c r="A938" s="10"/>
      <c r="B938" s="8" t="str">
        <f>IFERROR(__xludf.DUMMYFUNCTION("""COMPUTED_VALUE"""),"")</f>
        <v/>
      </c>
      <c r="C938" s="8" t="str">
        <f>IFERROR(__xludf.DUMMYFUNCTION("""COMPUTED_VALUE"""),"")</f>
        <v/>
      </c>
      <c r="D938" s="8" t="str">
        <f>IFERROR(__xludf.DUMMYFUNCTION("""COMPUTED_VALUE"""),"")</f>
        <v/>
      </c>
      <c r="E938" s="8" t="str">
        <f>IFERROR(__xludf.DUMMYFUNCTION("""COMPUTED_VALUE"""),"")</f>
        <v/>
      </c>
      <c r="F938" s="8" t="str">
        <f>IFERROR(__xludf.DUMMYFUNCTION("""COMPUTED_VALUE"""),"")</f>
        <v/>
      </c>
      <c r="G938" s="8" t="str">
        <f>IFERROR(__xludf.DUMMYFUNCTION("""COMPUTED_VALUE"""),"")</f>
        <v/>
      </c>
      <c r="L938" s="8" t="s">
        <v>299</v>
      </c>
    </row>
    <row r="939">
      <c r="A939" s="10"/>
      <c r="B939" s="8" t="str">
        <f>IFERROR(__xludf.DUMMYFUNCTION("""COMPUTED_VALUE"""),"")</f>
        <v/>
      </c>
      <c r="C939" s="8" t="str">
        <f>IFERROR(__xludf.DUMMYFUNCTION("""COMPUTED_VALUE"""),"")</f>
        <v/>
      </c>
      <c r="D939" s="8" t="str">
        <f>IFERROR(__xludf.DUMMYFUNCTION("""COMPUTED_VALUE"""),"")</f>
        <v/>
      </c>
      <c r="E939" s="8" t="str">
        <f>IFERROR(__xludf.DUMMYFUNCTION("""COMPUTED_VALUE"""),"")</f>
        <v/>
      </c>
      <c r="F939" s="8" t="str">
        <f>IFERROR(__xludf.DUMMYFUNCTION("""COMPUTED_VALUE"""),"")</f>
        <v/>
      </c>
      <c r="G939" s="8" t="str">
        <f>IFERROR(__xludf.DUMMYFUNCTION("""COMPUTED_VALUE"""),"")</f>
        <v/>
      </c>
      <c r="L939" s="8" t="s">
        <v>299</v>
      </c>
    </row>
    <row r="940">
      <c r="A940" s="10"/>
      <c r="B940" s="8" t="str">
        <f>IFERROR(__xludf.DUMMYFUNCTION("""COMPUTED_VALUE"""),"")</f>
        <v/>
      </c>
      <c r="C940" s="8" t="str">
        <f>IFERROR(__xludf.DUMMYFUNCTION("""COMPUTED_VALUE"""),"")</f>
        <v/>
      </c>
      <c r="D940" s="8" t="str">
        <f>IFERROR(__xludf.DUMMYFUNCTION("""COMPUTED_VALUE"""),"")</f>
        <v/>
      </c>
      <c r="E940" s="8" t="str">
        <f>IFERROR(__xludf.DUMMYFUNCTION("""COMPUTED_VALUE"""),"")</f>
        <v/>
      </c>
      <c r="F940" s="8" t="str">
        <f>IFERROR(__xludf.DUMMYFUNCTION("""COMPUTED_VALUE"""),"")</f>
        <v/>
      </c>
      <c r="G940" s="8" t="str">
        <f>IFERROR(__xludf.DUMMYFUNCTION("""COMPUTED_VALUE"""),"")</f>
        <v/>
      </c>
      <c r="L940" s="8" t="s">
        <v>299</v>
      </c>
    </row>
    <row r="941">
      <c r="A941" s="10"/>
      <c r="B941" s="8" t="str">
        <f>IFERROR(__xludf.DUMMYFUNCTION("""COMPUTED_VALUE"""),"")</f>
        <v/>
      </c>
      <c r="C941" s="8" t="str">
        <f>IFERROR(__xludf.DUMMYFUNCTION("""COMPUTED_VALUE"""),"")</f>
        <v/>
      </c>
      <c r="D941" s="8" t="str">
        <f>IFERROR(__xludf.DUMMYFUNCTION("""COMPUTED_VALUE"""),"")</f>
        <v/>
      </c>
      <c r="E941" s="8" t="str">
        <f>IFERROR(__xludf.DUMMYFUNCTION("""COMPUTED_VALUE"""),"")</f>
        <v/>
      </c>
      <c r="F941" s="8" t="str">
        <f>IFERROR(__xludf.DUMMYFUNCTION("""COMPUTED_VALUE"""),"")</f>
        <v/>
      </c>
      <c r="G941" s="8" t="str">
        <f>IFERROR(__xludf.DUMMYFUNCTION("""COMPUTED_VALUE"""),"")</f>
        <v/>
      </c>
      <c r="L941" s="8" t="s">
        <v>299</v>
      </c>
    </row>
    <row r="942">
      <c r="A942" s="10"/>
      <c r="B942" s="8" t="str">
        <f>IFERROR(__xludf.DUMMYFUNCTION("""COMPUTED_VALUE"""),"")</f>
        <v/>
      </c>
      <c r="C942" s="8" t="str">
        <f>IFERROR(__xludf.DUMMYFUNCTION("""COMPUTED_VALUE"""),"")</f>
        <v/>
      </c>
      <c r="D942" s="8" t="str">
        <f>IFERROR(__xludf.DUMMYFUNCTION("""COMPUTED_VALUE"""),"")</f>
        <v/>
      </c>
      <c r="E942" s="8" t="str">
        <f>IFERROR(__xludf.DUMMYFUNCTION("""COMPUTED_VALUE"""),"")</f>
        <v/>
      </c>
      <c r="F942" s="8" t="str">
        <f>IFERROR(__xludf.DUMMYFUNCTION("""COMPUTED_VALUE"""),"")</f>
        <v/>
      </c>
      <c r="G942" s="8" t="str">
        <f>IFERROR(__xludf.DUMMYFUNCTION("""COMPUTED_VALUE"""),"")</f>
        <v/>
      </c>
      <c r="L942" s="8" t="s">
        <v>299</v>
      </c>
    </row>
    <row r="943">
      <c r="A943" s="10"/>
      <c r="B943" s="8" t="str">
        <f>IFERROR(__xludf.DUMMYFUNCTION("""COMPUTED_VALUE"""),"")</f>
        <v/>
      </c>
      <c r="C943" s="8" t="str">
        <f>IFERROR(__xludf.DUMMYFUNCTION("""COMPUTED_VALUE"""),"")</f>
        <v/>
      </c>
      <c r="D943" s="8" t="str">
        <f>IFERROR(__xludf.DUMMYFUNCTION("""COMPUTED_VALUE"""),"")</f>
        <v/>
      </c>
      <c r="E943" s="8" t="str">
        <f>IFERROR(__xludf.DUMMYFUNCTION("""COMPUTED_VALUE"""),"")</f>
        <v/>
      </c>
      <c r="F943" s="8" t="str">
        <f>IFERROR(__xludf.DUMMYFUNCTION("""COMPUTED_VALUE"""),"")</f>
        <v/>
      </c>
      <c r="G943" s="8" t="str">
        <f>IFERROR(__xludf.DUMMYFUNCTION("""COMPUTED_VALUE"""),"")</f>
        <v/>
      </c>
      <c r="L943" s="8" t="s">
        <v>299</v>
      </c>
    </row>
    <row r="944">
      <c r="A944" s="10"/>
      <c r="B944" s="8" t="str">
        <f>IFERROR(__xludf.DUMMYFUNCTION("""COMPUTED_VALUE"""),"")</f>
        <v/>
      </c>
      <c r="C944" s="8" t="str">
        <f>IFERROR(__xludf.DUMMYFUNCTION("""COMPUTED_VALUE"""),"")</f>
        <v/>
      </c>
      <c r="D944" s="8" t="str">
        <f>IFERROR(__xludf.DUMMYFUNCTION("""COMPUTED_VALUE"""),"")</f>
        <v/>
      </c>
      <c r="E944" s="8" t="str">
        <f>IFERROR(__xludf.DUMMYFUNCTION("""COMPUTED_VALUE"""),"")</f>
        <v/>
      </c>
      <c r="F944" s="8" t="str">
        <f>IFERROR(__xludf.DUMMYFUNCTION("""COMPUTED_VALUE"""),"")</f>
        <v/>
      </c>
      <c r="G944" s="8" t="str">
        <f>IFERROR(__xludf.DUMMYFUNCTION("""COMPUTED_VALUE"""),"")</f>
        <v/>
      </c>
      <c r="L944" s="8" t="s">
        <v>299</v>
      </c>
    </row>
    <row r="945">
      <c r="A945" s="10"/>
      <c r="B945" s="8" t="str">
        <f>IFERROR(__xludf.DUMMYFUNCTION("""COMPUTED_VALUE"""),"")</f>
        <v/>
      </c>
      <c r="C945" s="8" t="str">
        <f>IFERROR(__xludf.DUMMYFUNCTION("""COMPUTED_VALUE"""),"")</f>
        <v/>
      </c>
      <c r="D945" s="8" t="str">
        <f>IFERROR(__xludf.DUMMYFUNCTION("""COMPUTED_VALUE"""),"")</f>
        <v/>
      </c>
      <c r="E945" s="8" t="str">
        <f>IFERROR(__xludf.DUMMYFUNCTION("""COMPUTED_VALUE"""),"")</f>
        <v/>
      </c>
      <c r="F945" s="8" t="str">
        <f>IFERROR(__xludf.DUMMYFUNCTION("""COMPUTED_VALUE"""),"")</f>
        <v/>
      </c>
      <c r="G945" s="8" t="str">
        <f>IFERROR(__xludf.DUMMYFUNCTION("""COMPUTED_VALUE"""),"")</f>
        <v/>
      </c>
      <c r="L945" s="8" t="s">
        <v>299</v>
      </c>
    </row>
    <row r="946">
      <c r="A946" s="10"/>
      <c r="B946" s="8" t="str">
        <f>IFERROR(__xludf.DUMMYFUNCTION("""COMPUTED_VALUE"""),"")</f>
        <v/>
      </c>
      <c r="C946" s="8" t="str">
        <f>IFERROR(__xludf.DUMMYFUNCTION("""COMPUTED_VALUE"""),"")</f>
        <v/>
      </c>
      <c r="D946" s="8" t="str">
        <f>IFERROR(__xludf.DUMMYFUNCTION("""COMPUTED_VALUE"""),"")</f>
        <v/>
      </c>
      <c r="E946" s="8" t="str">
        <f>IFERROR(__xludf.DUMMYFUNCTION("""COMPUTED_VALUE"""),"")</f>
        <v/>
      </c>
      <c r="F946" s="8" t="str">
        <f>IFERROR(__xludf.DUMMYFUNCTION("""COMPUTED_VALUE"""),"")</f>
        <v/>
      </c>
      <c r="G946" s="8" t="str">
        <f>IFERROR(__xludf.DUMMYFUNCTION("""COMPUTED_VALUE"""),"")</f>
        <v/>
      </c>
      <c r="L946" s="8" t="s">
        <v>299</v>
      </c>
    </row>
    <row r="947">
      <c r="A947" s="10"/>
      <c r="B947" s="8" t="str">
        <f>IFERROR(__xludf.DUMMYFUNCTION("""COMPUTED_VALUE"""),"")</f>
        <v/>
      </c>
      <c r="C947" s="8" t="str">
        <f>IFERROR(__xludf.DUMMYFUNCTION("""COMPUTED_VALUE"""),"")</f>
        <v/>
      </c>
      <c r="D947" s="8" t="str">
        <f>IFERROR(__xludf.DUMMYFUNCTION("""COMPUTED_VALUE"""),"")</f>
        <v/>
      </c>
      <c r="E947" s="8" t="str">
        <f>IFERROR(__xludf.DUMMYFUNCTION("""COMPUTED_VALUE"""),"")</f>
        <v/>
      </c>
      <c r="F947" s="8" t="str">
        <f>IFERROR(__xludf.DUMMYFUNCTION("""COMPUTED_VALUE"""),"")</f>
        <v/>
      </c>
      <c r="G947" s="8" t="str">
        <f>IFERROR(__xludf.DUMMYFUNCTION("""COMPUTED_VALUE"""),"")</f>
        <v/>
      </c>
      <c r="L947" s="8" t="s">
        <v>299</v>
      </c>
    </row>
    <row r="948">
      <c r="A948" s="10"/>
      <c r="B948" s="8" t="str">
        <f>IFERROR(__xludf.DUMMYFUNCTION("""COMPUTED_VALUE"""),"")</f>
        <v/>
      </c>
      <c r="C948" s="8" t="str">
        <f>IFERROR(__xludf.DUMMYFUNCTION("""COMPUTED_VALUE"""),"")</f>
        <v/>
      </c>
      <c r="D948" s="8" t="str">
        <f>IFERROR(__xludf.DUMMYFUNCTION("""COMPUTED_VALUE"""),"")</f>
        <v/>
      </c>
      <c r="E948" s="8" t="str">
        <f>IFERROR(__xludf.DUMMYFUNCTION("""COMPUTED_VALUE"""),"")</f>
        <v/>
      </c>
      <c r="F948" s="8" t="str">
        <f>IFERROR(__xludf.DUMMYFUNCTION("""COMPUTED_VALUE"""),"")</f>
        <v/>
      </c>
      <c r="G948" s="8" t="str">
        <f>IFERROR(__xludf.DUMMYFUNCTION("""COMPUTED_VALUE"""),"")</f>
        <v/>
      </c>
      <c r="L948" s="8" t="s">
        <v>299</v>
      </c>
    </row>
    <row r="949">
      <c r="A949" s="10"/>
      <c r="B949" s="8" t="str">
        <f>IFERROR(__xludf.DUMMYFUNCTION("""COMPUTED_VALUE"""),"")</f>
        <v/>
      </c>
      <c r="C949" s="8" t="str">
        <f>IFERROR(__xludf.DUMMYFUNCTION("""COMPUTED_VALUE"""),"")</f>
        <v/>
      </c>
      <c r="D949" s="8" t="str">
        <f>IFERROR(__xludf.DUMMYFUNCTION("""COMPUTED_VALUE"""),"")</f>
        <v/>
      </c>
      <c r="E949" s="8" t="str">
        <f>IFERROR(__xludf.DUMMYFUNCTION("""COMPUTED_VALUE"""),"")</f>
        <v/>
      </c>
      <c r="F949" s="8" t="str">
        <f>IFERROR(__xludf.DUMMYFUNCTION("""COMPUTED_VALUE"""),"")</f>
        <v/>
      </c>
      <c r="G949" s="8" t="str">
        <f>IFERROR(__xludf.DUMMYFUNCTION("""COMPUTED_VALUE"""),"")</f>
        <v/>
      </c>
      <c r="L949" s="8" t="s">
        <v>299</v>
      </c>
    </row>
    <row r="950">
      <c r="A950" s="10"/>
      <c r="B950" s="8" t="str">
        <f>IFERROR(__xludf.DUMMYFUNCTION("""COMPUTED_VALUE"""),"")</f>
        <v/>
      </c>
      <c r="C950" s="8" t="str">
        <f>IFERROR(__xludf.DUMMYFUNCTION("""COMPUTED_VALUE"""),"")</f>
        <v/>
      </c>
      <c r="D950" s="8" t="str">
        <f>IFERROR(__xludf.DUMMYFUNCTION("""COMPUTED_VALUE"""),"")</f>
        <v/>
      </c>
      <c r="E950" s="8" t="str">
        <f>IFERROR(__xludf.DUMMYFUNCTION("""COMPUTED_VALUE"""),"")</f>
        <v/>
      </c>
      <c r="F950" s="8" t="str">
        <f>IFERROR(__xludf.DUMMYFUNCTION("""COMPUTED_VALUE"""),"")</f>
        <v/>
      </c>
      <c r="G950" s="8" t="str">
        <f>IFERROR(__xludf.DUMMYFUNCTION("""COMPUTED_VALUE"""),"")</f>
        <v/>
      </c>
      <c r="L950" s="8" t="s">
        <v>299</v>
      </c>
    </row>
    <row r="951">
      <c r="A951" s="10"/>
      <c r="B951" s="8" t="str">
        <f>IFERROR(__xludf.DUMMYFUNCTION("""COMPUTED_VALUE"""),"")</f>
        <v/>
      </c>
      <c r="C951" s="8" t="str">
        <f>IFERROR(__xludf.DUMMYFUNCTION("""COMPUTED_VALUE"""),"")</f>
        <v/>
      </c>
      <c r="D951" s="8" t="str">
        <f>IFERROR(__xludf.DUMMYFUNCTION("""COMPUTED_VALUE"""),"")</f>
        <v/>
      </c>
      <c r="E951" s="8" t="str">
        <f>IFERROR(__xludf.DUMMYFUNCTION("""COMPUTED_VALUE"""),"")</f>
        <v/>
      </c>
      <c r="F951" s="8" t="str">
        <f>IFERROR(__xludf.DUMMYFUNCTION("""COMPUTED_VALUE"""),"")</f>
        <v/>
      </c>
      <c r="G951" s="8" t="str">
        <f>IFERROR(__xludf.DUMMYFUNCTION("""COMPUTED_VALUE"""),"")</f>
        <v/>
      </c>
      <c r="L951" s="8" t="s">
        <v>299</v>
      </c>
    </row>
    <row r="952">
      <c r="A952" s="10"/>
      <c r="B952" s="8" t="str">
        <f>IFERROR(__xludf.DUMMYFUNCTION("""COMPUTED_VALUE"""),"")</f>
        <v/>
      </c>
      <c r="C952" s="8" t="str">
        <f>IFERROR(__xludf.DUMMYFUNCTION("""COMPUTED_VALUE"""),"")</f>
        <v/>
      </c>
      <c r="D952" s="8" t="str">
        <f>IFERROR(__xludf.DUMMYFUNCTION("""COMPUTED_VALUE"""),"")</f>
        <v/>
      </c>
      <c r="E952" s="8" t="str">
        <f>IFERROR(__xludf.DUMMYFUNCTION("""COMPUTED_VALUE"""),"")</f>
        <v/>
      </c>
      <c r="F952" s="8" t="str">
        <f>IFERROR(__xludf.DUMMYFUNCTION("""COMPUTED_VALUE"""),"")</f>
        <v/>
      </c>
      <c r="G952" s="8" t="str">
        <f>IFERROR(__xludf.DUMMYFUNCTION("""COMPUTED_VALUE"""),"")</f>
        <v/>
      </c>
      <c r="L952" s="8" t="s">
        <v>299</v>
      </c>
    </row>
    <row r="953">
      <c r="A953" s="10"/>
      <c r="B953" s="8" t="str">
        <f>IFERROR(__xludf.DUMMYFUNCTION("""COMPUTED_VALUE"""),"")</f>
        <v/>
      </c>
      <c r="C953" s="8" t="str">
        <f>IFERROR(__xludf.DUMMYFUNCTION("""COMPUTED_VALUE"""),"")</f>
        <v/>
      </c>
      <c r="D953" s="8" t="str">
        <f>IFERROR(__xludf.DUMMYFUNCTION("""COMPUTED_VALUE"""),"")</f>
        <v/>
      </c>
      <c r="E953" s="8" t="str">
        <f>IFERROR(__xludf.DUMMYFUNCTION("""COMPUTED_VALUE"""),"")</f>
        <v/>
      </c>
      <c r="F953" s="8" t="str">
        <f>IFERROR(__xludf.DUMMYFUNCTION("""COMPUTED_VALUE"""),"")</f>
        <v/>
      </c>
      <c r="G953" s="8" t="str">
        <f>IFERROR(__xludf.DUMMYFUNCTION("""COMPUTED_VALUE"""),"")</f>
        <v/>
      </c>
      <c r="L953" s="8" t="s">
        <v>299</v>
      </c>
    </row>
    <row r="954">
      <c r="A954" s="10"/>
      <c r="B954" s="8" t="str">
        <f>IFERROR(__xludf.DUMMYFUNCTION("""COMPUTED_VALUE"""),"")</f>
        <v/>
      </c>
      <c r="C954" s="8" t="str">
        <f>IFERROR(__xludf.DUMMYFUNCTION("""COMPUTED_VALUE"""),"")</f>
        <v/>
      </c>
      <c r="D954" s="8" t="str">
        <f>IFERROR(__xludf.DUMMYFUNCTION("""COMPUTED_VALUE"""),"")</f>
        <v/>
      </c>
      <c r="E954" s="8" t="str">
        <f>IFERROR(__xludf.DUMMYFUNCTION("""COMPUTED_VALUE"""),"")</f>
        <v/>
      </c>
      <c r="F954" s="8" t="str">
        <f>IFERROR(__xludf.DUMMYFUNCTION("""COMPUTED_VALUE"""),"")</f>
        <v/>
      </c>
      <c r="G954" s="8" t="str">
        <f>IFERROR(__xludf.DUMMYFUNCTION("""COMPUTED_VALUE"""),"")</f>
        <v/>
      </c>
      <c r="L954" s="8" t="s">
        <v>299</v>
      </c>
    </row>
    <row r="955">
      <c r="A955" s="10"/>
      <c r="B955" s="8" t="str">
        <f>IFERROR(__xludf.DUMMYFUNCTION("""COMPUTED_VALUE"""),"")</f>
        <v/>
      </c>
      <c r="C955" s="8" t="str">
        <f>IFERROR(__xludf.DUMMYFUNCTION("""COMPUTED_VALUE"""),"")</f>
        <v/>
      </c>
      <c r="D955" s="8" t="str">
        <f>IFERROR(__xludf.DUMMYFUNCTION("""COMPUTED_VALUE"""),"")</f>
        <v/>
      </c>
      <c r="E955" s="8" t="str">
        <f>IFERROR(__xludf.DUMMYFUNCTION("""COMPUTED_VALUE"""),"")</f>
        <v/>
      </c>
      <c r="F955" s="8" t="str">
        <f>IFERROR(__xludf.DUMMYFUNCTION("""COMPUTED_VALUE"""),"")</f>
        <v/>
      </c>
      <c r="G955" s="8" t="str">
        <f>IFERROR(__xludf.DUMMYFUNCTION("""COMPUTED_VALUE"""),"")</f>
        <v/>
      </c>
      <c r="L955" s="8" t="s">
        <v>299</v>
      </c>
    </row>
    <row r="956">
      <c r="A956" s="10"/>
      <c r="B956" s="8" t="str">
        <f>IFERROR(__xludf.DUMMYFUNCTION("""COMPUTED_VALUE"""),"")</f>
        <v/>
      </c>
      <c r="C956" s="8" t="str">
        <f>IFERROR(__xludf.DUMMYFUNCTION("""COMPUTED_VALUE"""),"")</f>
        <v/>
      </c>
      <c r="D956" s="8" t="str">
        <f>IFERROR(__xludf.DUMMYFUNCTION("""COMPUTED_VALUE"""),"")</f>
        <v/>
      </c>
      <c r="E956" s="8" t="str">
        <f>IFERROR(__xludf.DUMMYFUNCTION("""COMPUTED_VALUE"""),"")</f>
        <v/>
      </c>
      <c r="F956" s="8" t="str">
        <f>IFERROR(__xludf.DUMMYFUNCTION("""COMPUTED_VALUE"""),"")</f>
        <v/>
      </c>
      <c r="G956" s="8" t="str">
        <f>IFERROR(__xludf.DUMMYFUNCTION("""COMPUTED_VALUE"""),"")</f>
        <v/>
      </c>
      <c r="L956" s="8" t="s">
        <v>299</v>
      </c>
    </row>
    <row r="957">
      <c r="A957" s="10"/>
      <c r="B957" s="8" t="str">
        <f>IFERROR(__xludf.DUMMYFUNCTION("""COMPUTED_VALUE"""),"")</f>
        <v/>
      </c>
      <c r="C957" s="8" t="str">
        <f>IFERROR(__xludf.DUMMYFUNCTION("""COMPUTED_VALUE"""),"")</f>
        <v/>
      </c>
      <c r="D957" s="8" t="str">
        <f>IFERROR(__xludf.DUMMYFUNCTION("""COMPUTED_VALUE"""),"")</f>
        <v/>
      </c>
      <c r="E957" s="8" t="str">
        <f>IFERROR(__xludf.DUMMYFUNCTION("""COMPUTED_VALUE"""),"")</f>
        <v/>
      </c>
      <c r="F957" s="8" t="str">
        <f>IFERROR(__xludf.DUMMYFUNCTION("""COMPUTED_VALUE"""),"")</f>
        <v/>
      </c>
      <c r="G957" s="8" t="str">
        <f>IFERROR(__xludf.DUMMYFUNCTION("""COMPUTED_VALUE"""),"")</f>
        <v/>
      </c>
      <c r="L957" s="8" t="s">
        <v>299</v>
      </c>
    </row>
    <row r="958">
      <c r="A958" s="10"/>
      <c r="B958" s="8" t="str">
        <f>IFERROR(__xludf.DUMMYFUNCTION("""COMPUTED_VALUE"""),"")</f>
        <v/>
      </c>
      <c r="C958" s="8" t="str">
        <f>IFERROR(__xludf.DUMMYFUNCTION("""COMPUTED_VALUE"""),"")</f>
        <v/>
      </c>
      <c r="D958" s="8" t="str">
        <f>IFERROR(__xludf.DUMMYFUNCTION("""COMPUTED_VALUE"""),"")</f>
        <v/>
      </c>
      <c r="E958" s="8" t="str">
        <f>IFERROR(__xludf.DUMMYFUNCTION("""COMPUTED_VALUE"""),"")</f>
        <v/>
      </c>
      <c r="F958" s="8" t="str">
        <f>IFERROR(__xludf.DUMMYFUNCTION("""COMPUTED_VALUE"""),"")</f>
        <v/>
      </c>
      <c r="G958" s="8" t="str">
        <f>IFERROR(__xludf.DUMMYFUNCTION("""COMPUTED_VALUE"""),"")</f>
        <v/>
      </c>
      <c r="L958" s="8" t="s">
        <v>299</v>
      </c>
    </row>
    <row r="959">
      <c r="A959" s="10"/>
      <c r="B959" s="8" t="str">
        <f>IFERROR(__xludf.DUMMYFUNCTION("""COMPUTED_VALUE"""),"")</f>
        <v/>
      </c>
      <c r="C959" s="8" t="str">
        <f>IFERROR(__xludf.DUMMYFUNCTION("""COMPUTED_VALUE"""),"")</f>
        <v/>
      </c>
      <c r="D959" s="8" t="str">
        <f>IFERROR(__xludf.DUMMYFUNCTION("""COMPUTED_VALUE"""),"")</f>
        <v/>
      </c>
      <c r="E959" s="8" t="str">
        <f>IFERROR(__xludf.DUMMYFUNCTION("""COMPUTED_VALUE"""),"")</f>
        <v/>
      </c>
      <c r="F959" s="8" t="str">
        <f>IFERROR(__xludf.DUMMYFUNCTION("""COMPUTED_VALUE"""),"")</f>
        <v/>
      </c>
      <c r="G959" s="8" t="str">
        <f>IFERROR(__xludf.DUMMYFUNCTION("""COMPUTED_VALUE"""),"")</f>
        <v/>
      </c>
      <c r="L959" s="8" t="s">
        <v>299</v>
      </c>
    </row>
    <row r="960">
      <c r="A960" s="10"/>
      <c r="B960" s="8" t="str">
        <f>IFERROR(__xludf.DUMMYFUNCTION("""COMPUTED_VALUE"""),"")</f>
        <v/>
      </c>
      <c r="C960" s="8" t="str">
        <f>IFERROR(__xludf.DUMMYFUNCTION("""COMPUTED_VALUE"""),"")</f>
        <v/>
      </c>
      <c r="D960" s="8" t="str">
        <f>IFERROR(__xludf.DUMMYFUNCTION("""COMPUTED_VALUE"""),"")</f>
        <v/>
      </c>
      <c r="E960" s="8" t="str">
        <f>IFERROR(__xludf.DUMMYFUNCTION("""COMPUTED_VALUE"""),"")</f>
        <v/>
      </c>
      <c r="F960" s="8" t="str">
        <f>IFERROR(__xludf.DUMMYFUNCTION("""COMPUTED_VALUE"""),"")</f>
        <v/>
      </c>
      <c r="G960" s="8" t="str">
        <f>IFERROR(__xludf.DUMMYFUNCTION("""COMPUTED_VALUE"""),"")</f>
        <v/>
      </c>
      <c r="L960" s="8" t="s">
        <v>299</v>
      </c>
    </row>
    <row r="961">
      <c r="A961" s="10"/>
      <c r="B961" s="8" t="str">
        <f>IFERROR(__xludf.DUMMYFUNCTION("""COMPUTED_VALUE"""),"")</f>
        <v/>
      </c>
      <c r="C961" s="8" t="str">
        <f>IFERROR(__xludf.DUMMYFUNCTION("""COMPUTED_VALUE"""),"")</f>
        <v/>
      </c>
      <c r="D961" s="8" t="str">
        <f>IFERROR(__xludf.DUMMYFUNCTION("""COMPUTED_VALUE"""),"")</f>
        <v/>
      </c>
      <c r="E961" s="8" t="str">
        <f>IFERROR(__xludf.DUMMYFUNCTION("""COMPUTED_VALUE"""),"")</f>
        <v/>
      </c>
      <c r="F961" s="8" t="str">
        <f>IFERROR(__xludf.DUMMYFUNCTION("""COMPUTED_VALUE"""),"")</f>
        <v/>
      </c>
      <c r="G961" s="8" t="str">
        <f>IFERROR(__xludf.DUMMYFUNCTION("""COMPUTED_VALUE"""),"")</f>
        <v/>
      </c>
      <c r="L961" s="8" t="s">
        <v>299</v>
      </c>
    </row>
    <row r="962">
      <c r="A962" s="10"/>
      <c r="B962" s="8" t="str">
        <f>IFERROR(__xludf.DUMMYFUNCTION("""COMPUTED_VALUE"""),"")</f>
        <v/>
      </c>
      <c r="C962" s="8" t="str">
        <f>IFERROR(__xludf.DUMMYFUNCTION("""COMPUTED_VALUE"""),"")</f>
        <v/>
      </c>
      <c r="D962" s="8" t="str">
        <f>IFERROR(__xludf.DUMMYFUNCTION("""COMPUTED_VALUE"""),"")</f>
        <v/>
      </c>
      <c r="E962" s="8" t="str">
        <f>IFERROR(__xludf.DUMMYFUNCTION("""COMPUTED_VALUE"""),"")</f>
        <v/>
      </c>
      <c r="F962" s="8" t="str">
        <f>IFERROR(__xludf.DUMMYFUNCTION("""COMPUTED_VALUE"""),"")</f>
        <v/>
      </c>
      <c r="G962" s="8" t="str">
        <f>IFERROR(__xludf.DUMMYFUNCTION("""COMPUTED_VALUE"""),"")</f>
        <v/>
      </c>
      <c r="L962" s="8" t="s">
        <v>299</v>
      </c>
    </row>
    <row r="963">
      <c r="A963" s="10"/>
      <c r="B963" s="8" t="str">
        <f>IFERROR(__xludf.DUMMYFUNCTION("""COMPUTED_VALUE"""),"")</f>
        <v/>
      </c>
      <c r="C963" s="8" t="str">
        <f>IFERROR(__xludf.DUMMYFUNCTION("""COMPUTED_VALUE"""),"")</f>
        <v/>
      </c>
      <c r="D963" s="8" t="str">
        <f>IFERROR(__xludf.DUMMYFUNCTION("""COMPUTED_VALUE"""),"")</f>
        <v/>
      </c>
      <c r="E963" s="8" t="str">
        <f>IFERROR(__xludf.DUMMYFUNCTION("""COMPUTED_VALUE"""),"")</f>
        <v/>
      </c>
      <c r="F963" s="8" t="str">
        <f>IFERROR(__xludf.DUMMYFUNCTION("""COMPUTED_VALUE"""),"")</f>
        <v/>
      </c>
      <c r="G963" s="8" t="str">
        <f>IFERROR(__xludf.DUMMYFUNCTION("""COMPUTED_VALUE"""),"")</f>
        <v/>
      </c>
      <c r="L963" s="8" t="s">
        <v>299</v>
      </c>
    </row>
    <row r="964">
      <c r="A964" s="10"/>
      <c r="B964" s="8" t="str">
        <f>IFERROR(__xludf.DUMMYFUNCTION("""COMPUTED_VALUE"""),"")</f>
        <v/>
      </c>
      <c r="C964" s="8" t="str">
        <f>IFERROR(__xludf.DUMMYFUNCTION("""COMPUTED_VALUE"""),"")</f>
        <v/>
      </c>
      <c r="D964" s="8" t="str">
        <f>IFERROR(__xludf.DUMMYFUNCTION("""COMPUTED_VALUE"""),"")</f>
        <v/>
      </c>
      <c r="E964" s="8" t="str">
        <f>IFERROR(__xludf.DUMMYFUNCTION("""COMPUTED_VALUE"""),"")</f>
        <v/>
      </c>
      <c r="F964" s="8" t="str">
        <f>IFERROR(__xludf.DUMMYFUNCTION("""COMPUTED_VALUE"""),"")</f>
        <v/>
      </c>
      <c r="G964" s="8" t="str">
        <f>IFERROR(__xludf.DUMMYFUNCTION("""COMPUTED_VALUE"""),"")</f>
        <v/>
      </c>
      <c r="L964" s="8" t="s">
        <v>299</v>
      </c>
    </row>
    <row r="965">
      <c r="A965" s="10"/>
      <c r="B965" s="8" t="str">
        <f>IFERROR(__xludf.DUMMYFUNCTION("""COMPUTED_VALUE"""),"")</f>
        <v/>
      </c>
      <c r="C965" s="8" t="str">
        <f>IFERROR(__xludf.DUMMYFUNCTION("""COMPUTED_VALUE"""),"")</f>
        <v/>
      </c>
      <c r="D965" s="8" t="str">
        <f>IFERROR(__xludf.DUMMYFUNCTION("""COMPUTED_VALUE"""),"")</f>
        <v/>
      </c>
      <c r="E965" s="8" t="str">
        <f>IFERROR(__xludf.DUMMYFUNCTION("""COMPUTED_VALUE"""),"")</f>
        <v/>
      </c>
      <c r="F965" s="8" t="str">
        <f>IFERROR(__xludf.DUMMYFUNCTION("""COMPUTED_VALUE"""),"")</f>
        <v/>
      </c>
      <c r="G965" s="8" t="str">
        <f>IFERROR(__xludf.DUMMYFUNCTION("""COMPUTED_VALUE"""),"")</f>
        <v/>
      </c>
      <c r="L965" s="8" t="s">
        <v>299</v>
      </c>
    </row>
    <row r="966">
      <c r="A966" s="10"/>
      <c r="B966" s="8" t="str">
        <f>IFERROR(__xludf.DUMMYFUNCTION("""COMPUTED_VALUE"""),"")</f>
        <v/>
      </c>
      <c r="C966" s="8" t="str">
        <f>IFERROR(__xludf.DUMMYFUNCTION("""COMPUTED_VALUE"""),"")</f>
        <v/>
      </c>
      <c r="D966" s="8" t="str">
        <f>IFERROR(__xludf.DUMMYFUNCTION("""COMPUTED_VALUE"""),"")</f>
        <v/>
      </c>
      <c r="E966" s="8" t="str">
        <f>IFERROR(__xludf.DUMMYFUNCTION("""COMPUTED_VALUE"""),"")</f>
        <v/>
      </c>
      <c r="F966" s="8" t="str">
        <f>IFERROR(__xludf.DUMMYFUNCTION("""COMPUTED_VALUE"""),"")</f>
        <v/>
      </c>
      <c r="G966" s="8" t="str">
        <f>IFERROR(__xludf.DUMMYFUNCTION("""COMPUTED_VALUE"""),"")</f>
        <v/>
      </c>
      <c r="L966" s="8" t="s">
        <v>299</v>
      </c>
    </row>
    <row r="967">
      <c r="A967" s="10"/>
      <c r="B967" s="8" t="str">
        <f>IFERROR(__xludf.DUMMYFUNCTION("""COMPUTED_VALUE"""),"")</f>
        <v/>
      </c>
      <c r="C967" s="8" t="str">
        <f>IFERROR(__xludf.DUMMYFUNCTION("""COMPUTED_VALUE"""),"")</f>
        <v/>
      </c>
      <c r="D967" s="8" t="str">
        <f>IFERROR(__xludf.DUMMYFUNCTION("""COMPUTED_VALUE"""),"")</f>
        <v/>
      </c>
      <c r="E967" s="8" t="str">
        <f>IFERROR(__xludf.DUMMYFUNCTION("""COMPUTED_VALUE"""),"")</f>
        <v/>
      </c>
      <c r="F967" s="8" t="str">
        <f>IFERROR(__xludf.DUMMYFUNCTION("""COMPUTED_VALUE"""),"")</f>
        <v/>
      </c>
      <c r="G967" s="8" t="str">
        <f>IFERROR(__xludf.DUMMYFUNCTION("""COMPUTED_VALUE"""),"")</f>
        <v/>
      </c>
      <c r="L967" s="8" t="s">
        <v>299</v>
      </c>
    </row>
    <row r="968">
      <c r="A968" s="10"/>
      <c r="B968" s="8" t="str">
        <f>IFERROR(__xludf.DUMMYFUNCTION("""COMPUTED_VALUE"""),"")</f>
        <v/>
      </c>
      <c r="C968" s="8" t="str">
        <f>IFERROR(__xludf.DUMMYFUNCTION("""COMPUTED_VALUE"""),"")</f>
        <v/>
      </c>
      <c r="D968" s="8" t="str">
        <f>IFERROR(__xludf.DUMMYFUNCTION("""COMPUTED_VALUE"""),"")</f>
        <v/>
      </c>
      <c r="E968" s="8" t="str">
        <f>IFERROR(__xludf.DUMMYFUNCTION("""COMPUTED_VALUE"""),"")</f>
        <v/>
      </c>
      <c r="F968" s="8" t="str">
        <f>IFERROR(__xludf.DUMMYFUNCTION("""COMPUTED_VALUE"""),"")</f>
        <v/>
      </c>
      <c r="G968" s="8" t="str">
        <f>IFERROR(__xludf.DUMMYFUNCTION("""COMPUTED_VALUE"""),"")</f>
        <v/>
      </c>
      <c r="L968" s="8" t="s">
        <v>299</v>
      </c>
    </row>
    <row r="969">
      <c r="A969" s="10"/>
      <c r="B969" s="8" t="str">
        <f>IFERROR(__xludf.DUMMYFUNCTION("""COMPUTED_VALUE"""),"")</f>
        <v/>
      </c>
      <c r="C969" s="8" t="str">
        <f>IFERROR(__xludf.DUMMYFUNCTION("""COMPUTED_VALUE"""),"")</f>
        <v/>
      </c>
      <c r="D969" s="8" t="str">
        <f>IFERROR(__xludf.DUMMYFUNCTION("""COMPUTED_VALUE"""),"")</f>
        <v/>
      </c>
      <c r="E969" s="8" t="str">
        <f>IFERROR(__xludf.DUMMYFUNCTION("""COMPUTED_VALUE"""),"")</f>
        <v/>
      </c>
      <c r="F969" s="8" t="str">
        <f>IFERROR(__xludf.DUMMYFUNCTION("""COMPUTED_VALUE"""),"")</f>
        <v/>
      </c>
      <c r="G969" s="8" t="str">
        <f>IFERROR(__xludf.DUMMYFUNCTION("""COMPUTED_VALUE"""),"")</f>
        <v/>
      </c>
      <c r="L969" s="8" t="s">
        <v>299</v>
      </c>
    </row>
    <row r="970">
      <c r="A970" s="10"/>
      <c r="B970" s="8" t="str">
        <f>IFERROR(__xludf.DUMMYFUNCTION("""COMPUTED_VALUE"""),"")</f>
        <v/>
      </c>
      <c r="C970" s="8" t="str">
        <f>IFERROR(__xludf.DUMMYFUNCTION("""COMPUTED_VALUE"""),"")</f>
        <v/>
      </c>
      <c r="D970" s="8" t="str">
        <f>IFERROR(__xludf.DUMMYFUNCTION("""COMPUTED_VALUE"""),"")</f>
        <v/>
      </c>
      <c r="E970" s="8" t="str">
        <f>IFERROR(__xludf.DUMMYFUNCTION("""COMPUTED_VALUE"""),"")</f>
        <v/>
      </c>
      <c r="F970" s="8" t="str">
        <f>IFERROR(__xludf.DUMMYFUNCTION("""COMPUTED_VALUE"""),"")</f>
        <v/>
      </c>
      <c r="G970" s="8" t="str">
        <f>IFERROR(__xludf.DUMMYFUNCTION("""COMPUTED_VALUE"""),"")</f>
        <v/>
      </c>
      <c r="L970" s="8" t="s">
        <v>299</v>
      </c>
    </row>
    <row r="971">
      <c r="A971" s="10"/>
      <c r="B971" s="8" t="str">
        <f>IFERROR(__xludf.DUMMYFUNCTION("""COMPUTED_VALUE"""),"")</f>
        <v/>
      </c>
      <c r="C971" s="8" t="str">
        <f>IFERROR(__xludf.DUMMYFUNCTION("""COMPUTED_VALUE"""),"")</f>
        <v/>
      </c>
      <c r="D971" s="8" t="str">
        <f>IFERROR(__xludf.DUMMYFUNCTION("""COMPUTED_VALUE"""),"")</f>
        <v/>
      </c>
      <c r="E971" s="8" t="str">
        <f>IFERROR(__xludf.DUMMYFUNCTION("""COMPUTED_VALUE"""),"")</f>
        <v/>
      </c>
      <c r="F971" s="8" t="str">
        <f>IFERROR(__xludf.DUMMYFUNCTION("""COMPUTED_VALUE"""),"")</f>
        <v/>
      </c>
      <c r="G971" s="8" t="str">
        <f>IFERROR(__xludf.DUMMYFUNCTION("""COMPUTED_VALUE"""),"")</f>
        <v/>
      </c>
      <c r="L971" s="8" t="s">
        <v>299</v>
      </c>
    </row>
    <row r="972">
      <c r="A972" s="10"/>
      <c r="B972" s="8" t="str">
        <f>IFERROR(__xludf.DUMMYFUNCTION("""COMPUTED_VALUE"""),"")</f>
        <v/>
      </c>
      <c r="C972" s="8" t="str">
        <f>IFERROR(__xludf.DUMMYFUNCTION("""COMPUTED_VALUE"""),"")</f>
        <v/>
      </c>
      <c r="D972" s="8" t="str">
        <f>IFERROR(__xludf.DUMMYFUNCTION("""COMPUTED_VALUE"""),"")</f>
        <v/>
      </c>
      <c r="E972" s="8" t="str">
        <f>IFERROR(__xludf.DUMMYFUNCTION("""COMPUTED_VALUE"""),"")</f>
        <v/>
      </c>
      <c r="F972" s="8" t="str">
        <f>IFERROR(__xludf.DUMMYFUNCTION("""COMPUTED_VALUE"""),"")</f>
        <v/>
      </c>
      <c r="G972" s="8" t="str">
        <f>IFERROR(__xludf.DUMMYFUNCTION("""COMPUTED_VALUE"""),"")</f>
        <v/>
      </c>
      <c r="L972" s="8" t="s">
        <v>299</v>
      </c>
    </row>
    <row r="973">
      <c r="A973" s="10"/>
      <c r="B973" s="8" t="str">
        <f>IFERROR(__xludf.DUMMYFUNCTION("""COMPUTED_VALUE"""),"")</f>
        <v/>
      </c>
      <c r="C973" s="8" t="str">
        <f>IFERROR(__xludf.DUMMYFUNCTION("""COMPUTED_VALUE"""),"")</f>
        <v/>
      </c>
      <c r="D973" s="8" t="str">
        <f>IFERROR(__xludf.DUMMYFUNCTION("""COMPUTED_VALUE"""),"")</f>
        <v/>
      </c>
      <c r="E973" s="8" t="str">
        <f>IFERROR(__xludf.DUMMYFUNCTION("""COMPUTED_VALUE"""),"")</f>
        <v/>
      </c>
      <c r="F973" s="8" t="str">
        <f>IFERROR(__xludf.DUMMYFUNCTION("""COMPUTED_VALUE"""),"")</f>
        <v/>
      </c>
      <c r="G973" s="8" t="str">
        <f>IFERROR(__xludf.DUMMYFUNCTION("""COMPUTED_VALUE"""),"")</f>
        <v/>
      </c>
      <c r="L973" s="8" t="s">
        <v>299</v>
      </c>
    </row>
    <row r="974">
      <c r="A974" s="10"/>
      <c r="B974" s="8" t="str">
        <f>IFERROR(__xludf.DUMMYFUNCTION("""COMPUTED_VALUE"""),"")</f>
        <v/>
      </c>
      <c r="C974" s="8" t="str">
        <f>IFERROR(__xludf.DUMMYFUNCTION("""COMPUTED_VALUE"""),"")</f>
        <v/>
      </c>
      <c r="D974" s="8" t="str">
        <f>IFERROR(__xludf.DUMMYFUNCTION("""COMPUTED_VALUE"""),"")</f>
        <v/>
      </c>
      <c r="E974" s="8" t="str">
        <f>IFERROR(__xludf.DUMMYFUNCTION("""COMPUTED_VALUE"""),"")</f>
        <v/>
      </c>
      <c r="F974" s="8" t="str">
        <f>IFERROR(__xludf.DUMMYFUNCTION("""COMPUTED_VALUE"""),"")</f>
        <v/>
      </c>
      <c r="G974" s="8" t="str">
        <f>IFERROR(__xludf.DUMMYFUNCTION("""COMPUTED_VALUE"""),"")</f>
        <v/>
      </c>
      <c r="L974" s="8" t="s">
        <v>299</v>
      </c>
    </row>
    <row r="975">
      <c r="A975" s="10"/>
      <c r="B975" s="8" t="str">
        <f>IFERROR(__xludf.DUMMYFUNCTION("""COMPUTED_VALUE"""),"")</f>
        <v/>
      </c>
      <c r="C975" s="8" t="str">
        <f>IFERROR(__xludf.DUMMYFUNCTION("""COMPUTED_VALUE"""),"")</f>
        <v/>
      </c>
      <c r="D975" s="8" t="str">
        <f>IFERROR(__xludf.DUMMYFUNCTION("""COMPUTED_VALUE"""),"")</f>
        <v/>
      </c>
      <c r="E975" s="8" t="str">
        <f>IFERROR(__xludf.DUMMYFUNCTION("""COMPUTED_VALUE"""),"")</f>
        <v/>
      </c>
      <c r="F975" s="8" t="str">
        <f>IFERROR(__xludf.DUMMYFUNCTION("""COMPUTED_VALUE"""),"")</f>
        <v/>
      </c>
      <c r="G975" s="8" t="str">
        <f>IFERROR(__xludf.DUMMYFUNCTION("""COMPUTED_VALUE"""),"")</f>
        <v/>
      </c>
      <c r="L975" s="8" t="s">
        <v>299</v>
      </c>
    </row>
    <row r="976">
      <c r="A976" s="10"/>
      <c r="B976" s="8" t="str">
        <f>IFERROR(__xludf.DUMMYFUNCTION("""COMPUTED_VALUE"""),"")</f>
        <v/>
      </c>
      <c r="C976" s="8" t="str">
        <f>IFERROR(__xludf.DUMMYFUNCTION("""COMPUTED_VALUE"""),"")</f>
        <v/>
      </c>
      <c r="D976" s="8" t="str">
        <f>IFERROR(__xludf.DUMMYFUNCTION("""COMPUTED_VALUE"""),"")</f>
        <v/>
      </c>
      <c r="E976" s="8" t="str">
        <f>IFERROR(__xludf.DUMMYFUNCTION("""COMPUTED_VALUE"""),"")</f>
        <v/>
      </c>
      <c r="F976" s="8" t="str">
        <f>IFERROR(__xludf.DUMMYFUNCTION("""COMPUTED_VALUE"""),"")</f>
        <v/>
      </c>
      <c r="G976" s="8" t="str">
        <f>IFERROR(__xludf.DUMMYFUNCTION("""COMPUTED_VALUE"""),"")</f>
        <v/>
      </c>
      <c r="L976" s="8" t="s">
        <v>299</v>
      </c>
    </row>
    <row r="977">
      <c r="A977" s="10"/>
      <c r="B977" s="8" t="str">
        <f>IFERROR(__xludf.DUMMYFUNCTION("""COMPUTED_VALUE"""),"")</f>
        <v/>
      </c>
      <c r="C977" s="8" t="str">
        <f>IFERROR(__xludf.DUMMYFUNCTION("""COMPUTED_VALUE"""),"")</f>
        <v/>
      </c>
      <c r="D977" s="8" t="str">
        <f>IFERROR(__xludf.DUMMYFUNCTION("""COMPUTED_VALUE"""),"")</f>
        <v/>
      </c>
      <c r="E977" s="8" t="str">
        <f>IFERROR(__xludf.DUMMYFUNCTION("""COMPUTED_VALUE"""),"")</f>
        <v/>
      </c>
      <c r="F977" s="8" t="str">
        <f>IFERROR(__xludf.DUMMYFUNCTION("""COMPUTED_VALUE"""),"")</f>
        <v/>
      </c>
      <c r="G977" s="8" t="str">
        <f>IFERROR(__xludf.DUMMYFUNCTION("""COMPUTED_VALUE"""),"")</f>
        <v/>
      </c>
      <c r="L977" s="8" t="s">
        <v>299</v>
      </c>
    </row>
    <row r="978">
      <c r="A978" s="10"/>
      <c r="B978" s="8" t="str">
        <f>IFERROR(__xludf.DUMMYFUNCTION("""COMPUTED_VALUE"""),"")</f>
        <v/>
      </c>
      <c r="C978" s="8" t="str">
        <f>IFERROR(__xludf.DUMMYFUNCTION("""COMPUTED_VALUE"""),"")</f>
        <v/>
      </c>
      <c r="D978" s="8" t="str">
        <f>IFERROR(__xludf.DUMMYFUNCTION("""COMPUTED_VALUE"""),"")</f>
        <v/>
      </c>
      <c r="E978" s="8" t="str">
        <f>IFERROR(__xludf.DUMMYFUNCTION("""COMPUTED_VALUE"""),"")</f>
        <v/>
      </c>
      <c r="F978" s="8" t="str">
        <f>IFERROR(__xludf.DUMMYFUNCTION("""COMPUTED_VALUE"""),"")</f>
        <v/>
      </c>
      <c r="G978" s="8" t="str">
        <f>IFERROR(__xludf.DUMMYFUNCTION("""COMPUTED_VALUE"""),"")</f>
        <v/>
      </c>
      <c r="L978" s="8" t="s">
        <v>299</v>
      </c>
    </row>
    <row r="979">
      <c r="A979" s="10"/>
      <c r="B979" s="8" t="str">
        <f>IFERROR(__xludf.DUMMYFUNCTION("""COMPUTED_VALUE"""),"")</f>
        <v/>
      </c>
      <c r="C979" s="8" t="str">
        <f>IFERROR(__xludf.DUMMYFUNCTION("""COMPUTED_VALUE"""),"")</f>
        <v/>
      </c>
      <c r="D979" s="8" t="str">
        <f>IFERROR(__xludf.DUMMYFUNCTION("""COMPUTED_VALUE"""),"")</f>
        <v/>
      </c>
      <c r="E979" s="8" t="str">
        <f>IFERROR(__xludf.DUMMYFUNCTION("""COMPUTED_VALUE"""),"")</f>
        <v/>
      </c>
      <c r="F979" s="8" t="str">
        <f>IFERROR(__xludf.DUMMYFUNCTION("""COMPUTED_VALUE"""),"")</f>
        <v/>
      </c>
      <c r="G979" s="8" t="str">
        <f>IFERROR(__xludf.DUMMYFUNCTION("""COMPUTED_VALUE"""),"")</f>
        <v/>
      </c>
      <c r="L979" s="8" t="s">
        <v>299</v>
      </c>
    </row>
    <row r="980">
      <c r="A980" s="10"/>
      <c r="B980" s="8" t="str">
        <f>IFERROR(__xludf.DUMMYFUNCTION("""COMPUTED_VALUE"""),"")</f>
        <v/>
      </c>
      <c r="C980" s="8" t="str">
        <f>IFERROR(__xludf.DUMMYFUNCTION("""COMPUTED_VALUE"""),"")</f>
        <v/>
      </c>
      <c r="D980" s="8" t="str">
        <f>IFERROR(__xludf.DUMMYFUNCTION("""COMPUTED_VALUE"""),"")</f>
        <v/>
      </c>
      <c r="E980" s="8" t="str">
        <f>IFERROR(__xludf.DUMMYFUNCTION("""COMPUTED_VALUE"""),"")</f>
        <v/>
      </c>
      <c r="F980" s="8" t="str">
        <f>IFERROR(__xludf.DUMMYFUNCTION("""COMPUTED_VALUE"""),"")</f>
        <v/>
      </c>
      <c r="G980" s="8" t="str">
        <f>IFERROR(__xludf.DUMMYFUNCTION("""COMPUTED_VALUE"""),"")</f>
        <v/>
      </c>
      <c r="L980" s="8" t="s">
        <v>299</v>
      </c>
    </row>
    <row r="981">
      <c r="A981" s="10"/>
      <c r="B981" s="8" t="str">
        <f>IFERROR(__xludf.DUMMYFUNCTION("""COMPUTED_VALUE"""),"")</f>
        <v/>
      </c>
      <c r="C981" s="8" t="str">
        <f>IFERROR(__xludf.DUMMYFUNCTION("""COMPUTED_VALUE"""),"")</f>
        <v/>
      </c>
      <c r="D981" s="8" t="str">
        <f>IFERROR(__xludf.DUMMYFUNCTION("""COMPUTED_VALUE"""),"")</f>
        <v/>
      </c>
      <c r="E981" s="8" t="str">
        <f>IFERROR(__xludf.DUMMYFUNCTION("""COMPUTED_VALUE"""),"")</f>
        <v/>
      </c>
      <c r="F981" s="8" t="str">
        <f>IFERROR(__xludf.DUMMYFUNCTION("""COMPUTED_VALUE"""),"")</f>
        <v/>
      </c>
      <c r="G981" s="8" t="str">
        <f>IFERROR(__xludf.DUMMYFUNCTION("""COMPUTED_VALUE"""),"")</f>
        <v/>
      </c>
      <c r="L981" s="8" t="s">
        <v>299</v>
      </c>
    </row>
    <row r="982">
      <c r="A982" s="10"/>
      <c r="B982" s="8" t="str">
        <f>IFERROR(__xludf.DUMMYFUNCTION("""COMPUTED_VALUE"""),"")</f>
        <v/>
      </c>
      <c r="C982" s="8" t="str">
        <f>IFERROR(__xludf.DUMMYFUNCTION("""COMPUTED_VALUE"""),"")</f>
        <v/>
      </c>
      <c r="D982" s="8" t="str">
        <f>IFERROR(__xludf.DUMMYFUNCTION("""COMPUTED_VALUE"""),"")</f>
        <v/>
      </c>
      <c r="E982" s="8" t="str">
        <f>IFERROR(__xludf.DUMMYFUNCTION("""COMPUTED_VALUE"""),"")</f>
        <v/>
      </c>
      <c r="F982" s="8" t="str">
        <f>IFERROR(__xludf.DUMMYFUNCTION("""COMPUTED_VALUE"""),"")</f>
        <v/>
      </c>
      <c r="G982" s="8" t="str">
        <f>IFERROR(__xludf.DUMMYFUNCTION("""COMPUTED_VALUE"""),"")</f>
        <v/>
      </c>
      <c r="L982" s="8" t="s">
        <v>299</v>
      </c>
    </row>
    <row r="983">
      <c r="A983" s="10"/>
      <c r="B983" s="8" t="str">
        <f>IFERROR(__xludf.DUMMYFUNCTION("""COMPUTED_VALUE"""),"")</f>
        <v/>
      </c>
      <c r="C983" s="8" t="str">
        <f>IFERROR(__xludf.DUMMYFUNCTION("""COMPUTED_VALUE"""),"")</f>
        <v/>
      </c>
      <c r="D983" s="8" t="str">
        <f>IFERROR(__xludf.DUMMYFUNCTION("""COMPUTED_VALUE"""),"")</f>
        <v/>
      </c>
      <c r="E983" s="8" t="str">
        <f>IFERROR(__xludf.DUMMYFUNCTION("""COMPUTED_VALUE"""),"")</f>
        <v/>
      </c>
      <c r="F983" s="8" t="str">
        <f>IFERROR(__xludf.DUMMYFUNCTION("""COMPUTED_VALUE"""),"")</f>
        <v/>
      </c>
      <c r="G983" s="8" t="str">
        <f>IFERROR(__xludf.DUMMYFUNCTION("""COMPUTED_VALUE"""),"")</f>
        <v/>
      </c>
      <c r="L983" s="8" t="s">
        <v>299</v>
      </c>
    </row>
    <row r="984">
      <c r="A984" s="10"/>
      <c r="B984" s="8" t="str">
        <f>IFERROR(__xludf.DUMMYFUNCTION("""COMPUTED_VALUE"""),"")</f>
        <v/>
      </c>
      <c r="C984" s="8" t="str">
        <f>IFERROR(__xludf.DUMMYFUNCTION("""COMPUTED_VALUE"""),"")</f>
        <v/>
      </c>
      <c r="D984" s="8" t="str">
        <f>IFERROR(__xludf.DUMMYFUNCTION("""COMPUTED_VALUE"""),"")</f>
        <v/>
      </c>
      <c r="E984" s="8" t="str">
        <f>IFERROR(__xludf.DUMMYFUNCTION("""COMPUTED_VALUE"""),"")</f>
        <v/>
      </c>
      <c r="F984" s="8" t="str">
        <f>IFERROR(__xludf.DUMMYFUNCTION("""COMPUTED_VALUE"""),"")</f>
        <v/>
      </c>
      <c r="G984" s="8" t="str">
        <f>IFERROR(__xludf.DUMMYFUNCTION("""COMPUTED_VALUE"""),"")</f>
        <v/>
      </c>
      <c r="L984" s="8" t="s">
        <v>299</v>
      </c>
    </row>
    <row r="985">
      <c r="A985" s="10"/>
      <c r="B985" s="8" t="str">
        <f>IFERROR(__xludf.DUMMYFUNCTION("""COMPUTED_VALUE"""),"")</f>
        <v/>
      </c>
      <c r="C985" s="8" t="str">
        <f>IFERROR(__xludf.DUMMYFUNCTION("""COMPUTED_VALUE"""),"")</f>
        <v/>
      </c>
      <c r="D985" s="8" t="str">
        <f>IFERROR(__xludf.DUMMYFUNCTION("""COMPUTED_VALUE"""),"")</f>
        <v/>
      </c>
      <c r="E985" s="8" t="str">
        <f>IFERROR(__xludf.DUMMYFUNCTION("""COMPUTED_VALUE"""),"")</f>
        <v/>
      </c>
      <c r="F985" s="8" t="str">
        <f>IFERROR(__xludf.DUMMYFUNCTION("""COMPUTED_VALUE"""),"")</f>
        <v/>
      </c>
      <c r="G985" s="8" t="str">
        <f>IFERROR(__xludf.DUMMYFUNCTION("""COMPUTED_VALUE"""),"")</f>
        <v/>
      </c>
      <c r="L985" s="8" t="s">
        <v>299</v>
      </c>
    </row>
    <row r="986">
      <c r="A986" s="10"/>
      <c r="B986" s="8" t="str">
        <f>IFERROR(__xludf.DUMMYFUNCTION("""COMPUTED_VALUE"""),"")</f>
        <v/>
      </c>
      <c r="C986" s="8" t="str">
        <f>IFERROR(__xludf.DUMMYFUNCTION("""COMPUTED_VALUE"""),"")</f>
        <v/>
      </c>
      <c r="D986" s="8" t="str">
        <f>IFERROR(__xludf.DUMMYFUNCTION("""COMPUTED_VALUE"""),"")</f>
        <v/>
      </c>
      <c r="E986" s="8" t="str">
        <f>IFERROR(__xludf.DUMMYFUNCTION("""COMPUTED_VALUE"""),"")</f>
        <v/>
      </c>
      <c r="F986" s="8" t="str">
        <f>IFERROR(__xludf.DUMMYFUNCTION("""COMPUTED_VALUE"""),"")</f>
        <v/>
      </c>
      <c r="G986" s="8" t="str">
        <f>IFERROR(__xludf.DUMMYFUNCTION("""COMPUTED_VALUE"""),"")</f>
        <v/>
      </c>
      <c r="L986" s="8" t="s">
        <v>299</v>
      </c>
    </row>
    <row r="987">
      <c r="A987" s="10"/>
      <c r="B987" s="8" t="str">
        <f>IFERROR(__xludf.DUMMYFUNCTION("""COMPUTED_VALUE"""),"")</f>
        <v/>
      </c>
      <c r="C987" s="8" t="str">
        <f>IFERROR(__xludf.DUMMYFUNCTION("""COMPUTED_VALUE"""),"")</f>
        <v/>
      </c>
      <c r="D987" s="8" t="str">
        <f>IFERROR(__xludf.DUMMYFUNCTION("""COMPUTED_VALUE"""),"")</f>
        <v/>
      </c>
      <c r="E987" s="8" t="str">
        <f>IFERROR(__xludf.DUMMYFUNCTION("""COMPUTED_VALUE"""),"")</f>
        <v/>
      </c>
      <c r="F987" s="8" t="str">
        <f>IFERROR(__xludf.DUMMYFUNCTION("""COMPUTED_VALUE"""),"")</f>
        <v/>
      </c>
      <c r="G987" s="8" t="str">
        <f>IFERROR(__xludf.DUMMYFUNCTION("""COMPUTED_VALUE"""),"")</f>
        <v/>
      </c>
      <c r="L987" s="8" t="s">
        <v>299</v>
      </c>
    </row>
    <row r="988">
      <c r="A988" s="10"/>
      <c r="B988" s="8" t="str">
        <f>IFERROR(__xludf.DUMMYFUNCTION("""COMPUTED_VALUE"""),"")</f>
        <v/>
      </c>
      <c r="C988" s="8" t="str">
        <f>IFERROR(__xludf.DUMMYFUNCTION("""COMPUTED_VALUE"""),"")</f>
        <v/>
      </c>
      <c r="D988" s="8" t="str">
        <f>IFERROR(__xludf.DUMMYFUNCTION("""COMPUTED_VALUE"""),"")</f>
        <v/>
      </c>
      <c r="E988" s="8" t="str">
        <f>IFERROR(__xludf.DUMMYFUNCTION("""COMPUTED_VALUE"""),"")</f>
        <v/>
      </c>
      <c r="F988" s="8" t="str">
        <f>IFERROR(__xludf.DUMMYFUNCTION("""COMPUTED_VALUE"""),"")</f>
        <v/>
      </c>
      <c r="G988" s="8" t="str">
        <f>IFERROR(__xludf.DUMMYFUNCTION("""COMPUTED_VALUE"""),"")</f>
        <v/>
      </c>
      <c r="L988" s="8" t="s">
        <v>299</v>
      </c>
    </row>
    <row r="989">
      <c r="A989" s="10"/>
      <c r="B989" s="8" t="str">
        <f>IFERROR(__xludf.DUMMYFUNCTION("""COMPUTED_VALUE"""),"")</f>
        <v/>
      </c>
      <c r="C989" s="8" t="str">
        <f>IFERROR(__xludf.DUMMYFUNCTION("""COMPUTED_VALUE"""),"")</f>
        <v/>
      </c>
      <c r="D989" s="8" t="str">
        <f>IFERROR(__xludf.DUMMYFUNCTION("""COMPUTED_VALUE"""),"")</f>
        <v/>
      </c>
      <c r="E989" s="8" t="str">
        <f>IFERROR(__xludf.DUMMYFUNCTION("""COMPUTED_VALUE"""),"")</f>
        <v/>
      </c>
      <c r="F989" s="8" t="str">
        <f>IFERROR(__xludf.DUMMYFUNCTION("""COMPUTED_VALUE"""),"")</f>
        <v/>
      </c>
      <c r="G989" s="8" t="str">
        <f>IFERROR(__xludf.DUMMYFUNCTION("""COMPUTED_VALUE"""),"")</f>
        <v/>
      </c>
      <c r="L989" s="8" t="s">
        <v>299</v>
      </c>
    </row>
    <row r="990">
      <c r="A990" s="10"/>
      <c r="B990" s="8" t="str">
        <f>IFERROR(__xludf.DUMMYFUNCTION("""COMPUTED_VALUE"""),"")</f>
        <v/>
      </c>
      <c r="C990" s="8" t="str">
        <f>IFERROR(__xludf.DUMMYFUNCTION("""COMPUTED_VALUE"""),"")</f>
        <v/>
      </c>
      <c r="D990" s="8" t="str">
        <f>IFERROR(__xludf.DUMMYFUNCTION("""COMPUTED_VALUE"""),"")</f>
        <v/>
      </c>
      <c r="E990" s="8" t="str">
        <f>IFERROR(__xludf.DUMMYFUNCTION("""COMPUTED_VALUE"""),"")</f>
        <v/>
      </c>
      <c r="F990" s="8" t="str">
        <f>IFERROR(__xludf.DUMMYFUNCTION("""COMPUTED_VALUE"""),"")</f>
        <v/>
      </c>
      <c r="G990" s="8" t="str">
        <f>IFERROR(__xludf.DUMMYFUNCTION("""COMPUTED_VALUE"""),"")</f>
        <v/>
      </c>
      <c r="L990" s="8" t="s">
        <v>299</v>
      </c>
    </row>
    <row r="991">
      <c r="A991" s="10"/>
      <c r="B991" s="8" t="str">
        <f>IFERROR(__xludf.DUMMYFUNCTION("""COMPUTED_VALUE"""),"")</f>
        <v/>
      </c>
      <c r="C991" s="8" t="str">
        <f>IFERROR(__xludf.DUMMYFUNCTION("""COMPUTED_VALUE"""),"")</f>
        <v/>
      </c>
      <c r="D991" s="8" t="str">
        <f>IFERROR(__xludf.DUMMYFUNCTION("""COMPUTED_VALUE"""),"")</f>
        <v/>
      </c>
      <c r="E991" s="8" t="str">
        <f>IFERROR(__xludf.DUMMYFUNCTION("""COMPUTED_VALUE"""),"")</f>
        <v/>
      </c>
      <c r="F991" s="8" t="str">
        <f>IFERROR(__xludf.DUMMYFUNCTION("""COMPUTED_VALUE"""),"")</f>
        <v/>
      </c>
      <c r="G991" s="8" t="str">
        <f>IFERROR(__xludf.DUMMYFUNCTION("""COMPUTED_VALUE"""),"")</f>
        <v/>
      </c>
      <c r="L991" s="8" t="s">
        <v>299</v>
      </c>
    </row>
    <row r="992">
      <c r="A992" s="10"/>
      <c r="B992" s="8" t="str">
        <f>IFERROR(__xludf.DUMMYFUNCTION("""COMPUTED_VALUE"""),"")</f>
        <v/>
      </c>
      <c r="C992" s="8" t="str">
        <f>IFERROR(__xludf.DUMMYFUNCTION("""COMPUTED_VALUE"""),"")</f>
        <v/>
      </c>
      <c r="D992" s="8" t="str">
        <f>IFERROR(__xludf.DUMMYFUNCTION("""COMPUTED_VALUE"""),"")</f>
        <v/>
      </c>
      <c r="E992" s="8" t="str">
        <f>IFERROR(__xludf.DUMMYFUNCTION("""COMPUTED_VALUE"""),"")</f>
        <v/>
      </c>
      <c r="F992" s="8" t="str">
        <f>IFERROR(__xludf.DUMMYFUNCTION("""COMPUTED_VALUE"""),"")</f>
        <v/>
      </c>
      <c r="G992" s="8" t="str">
        <f>IFERROR(__xludf.DUMMYFUNCTION("""COMPUTED_VALUE"""),"")</f>
        <v/>
      </c>
      <c r="L992" s="8" t="s">
        <v>299</v>
      </c>
    </row>
    <row r="993">
      <c r="A993" s="10"/>
      <c r="B993" s="8" t="str">
        <f>IFERROR(__xludf.DUMMYFUNCTION("""COMPUTED_VALUE"""),"")</f>
        <v/>
      </c>
      <c r="C993" s="8" t="str">
        <f>IFERROR(__xludf.DUMMYFUNCTION("""COMPUTED_VALUE"""),"")</f>
        <v/>
      </c>
      <c r="D993" s="8" t="str">
        <f>IFERROR(__xludf.DUMMYFUNCTION("""COMPUTED_VALUE"""),"")</f>
        <v/>
      </c>
      <c r="E993" s="8" t="str">
        <f>IFERROR(__xludf.DUMMYFUNCTION("""COMPUTED_VALUE"""),"")</f>
        <v/>
      </c>
      <c r="F993" s="8" t="str">
        <f>IFERROR(__xludf.DUMMYFUNCTION("""COMPUTED_VALUE"""),"")</f>
        <v/>
      </c>
      <c r="G993" s="8" t="str">
        <f>IFERROR(__xludf.DUMMYFUNCTION("""COMPUTED_VALUE"""),"")</f>
        <v/>
      </c>
      <c r="L993" s="8" t="s">
        <v>299</v>
      </c>
    </row>
    <row r="994">
      <c r="A994" s="10"/>
      <c r="B994" s="8" t="str">
        <f>IFERROR(__xludf.DUMMYFUNCTION("""COMPUTED_VALUE"""),"")</f>
        <v/>
      </c>
      <c r="C994" s="8" t="str">
        <f>IFERROR(__xludf.DUMMYFUNCTION("""COMPUTED_VALUE"""),"")</f>
        <v/>
      </c>
      <c r="D994" s="8" t="str">
        <f>IFERROR(__xludf.DUMMYFUNCTION("""COMPUTED_VALUE"""),"")</f>
        <v/>
      </c>
      <c r="E994" s="8" t="str">
        <f>IFERROR(__xludf.DUMMYFUNCTION("""COMPUTED_VALUE"""),"")</f>
        <v/>
      </c>
      <c r="F994" s="8" t="str">
        <f>IFERROR(__xludf.DUMMYFUNCTION("""COMPUTED_VALUE"""),"")</f>
        <v/>
      </c>
      <c r="G994" s="8" t="str">
        <f>IFERROR(__xludf.DUMMYFUNCTION("""COMPUTED_VALUE"""),"")</f>
        <v/>
      </c>
      <c r="L994" s="8" t="s">
        <v>299</v>
      </c>
    </row>
    <row r="995">
      <c r="A995" s="10"/>
      <c r="B995" s="8" t="str">
        <f>IFERROR(__xludf.DUMMYFUNCTION("""COMPUTED_VALUE"""),"")</f>
        <v/>
      </c>
      <c r="C995" s="8" t="str">
        <f>IFERROR(__xludf.DUMMYFUNCTION("""COMPUTED_VALUE"""),"")</f>
        <v/>
      </c>
      <c r="D995" s="8" t="str">
        <f>IFERROR(__xludf.DUMMYFUNCTION("""COMPUTED_VALUE"""),"")</f>
        <v/>
      </c>
      <c r="E995" s="8" t="str">
        <f>IFERROR(__xludf.DUMMYFUNCTION("""COMPUTED_VALUE"""),"")</f>
        <v/>
      </c>
      <c r="F995" s="8" t="str">
        <f>IFERROR(__xludf.DUMMYFUNCTION("""COMPUTED_VALUE"""),"")</f>
        <v/>
      </c>
      <c r="G995" s="8" t="str">
        <f>IFERROR(__xludf.DUMMYFUNCTION("""COMPUTED_VALUE"""),"")</f>
        <v/>
      </c>
      <c r="L995" s="8" t="s">
        <v>299</v>
      </c>
    </row>
    <row r="996">
      <c r="A996" s="10"/>
      <c r="B996" s="8" t="str">
        <f>IFERROR(__xludf.DUMMYFUNCTION("""COMPUTED_VALUE"""),"")</f>
        <v/>
      </c>
      <c r="C996" s="8" t="str">
        <f>IFERROR(__xludf.DUMMYFUNCTION("""COMPUTED_VALUE"""),"")</f>
        <v/>
      </c>
      <c r="D996" s="8" t="str">
        <f>IFERROR(__xludf.DUMMYFUNCTION("""COMPUTED_VALUE"""),"")</f>
        <v/>
      </c>
      <c r="E996" s="8" t="str">
        <f>IFERROR(__xludf.DUMMYFUNCTION("""COMPUTED_VALUE"""),"")</f>
        <v/>
      </c>
      <c r="F996" s="8" t="str">
        <f>IFERROR(__xludf.DUMMYFUNCTION("""COMPUTED_VALUE"""),"")</f>
        <v/>
      </c>
      <c r="G996" s="8" t="str">
        <f>IFERROR(__xludf.DUMMYFUNCTION("""COMPUTED_VALUE"""),"")</f>
        <v/>
      </c>
      <c r="L996" s="8" t="s">
        <v>299</v>
      </c>
    </row>
    <row r="997">
      <c r="A997" s="10"/>
      <c r="B997" s="8" t="str">
        <f>IFERROR(__xludf.DUMMYFUNCTION("""COMPUTED_VALUE"""),"")</f>
        <v/>
      </c>
      <c r="C997" s="8" t="str">
        <f>IFERROR(__xludf.DUMMYFUNCTION("""COMPUTED_VALUE"""),"")</f>
        <v/>
      </c>
      <c r="D997" s="8" t="str">
        <f>IFERROR(__xludf.DUMMYFUNCTION("""COMPUTED_VALUE"""),"")</f>
        <v/>
      </c>
      <c r="E997" s="8" t="str">
        <f>IFERROR(__xludf.DUMMYFUNCTION("""COMPUTED_VALUE"""),"")</f>
        <v/>
      </c>
      <c r="F997" s="8" t="str">
        <f>IFERROR(__xludf.DUMMYFUNCTION("""COMPUTED_VALUE"""),"")</f>
        <v/>
      </c>
      <c r="G997" s="8" t="str">
        <f>IFERROR(__xludf.DUMMYFUNCTION("""COMPUTED_VALUE"""),"")</f>
        <v/>
      </c>
      <c r="L997" s="8" t="s">
        <v>299</v>
      </c>
    </row>
    <row r="998">
      <c r="A998" s="10"/>
      <c r="B998" s="8" t="str">
        <f>IFERROR(__xludf.DUMMYFUNCTION("""COMPUTED_VALUE"""),"")</f>
        <v/>
      </c>
      <c r="C998" s="8" t="str">
        <f>IFERROR(__xludf.DUMMYFUNCTION("""COMPUTED_VALUE"""),"")</f>
        <v/>
      </c>
      <c r="D998" s="8" t="str">
        <f>IFERROR(__xludf.DUMMYFUNCTION("""COMPUTED_VALUE"""),"")</f>
        <v/>
      </c>
      <c r="E998" s="8" t="str">
        <f>IFERROR(__xludf.DUMMYFUNCTION("""COMPUTED_VALUE"""),"")</f>
        <v/>
      </c>
      <c r="F998" s="8" t="str">
        <f>IFERROR(__xludf.DUMMYFUNCTION("""COMPUTED_VALUE"""),"")</f>
        <v/>
      </c>
      <c r="G998" s="8" t="str">
        <f>IFERROR(__xludf.DUMMYFUNCTION("""COMPUTED_VALUE"""),"")</f>
        <v/>
      </c>
      <c r="L998" s="8" t="s">
        <v>299</v>
      </c>
    </row>
    <row r="999">
      <c r="A999" s="10"/>
      <c r="B999" s="8" t="str">
        <f>IFERROR(__xludf.DUMMYFUNCTION("""COMPUTED_VALUE"""),"")</f>
        <v/>
      </c>
      <c r="C999" s="8" t="str">
        <f>IFERROR(__xludf.DUMMYFUNCTION("""COMPUTED_VALUE"""),"")</f>
        <v/>
      </c>
      <c r="D999" s="8" t="str">
        <f>IFERROR(__xludf.DUMMYFUNCTION("""COMPUTED_VALUE"""),"")</f>
        <v/>
      </c>
      <c r="E999" s="8" t="str">
        <f>IFERROR(__xludf.DUMMYFUNCTION("""COMPUTED_VALUE"""),"")</f>
        <v/>
      </c>
      <c r="F999" s="8" t="str">
        <f>IFERROR(__xludf.DUMMYFUNCTION("""COMPUTED_VALUE"""),"")</f>
        <v/>
      </c>
      <c r="G999" s="8" t="str">
        <f>IFERROR(__xludf.DUMMYFUNCTION("""COMPUTED_VALUE"""),"")</f>
        <v/>
      </c>
      <c r="L999" s="8" t="s">
        <v>299</v>
      </c>
    </row>
    <row r="1000">
      <c r="A1000" s="10"/>
      <c r="B1000" s="8" t="str">
        <f>IFERROR(__xludf.DUMMYFUNCTION("""COMPUTED_VALUE"""),"")</f>
        <v/>
      </c>
      <c r="C1000" s="8" t="str">
        <f>IFERROR(__xludf.DUMMYFUNCTION("""COMPUTED_VALUE"""),"")</f>
        <v/>
      </c>
      <c r="D1000" s="8" t="str">
        <f>IFERROR(__xludf.DUMMYFUNCTION("""COMPUTED_VALUE"""),"")</f>
        <v/>
      </c>
      <c r="E1000" s="8" t="str">
        <f>IFERROR(__xludf.DUMMYFUNCTION("""COMPUTED_VALUE"""),"")</f>
        <v/>
      </c>
      <c r="F1000" s="8" t="str">
        <f>IFERROR(__xludf.DUMMYFUNCTION("""COMPUTED_VALUE"""),"")</f>
        <v/>
      </c>
      <c r="G1000" s="8" t="str">
        <f>IFERROR(__xludf.DUMMYFUNCTION("""COMPUTED_VALUE"""),"")</f>
        <v/>
      </c>
      <c r="L1000" s="8" t="s">
        <v>299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0"/>
    </row>
  </sheetData>
  <drawing r:id="rId1"/>
</worksheet>
</file>